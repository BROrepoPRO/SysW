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Yandex.Disk\WORK\LNEW\"/>
    </mc:Choice>
  </mc:AlternateContent>
  <xr:revisionPtr revIDLastSave="0" documentId="13_ncr:1_{B3059AC2-D3A9-467F-A4C2-EA4B188AAF6F}" xr6:coauthVersionLast="47" xr6:coauthVersionMax="47" xr10:uidLastSave="{00000000-0000-0000-0000-000000000000}"/>
  <bookViews>
    <workbookView xWindow="-120" yWindow="-120" windowWidth="25440" windowHeight="13815" tabRatio="1000" activeTab="2" xr2:uid="{72914C18-55DA-4ACD-94F1-674804F921EF}"/>
  </bookViews>
  <sheets>
    <sheet name="1M" sheetId="728" r:id="rId1"/>
    <sheet name="001" sheetId="735" r:id="rId2"/>
    <sheet name="2M" sheetId="731" r:id="rId3"/>
    <sheet name="report" sheetId="1" r:id="rId4"/>
    <sheet name="spisok" sheetId="692" r:id="rId5"/>
    <sheet name="645" sheetId="722" r:id="rId6"/>
    <sheet name="158" sheetId="703" r:id="rId7"/>
    <sheet name="TANK M083277" sheetId="536" r:id="rId8"/>
    <sheet name="62" sheetId="693" r:id="rId9"/>
    <sheet name="516" sheetId="694" r:id="rId10"/>
    <sheet name="333" sheetId="695" r:id="rId11"/>
    <sheet name="312" sheetId="696" r:id="rId12"/>
    <sheet name="782" sheetId="697" r:id="rId13"/>
    <sheet name="72" sheetId="698" r:id="rId14"/>
    <sheet name="459" sheetId="699" r:id="rId15"/>
    <sheet name="778" sheetId="700" r:id="rId16"/>
    <sheet name="0629" sheetId="701" r:id="rId17"/>
    <sheet name="0774" sheetId="702" r:id="rId18"/>
    <sheet name="153" sheetId="704" r:id="rId19"/>
    <sheet name="228" sheetId="705" r:id="rId20"/>
    <sheet name="0629 (2)" sheetId="706" r:id="rId21"/>
    <sheet name="531" sheetId="707" r:id="rId22"/>
    <sheet name="678" sheetId="708" r:id="rId23"/>
    <sheet name="261" sheetId="709" r:id="rId24"/>
    <sheet name="419" sheetId="710" r:id="rId25"/>
    <sheet name="546" sheetId="711" r:id="rId26"/>
    <sheet name="506" sheetId="712" r:id="rId27"/>
    <sheet name="956" sheetId="713" r:id="rId28"/>
    <sheet name="091" sheetId="714" r:id="rId29"/>
    <sheet name="273" sheetId="715" r:id="rId30"/>
    <sheet name="301" sheetId="716" r:id="rId31"/>
    <sheet name="488" sheetId="717" r:id="rId32"/>
    <sheet name="560" sheetId="718" r:id="rId33"/>
    <sheet name="778 (2)" sheetId="719" r:id="rId34"/>
    <sheet name="488 (2)" sheetId="720" r:id="rId35"/>
    <sheet name="301 (2)" sheetId="721" r:id="rId36"/>
    <sheet name="787" sheetId="723" r:id="rId37"/>
    <sheet name="725" sheetId="724" r:id="rId38"/>
    <sheet name="722" sheetId="725" r:id="rId39"/>
    <sheet name="678 (2)" sheetId="726" r:id="rId40"/>
    <sheet name="723" sheetId="727" r:id="rId41"/>
    <sheet name="0708" sheetId="729" r:id="rId42"/>
    <sheet name="154" sheetId="730" r:id="rId43"/>
    <sheet name="312 (2)" sheetId="732" r:id="rId44"/>
    <sheet name="833 (2)" sheetId="733" r:id="rId45"/>
    <sheet name="211" sheetId="734" r:id="rId46"/>
  </sheets>
  <definedNames>
    <definedName name="_xlnm.Print_Area" localSheetId="1">'001'!$A$1:$L$322</definedName>
    <definedName name="округл" localSheetId="1">#REF!</definedName>
    <definedName name="округл" localSheetId="4">#REF!</definedName>
    <definedName name="округл">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734" l="1"/>
  <c r="N21" i="734"/>
  <c r="M22" i="734"/>
  <c r="N22" i="734"/>
  <c r="M23" i="734"/>
  <c r="N23" i="734"/>
  <c r="M24" i="734"/>
  <c r="N24" i="734"/>
  <c r="M25" i="734"/>
  <c r="N25" i="734"/>
  <c r="M26" i="734"/>
  <c r="N26" i="734"/>
  <c r="M27" i="734"/>
  <c r="N27" i="734"/>
  <c r="M28" i="734"/>
  <c r="N28" i="734"/>
  <c r="M29" i="734"/>
  <c r="N29" i="734"/>
  <c r="M30" i="734"/>
  <c r="N30" i="734"/>
  <c r="M38" i="734"/>
  <c r="N38" i="734"/>
  <c r="M39" i="734"/>
  <c r="N39" i="734"/>
  <c r="M40" i="734"/>
  <c r="N40" i="734"/>
  <c r="M41" i="734"/>
  <c r="N41" i="734"/>
  <c r="M42" i="734"/>
  <c r="N42" i="734"/>
  <c r="M43" i="734"/>
  <c r="N43" i="734"/>
  <c r="M47" i="734"/>
  <c r="N47" i="734"/>
  <c r="M21" i="733"/>
  <c r="N21" i="733"/>
  <c r="M22" i="733"/>
  <c r="N22" i="733"/>
  <c r="M23" i="733"/>
  <c r="N23" i="733"/>
  <c r="M24" i="733"/>
  <c r="N24" i="733"/>
  <c r="M25" i="733"/>
  <c r="N25" i="733"/>
  <c r="M26" i="733"/>
  <c r="N26" i="733"/>
  <c r="M27" i="733"/>
  <c r="N27" i="733"/>
  <c r="M28" i="733"/>
  <c r="N28" i="733"/>
  <c r="M36" i="733"/>
  <c r="N36" i="733"/>
  <c r="M37" i="733"/>
  <c r="N37" i="733"/>
  <c r="M38" i="733"/>
  <c r="N38" i="733"/>
  <c r="M39" i="733"/>
  <c r="N39" i="733"/>
  <c r="M40" i="733"/>
  <c r="N40" i="733"/>
  <c r="M41" i="733"/>
  <c r="N41" i="733"/>
  <c r="M42" i="733"/>
  <c r="N42" i="733"/>
  <c r="M43" i="733"/>
  <c r="N43" i="733"/>
  <c r="M44" i="733"/>
  <c r="N44" i="733"/>
  <c r="M45" i="733"/>
  <c r="N45" i="733"/>
  <c r="M49" i="733"/>
  <c r="N49" i="733"/>
  <c r="M21" i="732"/>
  <c r="N21" i="732"/>
  <c r="M22" i="732"/>
  <c r="N22" i="732"/>
  <c r="M23" i="732"/>
  <c r="N23" i="732"/>
  <c r="M24" i="732"/>
  <c r="N24" i="732"/>
  <c r="M25" i="732"/>
  <c r="N25" i="732"/>
  <c r="M26" i="732"/>
  <c r="N26" i="732"/>
  <c r="M27" i="732"/>
  <c r="N27" i="732"/>
  <c r="M28" i="732"/>
  <c r="N28" i="732"/>
  <c r="M29" i="732"/>
  <c r="N29" i="732"/>
  <c r="M30" i="732"/>
  <c r="N30" i="732"/>
  <c r="M38" i="732"/>
  <c r="N38" i="732"/>
  <c r="M39" i="732"/>
  <c r="N39" i="732"/>
  <c r="M40" i="732"/>
  <c r="N40" i="732"/>
  <c r="M41" i="732"/>
  <c r="N41" i="732"/>
  <c r="M42" i="732"/>
  <c r="N42" i="732"/>
  <c r="M43" i="732"/>
  <c r="N43" i="732"/>
  <c r="M44" i="732"/>
  <c r="N44" i="732"/>
  <c r="M45" i="732"/>
  <c r="N45" i="732"/>
  <c r="M46" i="732"/>
  <c r="N46" i="732"/>
  <c r="M50" i="732"/>
  <c r="N50" i="732"/>
  <c r="M21" i="731"/>
  <c r="N21" i="731"/>
  <c r="M22" i="731"/>
  <c r="N22" i="731"/>
  <c r="M23" i="731"/>
  <c r="N23" i="731"/>
  <c r="M24" i="731"/>
  <c r="N24" i="731"/>
  <c r="M25" i="731"/>
  <c r="N25" i="731"/>
  <c r="M26" i="731"/>
  <c r="N26" i="731"/>
  <c r="M27" i="731"/>
  <c r="N27" i="731"/>
  <c r="M28" i="731"/>
  <c r="N28" i="731"/>
  <c r="M36" i="731"/>
  <c r="N36" i="731"/>
  <c r="M37" i="731"/>
  <c r="N37" i="731"/>
  <c r="M38" i="731"/>
  <c r="N38" i="731"/>
  <c r="M39" i="731"/>
  <c r="N39" i="731"/>
  <c r="M40" i="731"/>
  <c r="N40" i="731"/>
  <c r="M41" i="731"/>
  <c r="N41" i="731"/>
  <c r="M42" i="731"/>
  <c r="N42" i="731"/>
  <c r="M43" i="731"/>
  <c r="N43" i="731"/>
  <c r="M44" i="731"/>
  <c r="N44" i="731"/>
  <c r="M45" i="731"/>
  <c r="N45" i="731"/>
  <c r="M46" i="731"/>
  <c r="N46" i="731"/>
  <c r="M47" i="731"/>
  <c r="N47" i="731"/>
  <c r="M48" i="731"/>
  <c r="N48" i="731"/>
  <c r="M49" i="731"/>
  <c r="N49" i="731"/>
  <c r="M50" i="731"/>
  <c r="N50" i="731"/>
  <c r="M51" i="731"/>
  <c r="N51" i="731"/>
  <c r="M52" i="731"/>
  <c r="N52" i="731"/>
  <c r="M53" i="731"/>
  <c r="N53" i="731"/>
  <c r="M54" i="731"/>
  <c r="N54" i="731"/>
  <c r="M55" i="731"/>
  <c r="N55" i="731"/>
  <c r="M56" i="731"/>
  <c r="N56" i="731"/>
  <c r="M57" i="731"/>
  <c r="N57" i="731"/>
  <c r="M58" i="731"/>
  <c r="N58" i="731"/>
  <c r="M59" i="731"/>
  <c r="N59" i="731"/>
  <c r="M60" i="731"/>
  <c r="N60" i="731"/>
  <c r="M61" i="731"/>
  <c r="N61" i="731"/>
  <c r="M62" i="731"/>
  <c r="N62" i="731"/>
  <c r="M66" i="731"/>
  <c r="N66" i="731"/>
  <c r="M21" i="730"/>
  <c r="N21" i="730"/>
  <c r="M22" i="730"/>
  <c r="N22" i="730"/>
  <c r="M23" i="730"/>
  <c r="N23" i="730"/>
  <c r="M24" i="730"/>
  <c r="N24" i="730"/>
  <c r="M25" i="730"/>
  <c r="N25" i="730"/>
  <c r="M33" i="730"/>
  <c r="N33" i="730"/>
  <c r="M34" i="730"/>
  <c r="N34" i="730"/>
  <c r="M35" i="730"/>
  <c r="N35" i="730"/>
  <c r="M36" i="730"/>
  <c r="N36" i="730"/>
  <c r="M37" i="730"/>
  <c r="N37" i="730"/>
  <c r="M41" i="730"/>
  <c r="N41" i="730"/>
  <c r="M21" i="729"/>
  <c r="N21" i="729"/>
  <c r="M22" i="729"/>
  <c r="N22" i="729"/>
  <c r="M23" i="729"/>
  <c r="N23" i="729"/>
  <c r="M24" i="729"/>
  <c r="N24" i="729"/>
  <c r="M25" i="729"/>
  <c r="N25" i="729"/>
  <c r="M26" i="729"/>
  <c r="N26" i="729"/>
  <c r="M27" i="729"/>
  <c r="N27" i="729"/>
  <c r="M28" i="729"/>
  <c r="N28" i="729"/>
  <c r="M36" i="729"/>
  <c r="N36" i="729"/>
  <c r="M37" i="729"/>
  <c r="N37" i="729"/>
  <c r="M38" i="729"/>
  <c r="N38" i="729"/>
  <c r="M39" i="729"/>
  <c r="N39" i="729"/>
  <c r="M40" i="729"/>
  <c r="N40" i="729"/>
  <c r="M41" i="729"/>
  <c r="N41" i="729"/>
  <c r="M42" i="729"/>
  <c r="N42" i="729"/>
  <c r="M43" i="729"/>
  <c r="N43" i="729"/>
  <c r="M47" i="729"/>
  <c r="N47" i="729"/>
  <c r="M21" i="728"/>
  <c r="N21" i="728"/>
  <c r="M22" i="728"/>
  <c r="N22" i="728"/>
  <c r="M30" i="728"/>
  <c r="N30" i="728"/>
  <c r="M31" i="728"/>
  <c r="N31" i="728"/>
  <c r="M32" i="728"/>
  <c r="N32" i="728"/>
  <c r="M36" i="728"/>
  <c r="N36" i="728"/>
  <c r="M21" i="727"/>
  <c r="N21" i="727"/>
  <c r="M22" i="727"/>
  <c r="N22" i="727"/>
  <c r="M23" i="727"/>
  <c r="N23" i="727"/>
  <c r="M24" i="727"/>
  <c r="N24" i="727"/>
  <c r="M32" i="727"/>
  <c r="N32" i="727"/>
  <c r="M33" i="727"/>
  <c r="N33" i="727"/>
  <c r="M37" i="727"/>
  <c r="N37" i="727"/>
  <c r="M21" i="726"/>
  <c r="N21" i="726"/>
  <c r="M22" i="726"/>
  <c r="N22" i="726"/>
  <c r="M23" i="726"/>
  <c r="N23" i="726"/>
  <c r="M24" i="726"/>
  <c r="N24" i="726"/>
  <c r="M25" i="726"/>
  <c r="N25" i="726"/>
  <c r="M26" i="726"/>
  <c r="N26" i="726"/>
  <c r="M34" i="726"/>
  <c r="N34" i="726"/>
  <c r="M35" i="726"/>
  <c r="N35" i="726"/>
  <c r="M36" i="726"/>
  <c r="N36" i="726"/>
  <c r="M37" i="726"/>
  <c r="N37" i="726"/>
  <c r="M41" i="726"/>
  <c r="N41" i="726"/>
  <c r="M21" i="725"/>
  <c r="N21" i="725"/>
  <c r="M22" i="725"/>
  <c r="N22" i="725"/>
  <c r="M23" i="725"/>
  <c r="N23" i="725"/>
  <c r="M24" i="725"/>
  <c r="N24" i="725"/>
  <c r="M25" i="725"/>
  <c r="N25" i="725"/>
  <c r="M26" i="725"/>
  <c r="N26" i="725"/>
  <c r="M27" i="725"/>
  <c r="N27" i="725"/>
  <c r="M28" i="725"/>
  <c r="N28" i="725"/>
  <c r="M29" i="725"/>
  <c r="N29" i="725"/>
  <c r="M30" i="725"/>
  <c r="N30" i="725"/>
  <c r="M31" i="725"/>
  <c r="N31" i="725"/>
  <c r="M32" i="725"/>
  <c r="N32" i="725"/>
  <c r="M40" i="725"/>
  <c r="N40" i="725"/>
  <c r="M41" i="725"/>
  <c r="N41" i="725"/>
  <c r="M42" i="725"/>
  <c r="N42" i="725"/>
  <c r="M43" i="725"/>
  <c r="N43" i="725"/>
  <c r="M44" i="725"/>
  <c r="N44" i="725"/>
  <c r="M45" i="725"/>
  <c r="N45" i="725"/>
  <c r="M46" i="725"/>
  <c r="N46" i="725"/>
  <c r="M47" i="725"/>
  <c r="N47" i="725"/>
  <c r="M48" i="725"/>
  <c r="N48" i="725"/>
  <c r="M49" i="725"/>
  <c r="N49" i="725"/>
  <c r="M50" i="725"/>
  <c r="N50" i="725"/>
  <c r="M51" i="725"/>
  <c r="N51" i="725"/>
  <c r="M55" i="725"/>
  <c r="N55" i="725"/>
  <c r="M21" i="724"/>
  <c r="N21" i="724"/>
  <c r="M22" i="724"/>
  <c r="N22" i="724"/>
  <c r="M23" i="724"/>
  <c r="N23" i="724"/>
  <c r="M24" i="724"/>
  <c r="N24" i="724"/>
  <c r="M25" i="724"/>
  <c r="N25" i="724"/>
  <c r="M26" i="724"/>
  <c r="N26" i="724"/>
  <c r="M27" i="724"/>
  <c r="N27" i="724"/>
  <c r="M28" i="724"/>
  <c r="N28" i="724"/>
  <c r="M29" i="724"/>
  <c r="N29" i="724"/>
  <c r="M30" i="724"/>
  <c r="N30" i="724"/>
  <c r="M31" i="724"/>
  <c r="N31" i="724"/>
  <c r="M32" i="724"/>
  <c r="N32" i="724"/>
  <c r="M33" i="724"/>
  <c r="N33" i="724"/>
  <c r="M34" i="724"/>
  <c r="N34" i="724"/>
  <c r="M42" i="724"/>
  <c r="N42" i="724"/>
  <c r="M43" i="724"/>
  <c r="N43" i="724"/>
  <c r="M44" i="724"/>
  <c r="N44" i="724"/>
  <c r="M45" i="724"/>
  <c r="N45" i="724"/>
  <c r="M46" i="724"/>
  <c r="N46" i="724"/>
  <c r="M47" i="724"/>
  <c r="N47" i="724"/>
  <c r="M48" i="724"/>
  <c r="N48" i="724"/>
  <c r="M49" i="724"/>
  <c r="N49" i="724"/>
  <c r="M50" i="724"/>
  <c r="N50" i="724"/>
  <c r="M51" i="724"/>
  <c r="N51" i="724"/>
  <c r="M52" i="724"/>
  <c r="N52" i="724"/>
  <c r="M53" i="724"/>
  <c r="N53" i="724"/>
  <c r="M54" i="724"/>
  <c r="N54" i="724"/>
  <c r="M55" i="724"/>
  <c r="N55" i="724"/>
  <c r="M56" i="724"/>
  <c r="N56" i="724"/>
  <c r="M60" i="724"/>
  <c r="N60" i="724"/>
  <c r="M21" i="723"/>
  <c r="N21" i="723"/>
  <c r="M22" i="723"/>
  <c r="N22" i="723"/>
  <c r="M23" i="723"/>
  <c r="N23" i="723"/>
  <c r="M24" i="723"/>
  <c r="N24" i="723"/>
  <c r="M25" i="723"/>
  <c r="N25" i="723"/>
  <c r="M26" i="723"/>
  <c r="N26" i="723"/>
  <c r="M27" i="723"/>
  <c r="N27" i="723"/>
  <c r="M28" i="723"/>
  <c r="N28" i="723"/>
  <c r="M36" i="723"/>
  <c r="N36" i="723"/>
  <c r="M37" i="723"/>
  <c r="N37" i="723"/>
  <c r="M38" i="723"/>
  <c r="N38" i="723"/>
  <c r="M39" i="723"/>
  <c r="N39" i="723"/>
  <c r="M40" i="723"/>
  <c r="N40" i="723"/>
  <c r="M41" i="723"/>
  <c r="N41" i="723"/>
  <c r="M42" i="723"/>
  <c r="N42" i="723"/>
  <c r="M46" i="723"/>
  <c r="N46" i="723"/>
  <c r="M21" i="722"/>
  <c r="N21" i="722"/>
  <c r="M22" i="722"/>
  <c r="N22" i="722"/>
  <c r="M23" i="722"/>
  <c r="N23" i="722"/>
  <c r="M24" i="722"/>
  <c r="N24" i="722"/>
  <c r="M25" i="722"/>
  <c r="N25" i="722"/>
  <c r="M26" i="722"/>
  <c r="N26" i="722"/>
  <c r="M27" i="722"/>
  <c r="N27" i="722"/>
  <c r="M28" i="722"/>
  <c r="N28" i="722"/>
  <c r="M29" i="722"/>
  <c r="N29" i="722"/>
  <c r="M37" i="722"/>
  <c r="N37" i="722"/>
  <c r="M38" i="722"/>
  <c r="N38" i="722"/>
  <c r="M39" i="722"/>
  <c r="N39" i="722"/>
  <c r="M40" i="722"/>
  <c r="N40" i="722"/>
  <c r="M41" i="722"/>
  <c r="N41" i="722"/>
  <c r="M42" i="722"/>
  <c r="N42" i="722"/>
  <c r="M43" i="722"/>
  <c r="N43" i="722"/>
  <c r="M44" i="722"/>
  <c r="N44" i="722"/>
  <c r="M45" i="722"/>
  <c r="N45" i="722"/>
  <c r="M46" i="722"/>
  <c r="N46" i="722"/>
  <c r="M47" i="722"/>
  <c r="N47" i="722"/>
  <c r="M51" i="722"/>
  <c r="N51" i="722"/>
  <c r="M21" i="721" l="1"/>
  <c r="N21" i="721"/>
  <c r="M22" i="721"/>
  <c r="N22" i="721"/>
  <c r="M23" i="721"/>
  <c r="N23" i="721"/>
  <c r="M24" i="721"/>
  <c r="N24" i="721"/>
  <c r="M32" i="721"/>
  <c r="N32" i="721"/>
  <c r="M33" i="721"/>
  <c r="N33" i="721"/>
  <c r="M34" i="721"/>
  <c r="N34" i="721"/>
  <c r="M35" i="721"/>
  <c r="N35" i="721"/>
  <c r="M36" i="721"/>
  <c r="N36" i="721"/>
  <c r="M40" i="721"/>
  <c r="N40" i="721"/>
  <c r="M21" i="720"/>
  <c r="N21" i="720"/>
  <c r="M22" i="720"/>
  <c r="N22" i="720"/>
  <c r="M23" i="720"/>
  <c r="N23" i="720"/>
  <c r="M24" i="720"/>
  <c r="N24" i="720"/>
  <c r="M25" i="720"/>
  <c r="N25" i="720"/>
  <c r="M26" i="720"/>
  <c r="N26" i="720"/>
  <c r="M34" i="720"/>
  <c r="N34" i="720"/>
  <c r="M35" i="720"/>
  <c r="N35" i="720"/>
  <c r="M36" i="720"/>
  <c r="N36" i="720"/>
  <c r="M37" i="720"/>
  <c r="N37" i="720"/>
  <c r="M38" i="720"/>
  <c r="N38" i="720"/>
  <c r="M42" i="720"/>
  <c r="N42" i="720"/>
  <c r="M21" i="719"/>
  <c r="N21" i="719"/>
  <c r="M22" i="719"/>
  <c r="N22" i="719"/>
  <c r="M30" i="719"/>
  <c r="N30" i="719"/>
  <c r="N31" i="719"/>
  <c r="M35" i="719"/>
  <c r="N35" i="719"/>
  <c r="M21" i="718"/>
  <c r="N21" i="718"/>
  <c r="M22" i="718"/>
  <c r="N22" i="718"/>
  <c r="M30" i="718"/>
  <c r="N30" i="718"/>
  <c r="N31" i="718"/>
  <c r="M35" i="718"/>
  <c r="N35" i="718"/>
  <c r="M21" i="717"/>
  <c r="N21" i="717"/>
  <c r="M22" i="717"/>
  <c r="N22" i="717"/>
  <c r="M30" i="717"/>
  <c r="N30" i="717"/>
  <c r="N31" i="717"/>
  <c r="M35" i="717"/>
  <c r="N35" i="717"/>
  <c r="M21" i="716"/>
  <c r="N21" i="716"/>
  <c r="M22" i="716"/>
  <c r="N22" i="716"/>
  <c r="M30" i="716"/>
  <c r="N30" i="716"/>
  <c r="N31" i="716"/>
  <c r="M35" i="716"/>
  <c r="N35" i="716"/>
  <c r="M21" i="715"/>
  <c r="N21" i="715"/>
  <c r="M22" i="715"/>
  <c r="N22" i="715"/>
  <c r="M30" i="715"/>
  <c r="N30" i="715"/>
  <c r="N31" i="715"/>
  <c r="M35" i="715"/>
  <c r="N35" i="715"/>
  <c r="M21" i="714"/>
  <c r="N21" i="714"/>
  <c r="M22" i="714"/>
  <c r="N22" i="714"/>
  <c r="M23" i="714"/>
  <c r="N23" i="714"/>
  <c r="M24" i="714"/>
  <c r="N24" i="714"/>
  <c r="M25" i="714"/>
  <c r="N25" i="714"/>
  <c r="M26" i="714"/>
  <c r="N26" i="714"/>
  <c r="M27" i="714"/>
  <c r="N27" i="714"/>
  <c r="M28" i="714"/>
  <c r="N28" i="714"/>
  <c r="M29" i="714"/>
  <c r="N29" i="714"/>
  <c r="M30" i="714"/>
  <c r="N30" i="714"/>
  <c r="M31" i="714"/>
  <c r="N31" i="714"/>
  <c r="M32" i="714"/>
  <c r="N32" i="714"/>
  <c r="M33" i="714"/>
  <c r="N33" i="714"/>
  <c r="M34" i="714"/>
  <c r="N34" i="714"/>
  <c r="M35" i="714"/>
  <c r="N35" i="714"/>
  <c r="M36" i="714"/>
  <c r="N36" i="714"/>
  <c r="M37" i="714"/>
  <c r="N37" i="714"/>
  <c r="M38" i="714"/>
  <c r="N38" i="714"/>
  <c r="M39" i="714"/>
  <c r="N39" i="714"/>
  <c r="M40" i="714"/>
  <c r="N40" i="714"/>
  <c r="M41" i="714"/>
  <c r="N41" i="714"/>
  <c r="M49" i="714"/>
  <c r="N49" i="714"/>
  <c r="M50" i="714"/>
  <c r="N50" i="714"/>
  <c r="M51" i="714"/>
  <c r="N51" i="714"/>
  <c r="M52" i="714"/>
  <c r="N52" i="714"/>
  <c r="M53" i="714"/>
  <c r="N53" i="714"/>
  <c r="M54" i="714"/>
  <c r="N54" i="714"/>
  <c r="M55" i="714"/>
  <c r="N55" i="714"/>
  <c r="M56" i="714"/>
  <c r="N56" i="714"/>
  <c r="M57" i="714"/>
  <c r="N57" i="714"/>
  <c r="M58" i="714"/>
  <c r="N58" i="714"/>
  <c r="M59" i="714"/>
  <c r="N59" i="714"/>
  <c r="M60" i="714"/>
  <c r="N60" i="714"/>
  <c r="M61" i="714"/>
  <c r="N61" i="714"/>
  <c r="M62" i="714"/>
  <c r="N62" i="714"/>
  <c r="M63" i="714"/>
  <c r="N63" i="714"/>
  <c r="M64" i="714"/>
  <c r="N64" i="714"/>
  <c r="M65" i="714"/>
  <c r="N65" i="714"/>
  <c r="M66" i="714"/>
  <c r="N66" i="714"/>
  <c r="M67" i="714"/>
  <c r="N67" i="714"/>
  <c r="M68" i="714"/>
  <c r="N68" i="714"/>
  <c r="M69" i="714"/>
  <c r="N69" i="714"/>
  <c r="M70" i="714"/>
  <c r="N70" i="714"/>
  <c r="M74" i="714"/>
  <c r="N74" i="714"/>
  <c r="M21" i="713"/>
  <c r="N21" i="713"/>
  <c r="M22" i="713"/>
  <c r="N22" i="713"/>
  <c r="M23" i="713"/>
  <c r="N23" i="713"/>
  <c r="M24" i="713"/>
  <c r="N24" i="713"/>
  <c r="M25" i="713"/>
  <c r="N25" i="713"/>
  <c r="M26" i="713"/>
  <c r="N26" i="713"/>
  <c r="M27" i="713"/>
  <c r="N27" i="713"/>
  <c r="M28" i="713"/>
  <c r="N28" i="713"/>
  <c r="M29" i="713"/>
  <c r="N29" i="713"/>
  <c r="M30" i="713"/>
  <c r="N30" i="713"/>
  <c r="M31" i="713"/>
  <c r="N31" i="713"/>
  <c r="M32" i="713"/>
  <c r="N32" i="713"/>
  <c r="M33" i="713"/>
  <c r="N33" i="713"/>
  <c r="M41" i="713"/>
  <c r="N41" i="713"/>
  <c r="M42" i="713"/>
  <c r="N42" i="713"/>
  <c r="M43" i="713"/>
  <c r="N43" i="713"/>
  <c r="M44" i="713"/>
  <c r="N44" i="713"/>
  <c r="M45" i="713"/>
  <c r="N45" i="713"/>
  <c r="M49" i="713"/>
  <c r="N49" i="713"/>
  <c r="M21" i="712"/>
  <c r="N21" i="712"/>
  <c r="M22" i="712"/>
  <c r="N22" i="712"/>
  <c r="M23" i="712"/>
  <c r="N23" i="712"/>
  <c r="M24" i="712"/>
  <c r="N24" i="712"/>
  <c r="M32" i="712"/>
  <c r="N32" i="712"/>
  <c r="M33" i="712"/>
  <c r="N33" i="712"/>
  <c r="M34" i="712"/>
  <c r="N34" i="712"/>
  <c r="M35" i="712"/>
  <c r="N35" i="712"/>
  <c r="M36" i="712"/>
  <c r="N36" i="712"/>
  <c r="M37" i="712"/>
  <c r="N37" i="712"/>
  <c r="M41" i="712"/>
  <c r="N41" i="712"/>
  <c r="M21" i="711"/>
  <c r="N21" i="711"/>
  <c r="M22" i="711"/>
  <c r="N22" i="711"/>
  <c r="M23" i="711"/>
  <c r="N23" i="711"/>
  <c r="M24" i="711"/>
  <c r="N24" i="711"/>
  <c r="M25" i="711"/>
  <c r="N25" i="711"/>
  <c r="M26" i="711"/>
  <c r="N26" i="711"/>
  <c r="M27" i="711"/>
  <c r="N27" i="711"/>
  <c r="M28" i="711"/>
  <c r="N28" i="711"/>
  <c r="M36" i="711"/>
  <c r="N36" i="711"/>
  <c r="M37" i="711"/>
  <c r="N37" i="711"/>
  <c r="M38" i="711"/>
  <c r="N38" i="711"/>
  <c r="M39" i="711"/>
  <c r="N39" i="711"/>
  <c r="M40" i="711"/>
  <c r="N40" i="711"/>
  <c r="M41" i="711"/>
  <c r="N41" i="711"/>
  <c r="M45" i="711"/>
  <c r="N45" i="711"/>
  <c r="M21" i="710"/>
  <c r="N21" i="710"/>
  <c r="M22" i="710"/>
  <c r="N22" i="710"/>
  <c r="M23" i="710"/>
  <c r="N23" i="710"/>
  <c r="M24" i="710"/>
  <c r="N24" i="710"/>
  <c r="M25" i="710"/>
  <c r="N25" i="710"/>
  <c r="M26" i="710"/>
  <c r="N26" i="710"/>
  <c r="M27" i="710"/>
  <c r="N27" i="710"/>
  <c r="M28" i="710"/>
  <c r="N28" i="710"/>
  <c r="M29" i="710"/>
  <c r="N29" i="710"/>
  <c r="M30" i="710"/>
  <c r="N30" i="710"/>
  <c r="M31" i="710"/>
  <c r="N31" i="710"/>
  <c r="M32" i="710"/>
  <c r="N32" i="710"/>
  <c r="M33" i="710"/>
  <c r="N33" i="710"/>
  <c r="M34" i="710"/>
  <c r="N34" i="710"/>
  <c r="M35" i="710"/>
  <c r="N35" i="710"/>
  <c r="M36" i="710"/>
  <c r="N36" i="710"/>
  <c r="M44" i="710"/>
  <c r="N44" i="710"/>
  <c r="M45" i="710"/>
  <c r="N45" i="710"/>
  <c r="M46" i="710"/>
  <c r="N46" i="710"/>
  <c r="M47" i="710"/>
  <c r="N47" i="710"/>
  <c r="M48" i="710"/>
  <c r="N48" i="710"/>
  <c r="M49" i="710"/>
  <c r="N49" i="710"/>
  <c r="M50" i="710"/>
  <c r="N50" i="710"/>
  <c r="M51" i="710"/>
  <c r="N51" i="710"/>
  <c r="M52" i="710"/>
  <c r="N52" i="710"/>
  <c r="M53" i="710"/>
  <c r="N53" i="710"/>
  <c r="M54" i="710"/>
  <c r="N54" i="710"/>
  <c r="M55" i="710"/>
  <c r="N55" i="710"/>
  <c r="M56" i="710"/>
  <c r="N56" i="710"/>
  <c r="M57" i="710"/>
  <c r="N57" i="710"/>
  <c r="M58" i="710"/>
  <c r="N58" i="710"/>
  <c r="M59" i="710"/>
  <c r="N59" i="710"/>
  <c r="M60" i="710"/>
  <c r="N60" i="710"/>
  <c r="M64" i="710"/>
  <c r="N64" i="710"/>
  <c r="M21" i="709"/>
  <c r="N21" i="709"/>
  <c r="M22" i="709"/>
  <c r="N22" i="709"/>
  <c r="M23" i="709"/>
  <c r="N23" i="709"/>
  <c r="M24" i="709"/>
  <c r="N24" i="709"/>
  <c r="M25" i="709"/>
  <c r="N25" i="709"/>
  <c r="M26" i="709"/>
  <c r="N26" i="709"/>
  <c r="M27" i="709"/>
  <c r="N27" i="709"/>
  <c r="M28" i="709"/>
  <c r="N28" i="709"/>
  <c r="M29" i="709"/>
  <c r="N29" i="709"/>
  <c r="M30" i="709"/>
  <c r="N30" i="709"/>
  <c r="M31" i="709"/>
  <c r="N31" i="709"/>
  <c r="M32" i="709"/>
  <c r="N32" i="709"/>
  <c r="M33" i="709"/>
  <c r="N33" i="709"/>
  <c r="M34" i="709"/>
  <c r="N34" i="709"/>
  <c r="M35" i="709"/>
  <c r="N35" i="709"/>
  <c r="M36" i="709"/>
  <c r="N36" i="709"/>
  <c r="M44" i="709"/>
  <c r="N44" i="709"/>
  <c r="M45" i="709"/>
  <c r="N45" i="709"/>
  <c r="M46" i="709"/>
  <c r="N46" i="709"/>
  <c r="M47" i="709"/>
  <c r="N47" i="709"/>
  <c r="M48" i="709"/>
  <c r="N48" i="709"/>
  <c r="M49" i="709"/>
  <c r="N49" i="709"/>
  <c r="M50" i="709"/>
  <c r="N50" i="709"/>
  <c r="M51" i="709"/>
  <c r="N51" i="709"/>
  <c r="M52" i="709"/>
  <c r="N52" i="709"/>
  <c r="M53" i="709"/>
  <c r="N53" i="709"/>
  <c r="M54" i="709"/>
  <c r="N54" i="709"/>
  <c r="M55" i="709"/>
  <c r="N55" i="709"/>
  <c r="M56" i="709"/>
  <c r="N56" i="709"/>
  <c r="M57" i="709"/>
  <c r="N57" i="709"/>
  <c r="M61" i="709"/>
  <c r="N61" i="709"/>
  <c r="M21" i="708"/>
  <c r="N21" i="708"/>
  <c r="M22" i="708"/>
  <c r="N22" i="708"/>
  <c r="M23" i="708"/>
  <c r="N23" i="708"/>
  <c r="M31" i="708"/>
  <c r="N31" i="708"/>
  <c r="M32" i="708"/>
  <c r="N32" i="708"/>
  <c r="M33" i="708"/>
  <c r="N33" i="708"/>
  <c r="M34" i="708"/>
  <c r="N34" i="708"/>
  <c r="M38" i="708"/>
  <c r="N38" i="708"/>
  <c r="M21" i="707"/>
  <c r="N21" i="707"/>
  <c r="M22" i="707"/>
  <c r="N22" i="707"/>
  <c r="M23" i="707"/>
  <c r="N23" i="707"/>
  <c r="M24" i="707"/>
  <c r="N24" i="707"/>
  <c r="M25" i="707"/>
  <c r="N25" i="707"/>
  <c r="M26" i="707"/>
  <c r="N26" i="707"/>
  <c r="M27" i="707"/>
  <c r="N27" i="707"/>
  <c r="M28" i="707"/>
  <c r="N28" i="707"/>
  <c r="M36" i="707"/>
  <c r="N36" i="707"/>
  <c r="M37" i="707"/>
  <c r="N37" i="707"/>
  <c r="M38" i="707"/>
  <c r="N38" i="707"/>
  <c r="M39" i="707"/>
  <c r="N39" i="707"/>
  <c r="M40" i="707"/>
  <c r="N40" i="707"/>
  <c r="M41" i="707"/>
  <c r="N41" i="707"/>
  <c r="M42" i="707"/>
  <c r="N42" i="707"/>
  <c r="M43" i="707"/>
  <c r="N43" i="707"/>
  <c r="M47" i="707"/>
  <c r="N47" i="707"/>
  <c r="M21" i="706"/>
  <c r="N21" i="706"/>
  <c r="M22" i="706"/>
  <c r="N22" i="706"/>
  <c r="M23" i="706"/>
  <c r="N23" i="706"/>
  <c r="M24" i="706"/>
  <c r="N24" i="706"/>
  <c r="M32" i="706"/>
  <c r="N32" i="706"/>
  <c r="M33" i="706"/>
  <c r="N33" i="706"/>
  <c r="M34" i="706"/>
  <c r="N34" i="706"/>
  <c r="M38" i="706"/>
  <c r="N38" i="706"/>
  <c r="M21" i="705"/>
  <c r="N21" i="705"/>
  <c r="M22" i="705"/>
  <c r="N22" i="705"/>
  <c r="M23" i="705"/>
  <c r="N23" i="705"/>
  <c r="M24" i="705"/>
  <c r="N24" i="705"/>
  <c r="M25" i="705"/>
  <c r="N25" i="705"/>
  <c r="M26" i="705"/>
  <c r="N26" i="705"/>
  <c r="M27" i="705"/>
  <c r="N27" i="705"/>
  <c r="M28" i="705"/>
  <c r="N28" i="705"/>
  <c r="M29" i="705"/>
  <c r="N29" i="705"/>
  <c r="M30" i="705"/>
  <c r="N30" i="705"/>
  <c r="M31" i="705"/>
  <c r="N31" i="705"/>
  <c r="M32" i="705"/>
  <c r="N32" i="705"/>
  <c r="M40" i="705"/>
  <c r="N40" i="705"/>
  <c r="M41" i="705"/>
  <c r="N41" i="705"/>
  <c r="M42" i="705"/>
  <c r="N42" i="705"/>
  <c r="M43" i="705"/>
  <c r="N43" i="705"/>
  <c r="M44" i="705"/>
  <c r="N44" i="705"/>
  <c r="M45" i="705"/>
  <c r="N45" i="705"/>
  <c r="M46" i="705"/>
  <c r="N46" i="705"/>
  <c r="M47" i="705"/>
  <c r="N47" i="705"/>
  <c r="M48" i="705"/>
  <c r="N48" i="705"/>
  <c r="M49" i="705"/>
  <c r="N49" i="705"/>
  <c r="M50" i="705"/>
  <c r="N50" i="705"/>
  <c r="M51" i="705"/>
  <c r="N51" i="705"/>
  <c r="M52" i="705"/>
  <c r="N52" i="705"/>
  <c r="M56" i="705"/>
  <c r="N56" i="705"/>
  <c r="M21" i="704"/>
  <c r="N21" i="704"/>
  <c r="M22" i="704"/>
  <c r="N22" i="704"/>
  <c r="M23" i="704"/>
  <c r="N23" i="704"/>
  <c r="M24" i="704"/>
  <c r="N24" i="704"/>
  <c r="M25" i="704"/>
  <c r="N25" i="704"/>
  <c r="M26" i="704"/>
  <c r="N26" i="704"/>
  <c r="M27" i="704"/>
  <c r="N27" i="704"/>
  <c r="M35" i="704"/>
  <c r="N35" i="704"/>
  <c r="M36" i="704"/>
  <c r="N36" i="704"/>
  <c r="M37" i="704"/>
  <c r="N37" i="704"/>
  <c r="M38" i="704"/>
  <c r="N38" i="704"/>
  <c r="M39" i="704"/>
  <c r="N39" i="704"/>
  <c r="M40" i="704"/>
  <c r="N40" i="704"/>
  <c r="M41" i="704"/>
  <c r="N41" i="704"/>
  <c r="M42" i="704"/>
  <c r="N42" i="704"/>
  <c r="M46" i="704"/>
  <c r="N46" i="704"/>
  <c r="M21" i="703"/>
  <c r="N21" i="703"/>
  <c r="M22" i="703"/>
  <c r="N22" i="703"/>
  <c r="M23" i="703"/>
  <c r="N23" i="703"/>
  <c r="M24" i="703"/>
  <c r="N24" i="703"/>
  <c r="M25" i="703"/>
  <c r="N25" i="703"/>
  <c r="M26" i="703"/>
  <c r="N26" i="703"/>
  <c r="N27" i="703"/>
  <c r="M28" i="703"/>
  <c r="N28" i="703"/>
  <c r="M29" i="703"/>
  <c r="N29" i="703"/>
  <c r="M30" i="703"/>
  <c r="N30" i="703"/>
  <c r="M31" i="703"/>
  <c r="N31" i="703"/>
  <c r="M32" i="703"/>
  <c r="N32" i="703"/>
  <c r="M33" i="703"/>
  <c r="N33" i="703"/>
  <c r="M34" i="703"/>
  <c r="N34" i="703"/>
  <c r="M42" i="703"/>
  <c r="N42" i="703"/>
  <c r="M43" i="703"/>
  <c r="N43" i="703"/>
  <c r="M44" i="703"/>
  <c r="N44" i="703"/>
  <c r="M45" i="703"/>
  <c r="N45" i="703"/>
  <c r="M46" i="703"/>
  <c r="N46" i="703"/>
  <c r="M47" i="703"/>
  <c r="N47" i="703"/>
  <c r="M48" i="703"/>
  <c r="N48" i="703"/>
  <c r="M49" i="703"/>
  <c r="N49" i="703"/>
  <c r="M50" i="703"/>
  <c r="N50" i="703"/>
  <c r="M51" i="703"/>
  <c r="N51" i="703"/>
  <c r="M52" i="703"/>
  <c r="N52" i="703"/>
  <c r="M53" i="703"/>
  <c r="N53" i="703"/>
  <c r="M54" i="703"/>
  <c r="N54" i="703"/>
  <c r="M55" i="703"/>
  <c r="N55" i="703"/>
  <c r="M56" i="703"/>
  <c r="N56" i="703"/>
  <c r="M57" i="703"/>
  <c r="N57" i="703"/>
  <c r="M58" i="703"/>
  <c r="N58" i="703"/>
  <c r="M59" i="703"/>
  <c r="N59" i="703"/>
  <c r="M63" i="703"/>
  <c r="N63" i="703"/>
  <c r="M21" i="702"/>
  <c r="N21" i="702"/>
  <c r="M22" i="702"/>
  <c r="N22" i="702"/>
  <c r="M23" i="702"/>
  <c r="N23" i="702"/>
  <c r="M24" i="702"/>
  <c r="N24" i="702"/>
  <c r="M25" i="702"/>
  <c r="N25" i="702"/>
  <c r="M26" i="702"/>
  <c r="N26" i="702"/>
  <c r="M34" i="702"/>
  <c r="N34" i="702"/>
  <c r="M35" i="702"/>
  <c r="N35" i="702"/>
  <c r="M36" i="702"/>
  <c r="N36" i="702"/>
  <c r="M37" i="702"/>
  <c r="N37" i="702"/>
  <c r="M38" i="702"/>
  <c r="N38" i="702"/>
  <c r="M42" i="702"/>
  <c r="N42" i="702"/>
  <c r="M21" i="701"/>
  <c r="N21" i="701"/>
  <c r="M22" i="701"/>
  <c r="N22" i="701"/>
  <c r="M23" i="701"/>
  <c r="N23" i="701"/>
  <c r="M24" i="701"/>
  <c r="N24" i="701"/>
  <c r="M32" i="701"/>
  <c r="N32" i="701"/>
  <c r="M33" i="701"/>
  <c r="N33" i="701"/>
  <c r="M34" i="701"/>
  <c r="N34" i="701"/>
  <c r="M38" i="701"/>
  <c r="N38" i="701"/>
  <c r="M21" i="700"/>
  <c r="N21" i="700"/>
  <c r="M22" i="700"/>
  <c r="N22" i="700"/>
  <c r="M23" i="700"/>
  <c r="N23" i="700"/>
  <c r="M24" i="700"/>
  <c r="N24" i="700"/>
  <c r="M32" i="700"/>
  <c r="N32" i="700"/>
  <c r="M33" i="700"/>
  <c r="N33" i="700"/>
  <c r="M34" i="700"/>
  <c r="N34" i="700"/>
  <c r="M35" i="700"/>
  <c r="N35" i="700"/>
  <c r="M36" i="700"/>
  <c r="N36" i="700"/>
  <c r="M40" i="700"/>
  <c r="N40" i="700"/>
  <c r="H31" i="1" l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I31" i="1"/>
  <c r="F32" i="1"/>
  <c r="G32" i="1"/>
  <c r="H32" i="1"/>
  <c r="I32" i="1"/>
  <c r="I2" i="1"/>
  <c r="H2" i="1"/>
  <c r="G2" i="1"/>
  <c r="F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D2" i="1"/>
  <c r="E2" i="1"/>
  <c r="C2" i="1"/>
  <c r="P117" i="1" l="1"/>
  <c r="P115" i="1"/>
  <c r="P114" i="1"/>
  <c r="P111" i="1" l="1"/>
  <c r="P112" i="1"/>
  <c r="P96" i="1"/>
  <c r="P108" i="1"/>
  <c r="X117" i="1" l="1"/>
  <c r="Y117" i="1" s="1"/>
  <c r="X96" i="1" l="1"/>
  <c r="Y96" i="1" s="1"/>
  <c r="X108" i="1"/>
  <c r="Y108" i="1" s="1"/>
  <c r="X111" i="1"/>
  <c r="Y111" i="1" s="1"/>
  <c r="X112" i="1"/>
  <c r="Y112" i="1" s="1"/>
  <c r="X114" i="1"/>
  <c r="Y114" i="1" s="1"/>
  <c r="X115" i="1"/>
  <c r="Y115" i="1" s="1"/>
  <c r="P105" i="1" l="1"/>
  <c r="X105" i="1" l="1"/>
  <c r="Y105" i="1" s="1"/>
  <c r="P100" i="1" l="1"/>
  <c r="P99" i="1"/>
  <c r="X100" i="1" l="1"/>
  <c r="Y100" i="1" s="1"/>
  <c r="X99" i="1"/>
  <c r="Y99" i="1" s="1"/>
  <c r="P106" i="1" l="1"/>
  <c r="P103" i="1"/>
  <c r="X103" i="1" s="1"/>
  <c r="Y103" i="1" s="1"/>
  <c r="P102" i="1"/>
  <c r="X102" i="1" s="1"/>
  <c r="Y102" i="1" s="1"/>
  <c r="P101" i="1"/>
  <c r="X101" i="1" s="1"/>
  <c r="Y101" i="1" s="1"/>
  <c r="P104" i="1" l="1"/>
  <c r="X104" i="1" s="1"/>
  <c r="Y104" i="1" s="1"/>
  <c r="P107" i="1"/>
  <c r="X107" i="1" s="1"/>
  <c r="Y107" i="1" s="1"/>
  <c r="P110" i="1"/>
  <c r="X110" i="1" s="1"/>
  <c r="Y110" i="1" s="1"/>
  <c r="X106" i="1"/>
  <c r="Y106" i="1" s="1"/>
  <c r="P109" i="1"/>
  <c r="X109" i="1" s="1"/>
  <c r="Y109" i="1" s="1"/>
  <c r="P113" i="1"/>
  <c r="X113" i="1" s="1"/>
  <c r="Y113" i="1" s="1"/>
  <c r="K118" i="1"/>
  <c r="K119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O169" i="1" l="1"/>
  <c r="O168" i="1"/>
  <c r="N168" i="1"/>
  <c r="M168" i="1"/>
  <c r="O165" i="1"/>
  <c r="N165" i="1"/>
  <c r="O161" i="1"/>
  <c r="N161" i="1"/>
  <c r="N169" i="1" l="1"/>
  <c r="X92" i="1" l="1"/>
  <c r="P98" i="1" l="1"/>
  <c r="P94" i="1"/>
  <c r="P97" i="1"/>
  <c r="P95" i="1"/>
  <c r="P93" i="1"/>
  <c r="X98" i="1" l="1"/>
  <c r="Y98" i="1" s="1"/>
  <c r="X97" i="1"/>
  <c r="Y97" i="1" s="1"/>
  <c r="X95" i="1"/>
  <c r="Y95" i="1" s="1"/>
  <c r="X94" i="1"/>
  <c r="Y94" i="1" s="1"/>
  <c r="X93" i="1"/>
  <c r="Y93" i="1" s="1"/>
  <c r="P91" i="1" l="1"/>
  <c r="P90" i="1"/>
  <c r="X91" i="1" l="1"/>
  <c r="Y91" i="1" s="1"/>
  <c r="X90" i="1"/>
  <c r="Y90" i="1" s="1"/>
  <c r="K94" i="1" l="1"/>
  <c r="K95" i="1"/>
  <c r="K96" i="1"/>
  <c r="K97" i="1"/>
  <c r="K98" i="1"/>
  <c r="K99" i="1"/>
  <c r="K100" i="1"/>
  <c r="K101" i="1"/>
  <c r="K102" i="1"/>
  <c r="K103" i="1"/>
  <c r="K104" i="1"/>
  <c r="P88" i="1" l="1"/>
  <c r="X88" i="1" s="1"/>
  <c r="Y88" i="1" s="1"/>
  <c r="P89" i="1"/>
  <c r="X89" i="1" s="1"/>
  <c r="Y89" i="1" s="1"/>
  <c r="P82" i="1" l="1"/>
  <c r="P83" i="1"/>
  <c r="P84" i="1"/>
  <c r="P85" i="1"/>
  <c r="P86" i="1"/>
  <c r="X86" i="1" l="1"/>
  <c r="Y86" i="1" s="1"/>
  <c r="X85" i="1"/>
  <c r="Y85" i="1" s="1"/>
  <c r="X84" i="1"/>
  <c r="Y84" i="1" s="1"/>
  <c r="X83" i="1"/>
  <c r="Y83" i="1" s="1"/>
  <c r="X82" i="1"/>
  <c r="Y82" i="1" s="1"/>
  <c r="P80" i="1" l="1"/>
  <c r="X80" i="1" l="1"/>
  <c r="Y80" i="1" s="1"/>
  <c r="P81" i="1" l="1"/>
  <c r="P78" i="1" l="1"/>
  <c r="P79" i="1"/>
  <c r="X79" i="1" s="1"/>
  <c r="Y79" i="1" s="1"/>
  <c r="P87" i="1"/>
  <c r="X87" i="1" l="1"/>
  <c r="Y87" i="1" s="1"/>
  <c r="X81" i="1"/>
  <c r="Y81" i="1" s="1"/>
  <c r="X78" i="1"/>
  <c r="Y78" i="1" s="1"/>
  <c r="P77" i="1" l="1"/>
  <c r="X77" i="1" l="1"/>
  <c r="Y77" i="1" s="1"/>
  <c r="P76" i="1" l="1"/>
  <c r="P70" i="1" l="1"/>
  <c r="X76" i="1"/>
  <c r="Y76" i="1" s="1"/>
  <c r="O155" i="1"/>
  <c r="O156" i="1"/>
  <c r="O152" i="1"/>
  <c r="O148" i="1"/>
  <c r="X70" i="1" l="1"/>
  <c r="Y70" i="1" s="1"/>
  <c r="P47" i="1" l="1"/>
  <c r="K32" i="1" l="1"/>
  <c r="N155" i="1"/>
  <c r="M155" i="1"/>
  <c r="N152" i="1"/>
  <c r="N148" i="1"/>
  <c r="X47" i="1" l="1"/>
  <c r="Y47" i="1" s="1"/>
  <c r="N156" i="1"/>
  <c r="K76" i="1" l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N139" i="1" l="1"/>
  <c r="N135" i="1"/>
  <c r="N142" i="1"/>
  <c r="M142" i="1"/>
  <c r="N143" i="1" l="1"/>
  <c r="P69" i="1" l="1"/>
  <c r="P66" i="1"/>
  <c r="N126" i="1"/>
  <c r="P126" i="1" s="1"/>
  <c r="P64" i="1" l="1"/>
  <c r="P65" i="1"/>
  <c r="P67" i="1"/>
  <c r="P50" i="1"/>
  <c r="P68" i="1"/>
  <c r="X69" i="1"/>
  <c r="Y69" i="1" s="1"/>
  <c r="P75" i="1"/>
  <c r="X68" i="1" l="1"/>
  <c r="Y68" i="1" s="1"/>
  <c r="X67" i="1"/>
  <c r="Y67" i="1" s="1"/>
  <c r="X66" i="1"/>
  <c r="Y66" i="1" s="1"/>
  <c r="X65" i="1"/>
  <c r="Y65" i="1" s="1"/>
  <c r="X64" i="1"/>
  <c r="Y64" i="1" s="1"/>
  <c r="P73" i="1"/>
  <c r="X50" i="1" l="1"/>
  <c r="Y50" i="1" s="1"/>
  <c r="P74" i="1"/>
  <c r="X75" i="1" l="1"/>
  <c r="Y75" i="1" s="1"/>
  <c r="X73" i="1"/>
  <c r="Y73" i="1" s="1"/>
  <c r="P72" i="1"/>
  <c r="X74" i="1" l="1"/>
  <c r="Y74" i="1" s="1"/>
  <c r="P63" i="1"/>
  <c r="X72" i="1"/>
  <c r="Y72" i="1" s="1"/>
  <c r="P71" i="1"/>
  <c r="P53" i="1"/>
  <c r="X71" i="1" l="1"/>
  <c r="Y71" i="1" s="1"/>
  <c r="P59" i="1"/>
  <c r="P61" i="1"/>
  <c r="P62" i="1"/>
  <c r="X62" i="1" s="1"/>
  <c r="Y62" i="1" s="1"/>
  <c r="P60" i="1"/>
  <c r="X63" i="1"/>
  <c r="Y63" i="1" s="1"/>
  <c r="X61" i="1" l="1"/>
  <c r="Y61" i="1" s="1"/>
  <c r="X60" i="1"/>
  <c r="Y60" i="1" s="1"/>
  <c r="X59" i="1"/>
  <c r="Y59" i="1" s="1"/>
  <c r="X53" i="1"/>
  <c r="Y53" i="1" s="1"/>
  <c r="K58" i="1" l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P58" i="1" l="1"/>
  <c r="P57" i="1" l="1"/>
  <c r="X57" i="1" l="1"/>
  <c r="Y57" i="1" s="1"/>
  <c r="P56" i="1"/>
  <c r="P55" i="1"/>
  <c r="P54" i="1"/>
  <c r="X56" i="1" l="1"/>
  <c r="Y56" i="1" s="1"/>
  <c r="X54" i="1"/>
  <c r="Y54" i="1" s="1"/>
  <c r="X55" i="1"/>
  <c r="Y55" i="1" s="1"/>
  <c r="P52" i="1"/>
  <c r="X52" i="1" s="1"/>
  <c r="Y52" i="1" s="1"/>
  <c r="X58" i="1"/>
  <c r="Y58" i="1" s="1"/>
  <c r="P45" i="1"/>
  <c r="X45" i="1" s="1"/>
  <c r="Y45" i="1" s="1"/>
  <c r="P51" i="1"/>
  <c r="P49" i="1"/>
  <c r="P48" i="1" l="1"/>
  <c r="X48" i="1" s="1"/>
  <c r="Y48" i="1" s="1"/>
  <c r="X49" i="1"/>
  <c r="Y49" i="1" s="1"/>
  <c r="X51" i="1"/>
  <c r="Y51" i="1" s="1"/>
  <c r="P26" i="1"/>
  <c r="X26" i="1" l="1"/>
  <c r="Y26" i="1" s="1"/>
  <c r="P46" i="1"/>
  <c r="X46" i="1" l="1"/>
  <c r="Y46" i="1" s="1"/>
  <c r="P43" i="1"/>
  <c r="P44" i="1" l="1"/>
  <c r="X44" i="1"/>
  <c r="Y44" i="1" s="1"/>
  <c r="X43" i="1"/>
  <c r="Y43" i="1" s="1"/>
  <c r="K36" i="1" l="1"/>
  <c r="P40" i="1" l="1"/>
  <c r="P35" i="1"/>
  <c r="P33" i="1"/>
  <c r="P34" i="1"/>
  <c r="P36" i="1"/>
  <c r="P37" i="1"/>
  <c r="P38" i="1"/>
  <c r="P39" i="1"/>
  <c r="P41" i="1"/>
  <c r="P42" i="1"/>
  <c r="X34" i="1"/>
  <c r="Y34" i="1" s="1"/>
  <c r="X40" i="1" l="1"/>
  <c r="Y40" i="1" s="1"/>
  <c r="X35" i="1"/>
  <c r="Y35" i="1" s="1"/>
  <c r="X39" i="1"/>
  <c r="Y39" i="1" s="1"/>
  <c r="X37" i="1"/>
  <c r="Y37" i="1" s="1"/>
  <c r="X41" i="1"/>
  <c r="Y41" i="1" s="1"/>
  <c r="X38" i="1"/>
  <c r="Y38" i="1" s="1"/>
  <c r="X36" i="1"/>
  <c r="Y36" i="1" s="1"/>
  <c r="X42" i="1"/>
  <c r="Y42" i="1" s="1"/>
  <c r="X33" i="1"/>
  <c r="Y33" i="1" s="1"/>
  <c r="P30" i="1"/>
  <c r="P29" i="1"/>
  <c r="P28" i="1"/>
  <c r="X28" i="1" l="1"/>
  <c r="Y28" i="1" s="1"/>
  <c r="X29" i="1"/>
  <c r="Y29" i="1" s="1"/>
  <c r="X30" i="1"/>
  <c r="Y30" i="1" s="1"/>
  <c r="P31" i="1"/>
  <c r="X31" i="1" s="1"/>
  <c r="Y31" i="1" s="1"/>
  <c r="P25" i="1" l="1"/>
  <c r="P27" i="1"/>
  <c r="X25" i="1" l="1"/>
  <c r="Y25" i="1" s="1"/>
  <c r="X27" i="1"/>
  <c r="Y27" i="1" s="1"/>
  <c r="P24" i="1"/>
  <c r="X24" i="1" l="1"/>
  <c r="Y24" i="1" s="1"/>
  <c r="P23" i="1" l="1"/>
  <c r="X23" i="1" l="1"/>
  <c r="Y23" i="1" s="1"/>
  <c r="P22" i="1"/>
  <c r="X22" i="1" l="1"/>
  <c r="Y22" i="1" s="1"/>
  <c r="P21" i="1" l="1"/>
  <c r="X21" i="1"/>
  <c r="Y21" i="1" s="1"/>
  <c r="P20" i="1" l="1"/>
  <c r="X20" i="1" l="1"/>
  <c r="Y20" i="1" s="1"/>
  <c r="P14" i="1"/>
  <c r="X14" i="1" l="1"/>
  <c r="Y14" i="1" s="1"/>
  <c r="P16" i="1" l="1"/>
  <c r="X16" i="1" s="1"/>
  <c r="Y16" i="1" s="1"/>
  <c r="P17" i="1"/>
  <c r="P18" i="1"/>
  <c r="P19" i="1"/>
  <c r="X18" i="1" l="1"/>
  <c r="Y18" i="1" s="1"/>
  <c r="P15" i="1"/>
  <c r="X17" i="1"/>
  <c r="Y17" i="1" s="1"/>
  <c r="X19" i="1"/>
  <c r="Y19" i="1" s="1"/>
  <c r="X15" i="1" l="1"/>
  <c r="Y15" i="1" s="1"/>
  <c r="P13" i="1"/>
  <c r="P12" i="1"/>
  <c r="X13" i="1" l="1"/>
  <c r="Y13" i="1" s="1"/>
  <c r="X12" i="1"/>
  <c r="Y12" i="1" s="1"/>
  <c r="P11" i="1" l="1"/>
  <c r="P10" i="1"/>
  <c r="P8" i="1" l="1"/>
  <c r="X11" i="1"/>
  <c r="Y11" i="1" s="1"/>
  <c r="X10" i="1"/>
  <c r="Y10" i="1" s="1"/>
  <c r="X8" i="1"/>
  <c r="Y8" i="1" s="1"/>
  <c r="P7" i="1"/>
  <c r="P9" i="1"/>
  <c r="X9" i="1" l="1"/>
  <c r="Y9" i="1" s="1"/>
  <c r="X7" i="1"/>
  <c r="Y7" i="1" s="1"/>
  <c r="P6" i="1" l="1"/>
  <c r="X6" i="1" s="1"/>
  <c r="Y6" i="1" s="1"/>
  <c r="P5" i="1" l="1"/>
  <c r="X5" i="1" l="1"/>
  <c r="Y5" i="1" s="1"/>
  <c r="P4" i="1" l="1"/>
  <c r="X4" i="1" s="1"/>
  <c r="Y4" i="1" s="1"/>
  <c r="P3" i="1" l="1"/>
  <c r="X3" i="1" s="1"/>
  <c r="Y3" i="1" s="1"/>
  <c r="R127" i="1"/>
  <c r="Q127" i="1"/>
  <c r="K29" i="1" l="1"/>
  <c r="P2" i="1" l="1"/>
  <c r="P127" i="1" l="1"/>
  <c r="P12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4" i="1"/>
  <c r="T2" i="1" l="1"/>
  <c r="U2" i="1" s="1"/>
  <c r="V2" i="1" l="1"/>
  <c r="W2" i="1" s="1"/>
  <c r="S2" i="1"/>
  <c r="S127" i="1" l="1"/>
  <c r="X127" i="1" s="1"/>
  <c r="Y127" i="1" s="1"/>
  <c r="S122" i="1"/>
  <c r="X2" i="1"/>
  <c r="Y2" i="1" s="1"/>
  <c r="X122" i="1" l="1"/>
  <c r="Y122" i="1" s="1"/>
  <c r="N127" i="1"/>
  <c r="T127" i="1" s="1"/>
  <c r="U127" i="1" s="1"/>
  <c r="O127" i="1"/>
  <c r="V127" i="1" s="1"/>
  <c r="W127" i="1" s="1"/>
</calcChain>
</file>

<file path=xl/sharedStrings.xml><?xml version="1.0" encoding="utf-8"?>
<sst xmlns="http://schemas.openxmlformats.org/spreadsheetml/2006/main" count="4878" uniqueCount="1266">
  <si>
    <t>Пробег</t>
  </si>
  <si>
    <t>ЕСАУЛ 394511-03</t>
  </si>
  <si>
    <t>LADA VESTA GFL110</t>
  </si>
  <si>
    <t>Е898НТ15</t>
  </si>
  <si>
    <t>XW7BF4FK10S155841</t>
  </si>
  <si>
    <t>103-69</t>
  </si>
  <si>
    <t>ФОРД EXPLORER</t>
  </si>
  <si>
    <t>А725НА15</t>
  </si>
  <si>
    <t>XTAGFL110MY545270</t>
  </si>
  <si>
    <t>106-01</t>
  </si>
  <si>
    <t>Цена н/ч</t>
  </si>
  <si>
    <t>Рубль</t>
  </si>
  <si>
    <t>Марка/Модель</t>
  </si>
  <si>
    <t>ГЗН</t>
  </si>
  <si>
    <t>VIN</t>
  </si>
  <si>
    <t>Год вып.</t>
  </si>
  <si>
    <t>Дата</t>
  </si>
  <si>
    <t>Гараж. Номер</t>
  </si>
  <si>
    <t>Номер/месяц</t>
  </si>
  <si>
    <t>Номер ЗН</t>
  </si>
  <si>
    <t>Номер/год</t>
  </si>
  <si>
    <t>Номер ММ</t>
  </si>
  <si>
    <t>Е833ОЕ15</t>
  </si>
  <si>
    <t>XTAGFL110LY378838</t>
  </si>
  <si>
    <t>104-61</t>
  </si>
  <si>
    <t>Номер п/п</t>
  </si>
  <si>
    <t>РАБОТЫ</t>
  </si>
  <si>
    <t>З/Ч</t>
  </si>
  <si>
    <t>%</t>
  </si>
  <si>
    <t xml:space="preserve">% </t>
  </si>
  <si>
    <t>LADA PRIORA 217050</t>
  </si>
  <si>
    <t>001-10</t>
  </si>
  <si>
    <t>002-10</t>
  </si>
  <si>
    <t>ГРЗ</t>
  </si>
  <si>
    <t>пробег</t>
  </si>
  <si>
    <t>год вып.</t>
  </si>
  <si>
    <t>дата</t>
  </si>
  <si>
    <t>гараж. №</t>
  </si>
  <si>
    <t>№ акта ЕИС</t>
  </si>
  <si>
    <t>Е546НТ15</t>
  </si>
  <si>
    <t>X8939451CK0AK5318</t>
  </si>
  <si>
    <t>104-96</t>
  </si>
  <si>
    <t>РЕНО ДАСТЕР</t>
  </si>
  <si>
    <t>В391ОХ15</t>
  </si>
  <si>
    <t>X7LHSRHGN59704684</t>
  </si>
  <si>
    <t>103-79</t>
  </si>
  <si>
    <r>
      <rPr>
        <sz val="6"/>
        <rFont val="Arial"/>
        <family val="2"/>
        <charset val="204"/>
      </rPr>
      <t>№</t>
    </r>
  </si>
  <si>
    <r>
      <rPr>
        <sz val="6"/>
        <rFont val="Arial"/>
        <family val="2"/>
        <charset val="204"/>
      </rPr>
      <t>Наименование</t>
    </r>
  </si>
  <si>
    <r>
      <rPr>
        <sz val="6"/>
        <rFont val="Arial"/>
        <family val="2"/>
        <charset val="204"/>
      </rPr>
      <t>Цена</t>
    </r>
  </si>
  <si>
    <r>
      <rPr>
        <sz val="6"/>
        <rFont val="Arial"/>
        <family val="2"/>
        <charset val="204"/>
      </rPr>
      <t>Норма</t>
    </r>
  </si>
  <si>
    <r>
      <rPr>
        <sz val="6"/>
        <rFont val="Arial"/>
        <family val="2"/>
        <charset val="204"/>
      </rPr>
      <t>н/ч</t>
    </r>
  </si>
  <si>
    <r>
      <rPr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</si>
  <si>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Рубль</t>
    </r>
  </si>
  <si>
    <r>
      <rPr>
        <sz val="6"/>
        <rFont val="Arial"/>
        <family val="2"/>
        <charset val="204"/>
      </rPr>
      <t>Кол-во</t>
    </r>
  </si>
  <si>
    <r>
      <rPr>
        <sz val="6"/>
        <rFont val="Arial"/>
        <family val="2"/>
        <charset val="204"/>
      </rPr>
      <t>шт</t>
    </r>
  </si>
  <si>
    <t>Е409РС15</t>
  </si>
  <si>
    <t>сумма</t>
  </si>
  <si>
    <t>Е506НТ15</t>
  </si>
  <si>
    <t>X8939451CK0AK5346</t>
  </si>
  <si>
    <t>104-91</t>
  </si>
  <si>
    <t>Е154РА15</t>
  </si>
  <si>
    <t>XTAGFL110LY443716</t>
  </si>
  <si>
    <t>105-53</t>
  </si>
  <si>
    <t>HAVAL F7 CC6475UM09C</t>
  </si>
  <si>
    <t>Е985ЕН15</t>
  </si>
  <si>
    <t>XZGEF04A4PA351278</t>
  </si>
  <si>
    <t>106-74</t>
  </si>
  <si>
    <t>TOYOTA CAMRY ASV70L-RE</t>
  </si>
  <si>
    <t>Е778РА15</t>
  </si>
  <si>
    <t>XW7BF4HK905167068</t>
  </si>
  <si>
    <t>106-39</t>
  </si>
  <si>
    <t>KIA XM FL (SORENTO)</t>
  </si>
  <si>
    <t>О0774/15</t>
  </si>
  <si>
    <t>XWEKU811DKC024995</t>
  </si>
  <si>
    <t>105-55</t>
  </si>
  <si>
    <r>
      <rPr>
        <sz val="6"/>
        <rFont val="Arial"/>
        <family val="2"/>
        <charset val="204"/>
      </rPr>
      <t>Диагностика ДВС</t>
    </r>
  </si>
  <si>
    <r>
      <rPr>
        <sz val="6"/>
        <rFont val="Arial"/>
        <family val="2"/>
        <charset val="204"/>
      </rPr>
      <t>Ремонт электрооборудования</t>
    </r>
  </si>
  <si>
    <r>
      <rPr>
        <sz val="6"/>
        <rFont val="Arial"/>
        <family val="2"/>
        <charset val="204"/>
      </rPr>
      <t>в т.ч. НДС</t>
    </r>
  </si>
  <si>
    <r>
      <rPr>
        <sz val="6"/>
        <rFont val="Arial"/>
        <family val="2"/>
        <charset val="204"/>
      </rPr>
      <t>кт</t>
    </r>
  </si>
  <si>
    <r>
      <rPr>
        <sz val="6"/>
        <rFont val="Arial"/>
        <family val="2"/>
        <charset val="204"/>
      </rPr>
      <t>норма</t>
    </r>
  </si>
  <si>
    <r>
      <rPr>
        <sz val="6"/>
        <rFont val="Arial"/>
        <family val="2"/>
        <charset val="204"/>
      </rPr>
      <t>Итого работ:</t>
    </r>
  </si>
  <si>
    <r>
      <rPr>
        <sz val="8"/>
        <rFont val="Arial"/>
        <family val="2"/>
        <charset val="204"/>
      </rPr>
      <t>Заказчик: Общество с ограниченной ответственностью «Концепт»</t>
    </r>
  </si>
  <si>
    <r>
      <rPr>
        <sz val="6"/>
        <rFont val="Arial"/>
        <family val="2"/>
        <charset val="204"/>
      </rPr>
      <t>№ кат.</t>
    </r>
  </si>
  <si>
    <r>
      <rPr>
        <sz val="6"/>
        <rFont val="Arial"/>
        <family val="2"/>
        <charset val="204"/>
      </rPr>
      <t>Кол. оп.</t>
    </r>
  </si>
  <si>
    <r>
      <rPr>
        <sz val="6"/>
        <rFont val="Arial"/>
        <family val="2"/>
        <charset val="204"/>
      </rPr>
      <t>1</t>
    </r>
  </si>
  <si>
    <r>
      <rPr>
        <sz val="6"/>
        <rFont val="Arial"/>
        <family val="2"/>
        <charset val="204"/>
      </rPr>
      <t>2</t>
    </r>
  </si>
  <si>
    <r>
      <rPr>
        <sz val="6"/>
        <rFont val="Arial"/>
        <family val="2"/>
        <charset val="204"/>
      </rPr>
      <t>3</t>
    </r>
  </si>
  <si>
    <r>
      <rPr>
        <sz val="6"/>
        <rFont val="Arial"/>
        <family val="2"/>
        <charset val="204"/>
      </rPr>
      <t>4</t>
    </r>
  </si>
  <si>
    <r>
      <rPr>
        <sz val="6"/>
        <rFont val="Arial"/>
        <family val="2"/>
        <charset val="204"/>
      </rPr>
      <t>5</t>
    </r>
  </si>
  <si>
    <r>
      <rPr>
        <sz val="6"/>
        <rFont val="Arial"/>
        <family val="2"/>
        <charset val="204"/>
      </rPr>
      <t>6</t>
    </r>
  </si>
  <si>
    <r>
      <rPr>
        <sz val="6"/>
        <rFont val="Arial"/>
        <family val="2"/>
        <charset val="204"/>
      </rPr>
      <t>7</t>
    </r>
  </si>
  <si>
    <r>
      <rPr>
        <sz val="6"/>
        <rFont val="Arial"/>
        <family val="2"/>
        <charset val="204"/>
      </rPr>
      <t>8</t>
    </r>
  </si>
  <si>
    <r>
      <rPr>
        <sz val="6"/>
        <rFont val="Arial"/>
        <family val="2"/>
        <charset val="204"/>
      </rPr>
      <t>9</t>
    </r>
  </si>
  <si>
    <r>
      <rPr>
        <sz val="6"/>
        <rFont val="Arial"/>
        <family val="2"/>
        <charset val="204"/>
      </rPr>
      <t>на сумму:</t>
    </r>
  </si>
  <si>
    <r>
      <rPr>
        <sz val="6"/>
        <rFont val="Arial"/>
        <family val="2"/>
        <charset val="204"/>
      </rPr>
      <t>Ед.изм.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</si>
  <si>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</si>
  <si>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>1250,00</t>
    </r>
  </si>
  <si>
    <r>
      <rPr>
        <sz val="6"/>
        <rFont val="Arial"/>
        <family val="2"/>
        <charset val="204"/>
      </rPr>
      <t>1.000</t>
    </r>
  </si>
  <si>
    <r>
      <rPr>
        <sz val="6"/>
        <rFont val="Arial"/>
        <family val="2"/>
        <charset val="204"/>
      </rPr>
      <t>Заказчик: Общество с ограниченной ответственностью «Концепт»</t>
    </r>
  </si>
  <si>
    <r>
      <rPr>
        <sz val="6"/>
        <rFont val="Arial"/>
        <family val="2"/>
        <charset val="204"/>
      </rPr>
      <t>цена</t>
    </r>
  </si>
  <si>
    <r>
      <rPr>
        <sz val="6"/>
        <rFont val="Arial"/>
        <family val="2"/>
        <charset val="204"/>
      </rPr>
      <t>итого работ:</t>
    </r>
  </si>
  <si>
    <r>
      <rPr>
        <sz val="6"/>
        <rFont val="Arial"/>
        <family val="2"/>
        <charset val="204"/>
      </rPr>
      <t>Замена катушки зажигания</t>
    </r>
  </si>
  <si>
    <t>ГАЗ 2705</t>
  </si>
  <si>
    <t>В645ОТ15</t>
  </si>
  <si>
    <t>X96270500H0824002</t>
  </si>
  <si>
    <t>103-68</t>
  </si>
  <si>
    <t>Т158АЕ15</t>
  </si>
  <si>
    <t>XTA217050G0529350</t>
  </si>
  <si>
    <t>102-89</t>
  </si>
  <si>
    <r>
      <rPr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</si>
  <si>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</si>
  <si>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>Ремонт выхлопной системы</t>
    </r>
  </si>
  <si>
    <r>
      <rPr>
        <sz val="6"/>
        <rFont val="Arial"/>
        <family val="2"/>
        <charset val="204"/>
      </rPr>
      <t>Замена термостата</t>
    </r>
  </si>
  <si>
    <r>
      <rPr>
        <sz val="6"/>
        <rFont val="Arial"/>
        <family val="2"/>
        <charset val="204"/>
      </rPr>
      <t>на сумму.</t>
    </r>
  </si>
  <si>
    <t>101-31</t>
  </si>
  <si>
    <t>Z6FBXXESWBES15416</t>
  </si>
  <si>
    <r>
      <rPr>
        <sz val="6"/>
        <rFont val="Arial"/>
        <family val="2"/>
        <charset val="204"/>
      </rPr>
      <t>901,64</t>
    </r>
  </si>
  <si>
    <r>
      <rPr>
        <sz val="6"/>
        <rFont val="Arial"/>
        <family val="2"/>
        <charset val="204"/>
      </rPr>
      <t>5 000,00</t>
    </r>
  </si>
  <si>
    <r>
      <rPr>
        <sz val="6"/>
        <rFont val="Arial"/>
        <family val="2"/>
        <charset val="204"/>
      </rPr>
      <t>4 000 00</t>
    </r>
  </si>
  <si>
    <r>
      <rPr>
        <sz val="6"/>
        <rFont val="Arial"/>
        <family val="2"/>
        <charset val="204"/>
      </rPr>
      <t>наименование</t>
    </r>
  </si>
  <si>
    <r>
      <rPr>
        <sz val="6"/>
        <rFont val="Arial"/>
        <family val="2"/>
        <charset val="204"/>
      </rPr>
      <t xml:space="preserve">Антифриз </t>
    </r>
    <r>
      <rPr>
        <sz val="6"/>
        <rFont val="Arial"/>
        <family val="2"/>
        <charset val="204"/>
      </rPr>
      <t xml:space="preserve">Sintec LUXE G12+, </t>
    </r>
    <r>
      <rPr>
        <sz val="6"/>
        <rFont val="Arial"/>
        <family val="2"/>
        <charset val="204"/>
      </rPr>
      <t>5 кг, красный</t>
    </r>
  </si>
  <si>
    <r>
      <rPr>
        <sz val="6"/>
        <rFont val="Arial"/>
        <family val="2"/>
        <charset val="204"/>
      </rPr>
      <t>901 64</t>
    </r>
  </si>
  <si>
    <r>
      <rPr>
        <sz val="6"/>
        <rFont val="Arial"/>
        <family val="2"/>
        <charset val="204"/>
      </rPr>
      <t>катушка зажигания 405 Евро-3 (модуль) СОАТЭ</t>
    </r>
  </si>
  <si>
    <t>УАЗ ПАТРИОТ</t>
  </si>
  <si>
    <t>TOYOTA CAMRY GSV70L-REZ</t>
  </si>
  <si>
    <t>Е301ОУ15</t>
  </si>
  <si>
    <t>XW7BZYHK50S111563</t>
  </si>
  <si>
    <t>105-43</t>
  </si>
  <si>
    <t>LADA GRANTA 219010</t>
  </si>
  <si>
    <t>А722НА15</t>
  </si>
  <si>
    <t>XTA219010M0770129</t>
  </si>
  <si>
    <t>105-89</t>
  </si>
  <si>
    <t>ЛАДА ГРАНТА 219010</t>
  </si>
  <si>
    <t>В782ОХ15</t>
  </si>
  <si>
    <t>В211ОХ15</t>
  </si>
  <si>
    <t>XTAGFL110JY197249</t>
  </si>
  <si>
    <t>103-75</t>
  </si>
  <si>
    <t>Е378ОУ15</t>
  </si>
  <si>
    <t>XTAGFL110LY443715</t>
  </si>
  <si>
    <t>105-48</t>
  </si>
  <si>
    <t>Е368НТ15</t>
  </si>
  <si>
    <t>X8939451CK0AK5323</t>
  </si>
  <si>
    <t>104-95</t>
  </si>
  <si>
    <t>ГАЗ 27322Е</t>
  </si>
  <si>
    <t>О0775/15</t>
  </si>
  <si>
    <t>XUY27322EL0000276</t>
  </si>
  <si>
    <t>105-62</t>
  </si>
  <si>
    <t>М0629/15</t>
  </si>
  <si>
    <t>Z8X38406LD0000147</t>
  </si>
  <si>
    <t>100-68</t>
  </si>
  <si>
    <r>
      <rPr>
        <sz val="8"/>
        <rFont val="Arial"/>
        <family val="2"/>
        <charset val="204"/>
      </rPr>
      <t>Кол-во</t>
    </r>
  </si>
  <si>
    <r>
      <rPr>
        <sz val="6"/>
        <rFont val="Arial"/>
        <family val="2"/>
        <charset val="204"/>
      </rPr>
      <t>СМР9001</t>
    </r>
  </si>
  <si>
    <r>
      <rPr>
        <sz val="6"/>
        <rFont val="Arial"/>
        <family val="2"/>
        <charset val="204"/>
      </rPr>
      <t>ЕКО0262</t>
    </r>
  </si>
  <si>
    <r>
      <rPr>
        <sz val="6"/>
        <rFont val="Arial"/>
        <family val="2"/>
        <charset val="204"/>
      </rPr>
      <t>Ремонт электропроводки</t>
    </r>
  </si>
  <si>
    <r>
      <rPr>
        <sz val="6"/>
        <rFont val="Arial"/>
        <family val="2"/>
        <charset val="204"/>
      </rPr>
      <t>0,00</t>
    </r>
  </si>
  <si>
    <r>
      <rPr>
        <sz val="6"/>
        <rFont val="Arial"/>
        <family val="2"/>
        <charset val="204"/>
      </rPr>
      <t>Замена радиатора охлаждения</t>
    </r>
  </si>
  <si>
    <r>
      <rPr>
        <sz val="8"/>
        <rFont val="Arial"/>
        <family val="2"/>
        <charset val="204"/>
      </rPr>
      <t>шт</t>
    </r>
  </si>
  <si>
    <r>
      <rPr>
        <sz val="6"/>
        <rFont val="Arial"/>
        <family val="2"/>
        <charset val="204"/>
      </rPr>
      <t>сход-развал</t>
    </r>
  </si>
  <si>
    <r>
      <rPr>
        <sz val="6"/>
        <rFont val="Arial"/>
        <family val="2"/>
        <charset val="204"/>
      </rPr>
      <t>адрес заказчика : 364024, ЧР г.Грозный, ул.Назарбаева, д.92, оф. 6-05</t>
    </r>
  </si>
  <si>
    <r>
      <rPr>
        <sz val="6"/>
        <rFont val="Arial"/>
        <family val="2"/>
        <charset val="204"/>
      </rPr>
      <t>Замена рулевого кардана</t>
    </r>
  </si>
  <si>
    <r>
      <rPr>
        <sz val="6"/>
        <rFont val="Arial"/>
        <family val="2"/>
        <charset val="204"/>
      </rPr>
      <t>18 500,00</t>
    </r>
  </si>
  <si>
    <r>
      <rPr>
        <sz val="6"/>
        <rFont val="Arial"/>
        <family val="2"/>
        <charset val="204"/>
      </rPr>
      <t>2 500.00</t>
    </r>
  </si>
  <si>
    <r>
      <rPr>
        <sz val="8"/>
        <rFont val="Arial"/>
        <family val="2"/>
        <charset val="204"/>
      </rPr>
      <t>Расходная накладная к заказ-наряду № 100087 от</t>
    </r>
    <r>
      <rPr>
        <sz val="8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22.02.2026</t>
    </r>
  </si>
  <si>
    <r>
      <rPr>
        <sz val="6"/>
        <rFont val="Arial"/>
        <family val="2"/>
        <charset val="204"/>
      </rPr>
      <t>5 000.00</t>
    </r>
  </si>
  <si>
    <r>
      <rPr>
        <sz val="6"/>
        <rFont val="Arial"/>
        <family val="2"/>
        <charset val="204"/>
      </rPr>
      <t>Шиномонтаж колеса (снять колесо,сборка-разборка, балансировка, поставить колесо) 1 шт.</t>
    </r>
  </si>
  <si>
    <r>
      <rPr>
        <sz val="10"/>
        <rFont val="Arial"/>
        <family val="2"/>
        <charset val="204"/>
      </rPr>
      <t>Заказ-наряд № 100087 от 22.02.2026</t>
    </r>
  </si>
  <si>
    <t>ЛАДА 213100</t>
  </si>
  <si>
    <t>А678ХМ126</t>
  </si>
  <si>
    <t>XTA213100F0171867</t>
  </si>
  <si>
    <t>106-62</t>
  </si>
  <si>
    <t>ГАЗ 38406L</t>
  </si>
  <si>
    <t>Автомобиль : TANK гос. номер: М 0832 77</t>
  </si>
  <si>
    <t xml:space="preserve"> TANK</t>
  </si>
  <si>
    <t>M083277</t>
  </si>
  <si>
    <t>Выполненные работы по заказ-наряду № 100087 от 22.02.2026</t>
  </si>
  <si>
    <r>
      <rPr>
        <sz val="6"/>
        <rFont val="Arial"/>
        <family val="2"/>
        <charset val="204"/>
      </rPr>
      <t xml:space="preserve">Радиатор отоп алюм для а/м УАЗ 3163 Патриот (05 2012-)А/С </t>
    </r>
    <r>
      <rPr>
        <sz val="6"/>
        <rFont val="Arial"/>
        <family val="2"/>
        <charset val="204"/>
      </rPr>
      <t>Sanden</t>
    </r>
  </si>
  <si>
    <r>
      <rPr>
        <sz val="6"/>
        <rFont val="Arial"/>
        <family val="2"/>
        <charset val="204"/>
      </rPr>
      <t>Замена радиатора отопителя</t>
    </r>
  </si>
  <si>
    <r>
      <rPr>
        <sz val="6"/>
        <rFont val="Arial"/>
        <family val="2"/>
        <charset val="204"/>
      </rPr>
      <t>в</t>
    </r>
  </si>
  <si>
    <r>
      <rPr>
        <sz val="6"/>
        <rFont val="Arial"/>
        <family val="2"/>
        <charset val="204"/>
      </rPr>
      <t>Ед.изм,</t>
    </r>
  </si>
  <si>
    <t>ЯНВ-ФЕВ</t>
  </si>
  <si>
    <t>СДЕЛАНО</t>
  </si>
  <si>
    <t>ВЫГРУЖЕНО</t>
  </si>
  <si>
    <t>ПОДПИСАНО</t>
  </si>
  <si>
    <t>НА 10.03.26</t>
  </si>
  <si>
    <t>10 ГК</t>
  </si>
  <si>
    <t>08 ГК</t>
  </si>
  <si>
    <t>08+10 ГК</t>
  </si>
  <si>
    <t>24+74</t>
  </si>
  <si>
    <t>24+71</t>
  </si>
  <si>
    <t>22+58</t>
  </si>
  <si>
    <t>Е559НТ15</t>
  </si>
  <si>
    <t>ОПЛАЧЕНО</t>
  </si>
  <si>
    <t>ЗАГРУЖЕНО</t>
  </si>
  <si>
    <t>сделано вне списка</t>
  </si>
  <si>
    <t>НА 17.03.26</t>
  </si>
  <si>
    <t>29+93</t>
  </si>
  <si>
    <t>39+13</t>
  </si>
  <si>
    <t>ЯНВ-МАРТ</t>
  </si>
  <si>
    <t>73+29</t>
  </si>
  <si>
    <t>71+24</t>
  </si>
  <si>
    <t>ТРЕБУЕТ ВНИМАНИЯ</t>
  </si>
  <si>
    <r>
      <rPr>
        <sz val="9"/>
        <rFont val="Arial"/>
        <family val="2"/>
        <charset val="204"/>
      </rPr>
      <t>Сумма</t>
    </r>
  </si>
  <si>
    <r>
      <rPr>
        <sz val="9"/>
        <rFont val="Arial"/>
        <family val="2"/>
        <charset val="204"/>
      </rPr>
      <t>Цена</t>
    </r>
  </si>
  <si>
    <r>
      <rPr>
        <sz val="9"/>
        <rFont val="Arial"/>
        <family val="2"/>
        <charset val="204"/>
      </rPr>
      <t>Наименование работ, услуг</t>
    </r>
  </si>
  <si>
    <r>
      <rPr>
        <sz val="9"/>
        <rFont val="Arial"/>
        <family val="2"/>
        <charset val="204"/>
      </rPr>
      <t>№</t>
    </r>
  </si>
  <si>
    <r>
      <rPr>
        <sz val="9"/>
        <rFont val="Arial"/>
        <family val="2"/>
        <charset val="204"/>
      </rPr>
      <t>НаИменованИе работ, услуг</t>
    </r>
  </si>
  <si>
    <r>
      <rPr>
        <sz val="6"/>
        <rFont val="Arial"/>
        <family val="2"/>
        <charset val="204"/>
      </rPr>
      <t>адрес заказчика : 364024, ЧР г.Грозный, ул.назарбаева, д.92, оф. 6-05</t>
    </r>
  </si>
  <si>
    <r>
      <rPr>
        <sz val="6"/>
        <rFont val="Arial"/>
        <family val="2"/>
        <charset val="204"/>
      </rPr>
      <t>Кол, оп.</t>
    </r>
  </si>
  <si>
    <r>
      <rPr>
        <sz val="6"/>
        <rFont val="Arial"/>
        <family val="2"/>
        <charset val="204"/>
      </rPr>
      <t>в т.ч. ндс</t>
    </r>
  </si>
  <si>
    <t>НА 26.03.26</t>
  </si>
  <si>
    <t>32+102</t>
  </si>
  <si>
    <t>29+96</t>
  </si>
  <si>
    <t>29+78</t>
  </si>
  <si>
    <t>ТОЙОТА КАМРИ</t>
  </si>
  <si>
    <t>ГАЗ 221717</t>
  </si>
  <si>
    <t>Е601РА15</t>
  </si>
  <si>
    <t>ЛАДА 213100 4х4</t>
  </si>
  <si>
    <t>В473ЕР126</t>
  </si>
  <si>
    <r>
      <rPr>
        <sz val="9"/>
        <rFont val="Arial"/>
        <family val="2"/>
        <charset val="204"/>
      </rPr>
      <t>ЕД-</t>
    </r>
  </si>
  <si>
    <r>
      <rPr>
        <sz val="9"/>
        <rFont val="Arial"/>
        <family val="2"/>
        <charset val="204"/>
      </rPr>
      <t>Ед.</t>
    </r>
  </si>
  <si>
    <r>
      <rPr>
        <sz val="6"/>
        <rFont val="Arial"/>
        <family val="2"/>
        <charset val="204"/>
      </rPr>
      <t>Токарные работы</t>
    </r>
  </si>
  <si>
    <r>
      <rPr>
        <sz val="6"/>
        <rFont val="Arial"/>
        <family val="2"/>
        <charset val="204"/>
      </rPr>
      <t xml:space="preserve">Цилиндр тормозной задний 3302 </t>
    </r>
    <r>
      <rPr>
        <sz val="6"/>
        <rFont val="Arial"/>
        <family val="2"/>
        <charset val="204"/>
      </rPr>
      <t>Campar-autoparts</t>
    </r>
  </si>
  <si>
    <r>
      <rPr>
        <sz val="6"/>
        <rFont val="Arial"/>
        <family val="2"/>
        <charset val="204"/>
      </rPr>
      <t>ET9121820BLKRW</t>
    </r>
  </si>
  <si>
    <r>
      <rPr>
        <sz val="6"/>
        <rFont val="Arial"/>
        <family val="2"/>
        <charset val="204"/>
      </rPr>
      <t>Ремонт тормозной системы</t>
    </r>
  </si>
  <si>
    <r>
      <rPr>
        <sz val="6"/>
        <rFont val="Arial"/>
        <family val="2"/>
        <charset val="204"/>
      </rPr>
      <t>Итото материалов:</t>
    </r>
  </si>
  <si>
    <r>
      <rPr>
        <sz val="8"/>
        <rFont val="Arial"/>
        <family val="2"/>
        <charset val="204"/>
      </rPr>
      <t>Расходная накладная к заказ-наряду № 100156 от 27.03.2026</t>
    </r>
  </si>
  <si>
    <r>
      <rPr>
        <sz val="8"/>
        <rFont val="Arial"/>
        <family val="2"/>
        <charset val="204"/>
      </rPr>
      <t>Выполненные работы по заказ-наряду № 100156 от 27.03.2026</t>
    </r>
  </si>
  <si>
    <t>ИТОГО РАСХОД</t>
  </si>
  <si>
    <t>ИТОГО ВЫРУЧКА</t>
  </si>
  <si>
    <t>ВАЛОВАЯ ПРИБЫЛЬ</t>
  </si>
  <si>
    <t>LADA 4x4 213100</t>
  </si>
  <si>
    <t>О 0708/15</t>
  </si>
  <si>
    <t>XTA213100L0213886</t>
  </si>
  <si>
    <t>104-90</t>
  </si>
  <si>
    <t>УАЗ 396221 3163</t>
  </si>
  <si>
    <t>Е312РА15</t>
  </si>
  <si>
    <t>XTT316300M1002503</t>
  </si>
  <si>
    <t>105-57</t>
  </si>
  <si>
    <t>А333НА15</t>
  </si>
  <si>
    <t>XW7BF4HK10S150796</t>
  </si>
  <si>
    <t>104-73</t>
  </si>
  <si>
    <t>ХЕНДЭ СОЛЯРИС</t>
  </si>
  <si>
    <t>В201УВ15</t>
  </si>
  <si>
    <t>Z94CU41DBFR426306</t>
  </si>
  <si>
    <t>102-63</t>
  </si>
  <si>
    <t>В787ОХ15</t>
  </si>
  <si>
    <t>XTT316300J1023444</t>
  </si>
  <si>
    <t>103-91</t>
  </si>
  <si>
    <t>№ п/п</t>
  </si>
  <si>
    <t>Модель</t>
  </si>
  <si>
    <t>УАЗ UAZ PATRIOT 3163</t>
  </si>
  <si>
    <t>О201МК126</t>
  </si>
  <si>
    <t>XTT316300R1000091</t>
  </si>
  <si>
    <t>106-81</t>
  </si>
  <si>
    <t>В723УУ15</t>
  </si>
  <si>
    <t>X8939451CG0AK5370</t>
  </si>
  <si>
    <t>103-30</t>
  </si>
  <si>
    <t>А287АР126</t>
  </si>
  <si>
    <t>XTA219010E0256411</t>
  </si>
  <si>
    <t>106-34</t>
  </si>
  <si>
    <r>
      <rPr>
        <sz val="9"/>
        <rFont val="Arial"/>
        <family val="2"/>
        <charset val="204"/>
      </rPr>
      <t>115 700,00 20 863,93</t>
    </r>
  </si>
  <si>
    <r>
      <rPr>
        <sz val="9"/>
        <rFont val="Arial"/>
        <family val="2"/>
        <charset val="204"/>
      </rPr>
      <t>Итого: том ЧИсле НДС</t>
    </r>
  </si>
  <si>
    <r>
      <rPr>
        <sz val="9"/>
        <rFont val="Arial"/>
        <family val="2"/>
        <charset val="204"/>
      </rPr>
      <t>в</t>
    </r>
  </si>
  <si>
    <r>
      <rPr>
        <sz val="8"/>
        <rFont val="Arial"/>
        <family val="2"/>
        <charset val="204"/>
      </rPr>
      <t xml:space="preserve">Ремонт а/м УАЗ Хантер г/н М 516 </t>
    </r>
    <r>
      <rPr>
        <sz val="8"/>
        <rFont val="Arial"/>
        <family val="2"/>
        <charset val="204"/>
      </rPr>
      <t xml:space="preserve">PT </t>
    </r>
    <r>
      <rPr>
        <sz val="8"/>
        <rFont val="Arial"/>
        <family val="2"/>
        <charset val="204"/>
      </rPr>
      <t>15</t>
    </r>
  </si>
  <si>
    <r>
      <rPr>
        <sz val="8"/>
        <rFont val="Arial"/>
        <family val="2"/>
        <charset val="204"/>
      </rPr>
      <t>ШТ</t>
    </r>
  </si>
  <si>
    <r>
      <rPr>
        <sz val="8"/>
        <rFont val="Arial"/>
        <family val="2"/>
        <charset val="204"/>
      </rPr>
      <t>Ремонт а/м тойота Камри г/н АЗЗЗНА 15</t>
    </r>
  </si>
  <si>
    <r>
      <rPr>
        <sz val="8"/>
        <rFont val="Arial"/>
        <family val="2"/>
        <charset val="204"/>
      </rPr>
      <t>Ремонт а/м УАЗ Патриот г/н В782ОХ 15</t>
    </r>
  </si>
  <si>
    <r>
      <rPr>
        <sz val="8"/>
        <rFont val="Arial"/>
        <family val="2"/>
        <charset val="204"/>
      </rPr>
      <t>Ремонт а/м УАЗ Патриот Е312РА 15</t>
    </r>
  </si>
  <si>
    <r>
      <rPr>
        <sz val="8"/>
        <rFont val="Arial"/>
        <family val="2"/>
        <charset val="204"/>
      </rPr>
      <t>Шиномонтаж а/м Тойота Камри г/н Е 898 НТ /15</t>
    </r>
  </si>
  <si>
    <r>
      <rPr>
        <sz val="8"/>
        <rFont val="Arial"/>
        <family val="2"/>
        <charset val="204"/>
      </rPr>
      <t>4 000,00</t>
    </r>
  </si>
  <si>
    <r>
      <rPr>
        <sz val="8"/>
        <rFont val="Arial"/>
        <family val="2"/>
        <charset val="204"/>
      </rPr>
      <t xml:space="preserve">Шиномонтаж а/м </t>
    </r>
    <r>
      <rPr>
        <sz val="8"/>
        <rFont val="Arial"/>
        <family val="2"/>
        <charset val="204"/>
      </rPr>
      <t xml:space="preserve">HAVAL F7 </t>
    </r>
    <r>
      <rPr>
        <sz val="8"/>
        <rFont val="Arial"/>
        <family val="2"/>
        <charset val="204"/>
      </rPr>
      <t>г/н Е 985 ЕН 15</t>
    </r>
  </si>
  <si>
    <r>
      <rPr>
        <sz val="14"/>
        <rFont val="Arial"/>
        <family val="2"/>
        <charset val="204"/>
      </rPr>
      <t xml:space="preserve">Акт № 62 от 9 апреля 2026 г. </t>
    </r>
    <r>
      <rPr>
        <sz val="9"/>
        <rFont val="Arial"/>
        <family val="2"/>
        <charset val="204"/>
      </rPr>
      <t>Исполнитель: ООО ФИРМА "СИГНАЛ", ИНН 2014025023, КПП 201401001, 364037, Респ Чеченская, г Грозный, р-н АхматовскИй, ул нм Жуковского, двлд 18, р/с 40702810234120000061, в банке ЧЕЧЕНСКИЙ РФ АО "РОССЕЛЬХОЗБАНк" Г. Грозный, БИК 049690719, к/с 30101810600000000719 Заказчик:      ООО "К0НЦЕПТ", ИНН 2014030866, КПП 201401001, 364024, Респ Чеченская, г Грозный, р-н АхматовскИй, ул Н.А.Назарбаева, дом 92, офнс 6-05, р/с 40702810910001078622, в банке АО "ТБанк" Г. Москва, БИК 044525974, к/с 30101810145250000974 Оенование:    ДОГОВОР № 05/05-2025 от "27" мая 2025 г.</t>
    </r>
  </si>
  <si>
    <r>
      <rPr>
        <sz val="6"/>
        <rFont val="Arial"/>
        <family val="2"/>
        <charset val="204"/>
      </rPr>
      <t>12 000,00</t>
    </r>
  </si>
  <si>
    <r>
      <rPr>
        <sz val="6"/>
        <rFont val="Arial"/>
        <family val="2"/>
        <charset val="204"/>
      </rPr>
      <t xml:space="preserve">Муфты включения переднего моста (хабы колесные) УАЗ 3163/Патриот469/452/Хантер Серия </t>
    </r>
    <r>
      <rPr>
        <sz val="6"/>
        <rFont val="Arial"/>
        <family val="2"/>
        <charset val="204"/>
      </rPr>
      <t xml:space="preserve">City "redBTR" </t>
    </r>
    <r>
      <rPr>
        <sz val="6"/>
        <rFont val="Arial"/>
        <family val="2"/>
        <charset val="204"/>
      </rPr>
      <t>кт 2 шт.</t>
    </r>
  </si>
  <si>
    <r>
      <rPr>
        <sz val="6"/>
        <rFont val="Arial"/>
        <family val="2"/>
        <charset val="204"/>
      </rPr>
      <t xml:space="preserve">RB-31512-2304310- </t>
    </r>
    <r>
      <rPr>
        <sz val="6"/>
        <rFont val="Arial"/>
        <family val="2"/>
        <charset val="204"/>
      </rPr>
      <t>10</t>
    </r>
  </si>
  <si>
    <r>
      <rPr>
        <sz val="8"/>
        <rFont val="Arial"/>
        <family val="2"/>
        <charset val="204"/>
      </rPr>
      <t>Расходная накладная к заказ-наряду № 100158 от 27.03.2026</t>
    </r>
  </si>
  <si>
    <r>
      <rPr>
        <sz val="6"/>
        <rFont val="Arial"/>
        <family val="2"/>
        <charset val="204"/>
      </rPr>
      <t>Замена муфты включения переднего моста</t>
    </r>
  </si>
  <si>
    <r>
      <rPr>
        <sz val="8"/>
        <rFont val="Arial"/>
        <family val="2"/>
        <charset val="204"/>
      </rPr>
      <t>Выполненные работы по заказ-наряду № 100158 от 27.03.2026</t>
    </r>
  </si>
  <si>
    <r>
      <rPr>
        <sz val="8"/>
        <rFont val="Arial"/>
        <family val="2"/>
        <charset val="204"/>
      </rPr>
      <t>Автомобиль : УАЗ Хантер гос. номер: М 516 РТ 15</t>
    </r>
  </si>
  <si>
    <r>
      <rPr>
        <sz val="8"/>
        <rFont val="Arial"/>
        <family val="2"/>
        <charset val="204"/>
      </rPr>
      <t>адрес заказчика : 364024, ЧР г.Грозный, ул.Назарбаева, д,92, оф. 6-05</t>
    </r>
  </si>
  <si>
    <r>
      <rPr>
        <sz val="11"/>
        <rFont val="Arial"/>
        <family val="2"/>
        <charset val="204"/>
      </rPr>
      <t>Заказ-наряд № 100158 от 27.03.2026</t>
    </r>
  </si>
  <si>
    <r>
      <rPr>
        <sz val="6"/>
        <rFont val="Arial"/>
        <family val="2"/>
        <charset val="204"/>
      </rPr>
      <t>ИтоГО материалов:</t>
    </r>
  </si>
  <si>
    <r>
      <rPr>
        <sz val="6"/>
        <rFont val="Arial"/>
        <family val="2"/>
        <charset val="204"/>
      </rPr>
      <t xml:space="preserve">КОГОДки тормозные задние </t>
    </r>
    <r>
      <rPr>
        <sz val="6"/>
        <rFont val="Arial"/>
        <family val="2"/>
        <charset val="204"/>
      </rPr>
      <t xml:space="preserve">D2349H TOYOTA CAMRY </t>
    </r>
    <r>
      <rPr>
        <sz val="6"/>
        <rFont val="Arial"/>
        <family val="2"/>
        <charset val="204"/>
      </rPr>
      <t xml:space="preserve">(17-). </t>
    </r>
    <r>
      <rPr>
        <sz val="6"/>
        <rFont val="Arial"/>
        <family val="2"/>
        <charset val="204"/>
      </rPr>
      <t xml:space="preserve">RAV4 </t>
    </r>
    <r>
      <rPr>
        <sz val="6"/>
        <rFont val="Arial"/>
        <family val="2"/>
        <charset val="204"/>
      </rPr>
      <t>(18-). СН-</t>
    </r>
    <r>
      <rPr>
        <sz val="6"/>
        <rFont val="Arial"/>
        <family val="2"/>
        <charset val="204"/>
      </rPr>
      <t xml:space="preserve">R </t>
    </r>
    <r>
      <rPr>
        <sz val="6"/>
        <rFont val="Arial"/>
        <family val="2"/>
        <charset val="204"/>
      </rPr>
      <t xml:space="preserve">(18-). </t>
    </r>
    <r>
      <rPr>
        <sz val="6"/>
        <rFont val="Arial"/>
        <family val="2"/>
        <charset val="204"/>
      </rPr>
      <t xml:space="preserve">LEXUS RX </t>
    </r>
    <r>
      <rPr>
        <sz val="6"/>
        <rFont val="Arial"/>
        <family val="2"/>
        <charset val="204"/>
      </rPr>
      <t xml:space="preserve">(15-) </t>
    </r>
    <r>
      <rPr>
        <sz val="6"/>
        <rFont val="Arial"/>
        <family val="2"/>
        <charset val="204"/>
      </rPr>
      <t>KASHIYAMA</t>
    </r>
  </si>
  <si>
    <r>
      <rPr>
        <sz val="6"/>
        <rFont val="Arial"/>
        <family val="2"/>
        <charset val="204"/>
      </rPr>
      <t xml:space="preserve">колодки тормозные перед. </t>
    </r>
    <r>
      <rPr>
        <sz val="6"/>
        <rFont val="Arial"/>
        <family val="2"/>
        <charset val="204"/>
      </rPr>
      <t xml:space="preserve">Kashiyama Toyota Camry V70 </t>
    </r>
    <r>
      <rPr>
        <sz val="6"/>
        <rFont val="Arial"/>
        <family val="2"/>
        <charset val="204"/>
      </rPr>
      <t xml:space="preserve">17- </t>
    </r>
    <r>
      <rPr>
        <sz val="6"/>
        <rFont val="Arial"/>
        <family val="2"/>
        <charset val="204"/>
      </rPr>
      <t xml:space="preserve">/RAV </t>
    </r>
    <r>
      <rPr>
        <sz val="6"/>
        <rFont val="Arial"/>
        <family val="2"/>
        <charset val="204"/>
      </rPr>
      <t>4</t>
    </r>
  </si>
  <si>
    <r>
      <rPr>
        <b/>
        <sz val="6"/>
        <rFont val="Arial"/>
        <family val="2"/>
        <charset val="204"/>
      </rPr>
      <t>всего</t>
    </r>
  </si>
  <si>
    <r>
      <rPr>
        <sz val="6"/>
        <rFont val="Arial"/>
        <family val="2"/>
        <charset val="204"/>
      </rPr>
      <t>Едизм,</t>
    </r>
  </si>
  <si>
    <r>
      <rPr>
        <sz val="6"/>
        <rFont val="Arial"/>
        <family val="2"/>
        <charset val="204"/>
      </rPr>
      <t>ладная к заказ-наряду № 100167 от 04.04.2026 Наименование</t>
    </r>
  </si>
  <si>
    <r>
      <rPr>
        <sz val="6"/>
        <rFont val="Arial"/>
        <family val="2"/>
        <charset val="204"/>
      </rPr>
      <t>Расходная наш №кат.</t>
    </r>
  </si>
  <si>
    <r>
      <rPr>
        <sz val="6"/>
        <rFont val="Arial"/>
        <family val="2"/>
        <charset val="204"/>
      </rPr>
      <t>*</t>
    </r>
  </si>
  <si>
    <r>
      <rPr>
        <sz val="6"/>
        <rFont val="Arial"/>
        <family val="2"/>
        <charset val="204"/>
      </rPr>
      <t>Балансировка колеса (со с/у)</t>
    </r>
  </si>
  <si>
    <r>
      <rPr>
        <vertAlign val="superscript"/>
        <sz val="6"/>
        <rFont val="Arial"/>
        <family val="2"/>
        <charset val="204"/>
      </rPr>
      <t>1</t>
    </r>
  </si>
  <si>
    <r>
      <rPr>
        <sz val="6"/>
        <rFont val="Arial"/>
        <family val="2"/>
        <charset val="204"/>
      </rPr>
      <t>Норме</t>
    </r>
  </si>
  <si>
    <r>
      <rPr>
        <sz val="6"/>
        <rFont val="Arial"/>
        <family val="2"/>
        <charset val="204"/>
      </rPr>
      <t>6 КОЛ. оп.</t>
    </r>
  </si>
  <si>
    <r>
      <rPr>
        <sz val="6"/>
        <rFont val="Arial"/>
        <family val="2"/>
        <charset val="204"/>
      </rPr>
      <t>работы по заказ-наряду № 100167 от 04.04.202 Нвимвкив«мио</t>
    </r>
  </si>
  <si>
    <r>
      <rPr>
        <sz val="6"/>
        <rFont val="Arial"/>
        <family val="2"/>
        <charset val="204"/>
      </rPr>
      <t xml:space="preserve">Выполненные </t>
    </r>
    <r>
      <rPr>
        <sz val="6"/>
        <rFont val="Arial"/>
        <family val="2"/>
        <charset val="204"/>
      </rPr>
      <t xml:space="preserve">Nt </t>
    </r>
    <r>
      <rPr>
        <sz val="6"/>
        <rFont val="Arial"/>
        <family val="2"/>
        <charset val="204"/>
      </rPr>
      <t>хат.</t>
    </r>
  </si>
  <si>
    <r>
      <rPr>
        <sz val="6"/>
        <rFont val="Arial"/>
        <family val="2"/>
        <charset val="204"/>
      </rPr>
      <t>Не</t>
    </r>
  </si>
  <si>
    <r>
      <rPr>
        <sz val="6"/>
        <rFont val="Arial"/>
        <family val="2"/>
        <charset val="204"/>
      </rPr>
      <t>Автомобиль : тойота Камри гос. номер: А 333 НА 15</t>
    </r>
  </si>
  <si>
    <r>
      <rPr>
        <sz val="6"/>
        <rFont val="Arial"/>
        <family val="2"/>
        <charset val="204"/>
      </rPr>
      <t>адрес заказчика : 364024, ЧР г,Грозный, ул.назарбаева, д.92, оф. 6-05</t>
    </r>
  </si>
  <si>
    <r>
      <rPr>
        <sz val="6"/>
        <rFont val="Arial"/>
        <family val="2"/>
        <charset val="204"/>
      </rPr>
      <t>Заказчик: Общество с отраниченной ответственностью «Концепт»</t>
    </r>
  </si>
  <si>
    <r>
      <rPr>
        <sz val="9"/>
        <rFont val="Arial"/>
        <family val="2"/>
        <charset val="204"/>
      </rPr>
      <t>Закаэ-наряд № 100167 от 04.04.2026</t>
    </r>
  </si>
  <si>
    <r>
      <rPr>
        <sz val="6"/>
        <rFont val="Arial"/>
        <family val="2"/>
        <charset val="204"/>
      </rPr>
      <t>Расходная накладная к заказ-наряду № 100164 от 01.04,2026</t>
    </r>
  </si>
  <si>
    <r>
      <rPr>
        <sz val="6"/>
        <rFont val="Arial"/>
        <family val="2"/>
        <charset val="204"/>
      </rPr>
      <t>Итото работ:</t>
    </r>
  </si>
  <si>
    <r>
      <rPr>
        <sz val="6"/>
        <rFont val="Arial"/>
        <family val="2"/>
        <charset val="204"/>
      </rPr>
      <t>№кат.</t>
    </r>
  </si>
  <si>
    <r>
      <rPr>
        <sz val="6"/>
        <rFont val="Arial"/>
        <family val="2"/>
        <charset val="204"/>
      </rPr>
      <t>Выполненные работы по заказ-наряду № 100164 от 01.04.2026</t>
    </r>
  </si>
  <si>
    <r>
      <rPr>
        <sz val="6"/>
        <rFont val="Arial"/>
        <family val="2"/>
        <charset val="204"/>
      </rPr>
      <t>Автомобиль : УАЗ патриот гос. номер: Е312РА 15</t>
    </r>
  </si>
  <si>
    <r>
      <rPr>
        <sz val="9"/>
        <rFont val="Arial"/>
        <family val="2"/>
        <charset val="204"/>
      </rPr>
      <t>Заказ-наряд № 100164 от 01.04.2026</t>
    </r>
  </si>
  <si>
    <r>
      <rPr>
        <sz val="6"/>
        <rFont val="Arial"/>
        <family val="2"/>
        <charset val="204"/>
      </rPr>
      <t xml:space="preserve">Шлейф подрулевой для </t>
    </r>
    <r>
      <rPr>
        <sz val="6"/>
        <rFont val="Arial"/>
        <family val="2"/>
        <charset val="204"/>
      </rPr>
      <t xml:space="preserve">UAZ PATRIOT </t>
    </r>
    <r>
      <rPr>
        <sz val="6"/>
        <rFont val="Arial"/>
        <family val="2"/>
        <charset val="204"/>
      </rPr>
      <t xml:space="preserve">2016-2025 , </t>
    </r>
    <r>
      <rPr>
        <sz val="6"/>
        <rFont val="Arial"/>
        <family val="2"/>
        <charset val="204"/>
      </rPr>
      <t xml:space="preserve">UAZ PICKUP </t>
    </r>
    <r>
      <rPr>
        <sz val="6"/>
        <rFont val="Arial"/>
        <family val="2"/>
        <charset val="204"/>
      </rPr>
      <t xml:space="preserve">2016-2025 , </t>
    </r>
    <r>
      <rPr>
        <sz val="6"/>
        <rFont val="Arial"/>
        <family val="2"/>
        <charset val="204"/>
      </rPr>
      <t xml:space="preserve">UAZ PATRIOT </t>
    </r>
    <r>
      <rPr>
        <sz val="6"/>
        <rFont val="Arial"/>
        <family val="2"/>
        <charset val="204"/>
      </rPr>
      <t>3163 20162025</t>
    </r>
  </si>
  <si>
    <r>
      <rPr>
        <sz val="6"/>
        <rFont val="Arial"/>
        <family val="2"/>
        <charset val="204"/>
      </rPr>
      <t>ORTRA185</t>
    </r>
  </si>
  <si>
    <r>
      <rPr>
        <sz val="6"/>
        <rFont val="Arial"/>
        <family val="2"/>
        <charset val="204"/>
      </rPr>
      <t xml:space="preserve">Вал карданный УАЗ-3163 (14-) рулевой в сборе под ГУР </t>
    </r>
    <r>
      <rPr>
        <sz val="6"/>
        <rFont val="Arial"/>
        <family val="2"/>
        <charset val="204"/>
      </rPr>
      <t xml:space="preserve">YB </t>
    </r>
    <r>
      <rPr>
        <sz val="6"/>
        <rFont val="Arial"/>
        <family val="2"/>
        <charset val="204"/>
      </rPr>
      <t>(ОАО УАЗ)</t>
    </r>
  </si>
  <si>
    <r>
      <rPr>
        <sz val="6"/>
        <rFont val="Arial"/>
        <family val="2"/>
        <charset val="204"/>
      </rPr>
      <t>316310-3401400-00</t>
    </r>
  </si>
  <si>
    <r>
      <rPr>
        <sz val="6"/>
        <rFont val="Arial"/>
        <family val="2"/>
        <charset val="204"/>
      </rPr>
      <t xml:space="preserve">Рулевое управление (механизмГУРа) для Патриот под мелкий шлиц </t>
    </r>
    <r>
      <rPr>
        <sz val="6"/>
        <rFont val="Arial"/>
        <family val="2"/>
        <charset val="204"/>
      </rPr>
      <t>YuBei</t>
    </r>
  </si>
  <si>
    <r>
      <rPr>
        <sz val="6"/>
        <rFont val="Arial"/>
        <family val="2"/>
        <charset val="204"/>
      </rPr>
      <t>3163-3400500-10</t>
    </r>
  </si>
  <si>
    <r>
      <rPr>
        <sz val="6"/>
        <rFont val="Arial"/>
        <family val="2"/>
        <charset val="204"/>
      </rPr>
      <t xml:space="preserve">Масло трансмиссионное </t>
    </r>
    <r>
      <rPr>
        <sz val="6"/>
        <rFont val="Arial"/>
        <family val="2"/>
        <charset val="204"/>
      </rPr>
      <t xml:space="preserve">Kinetik Energy ATF Luxe Dexron III </t>
    </r>
    <r>
      <rPr>
        <sz val="6"/>
        <rFont val="Arial"/>
        <family val="2"/>
        <charset val="204"/>
      </rPr>
      <t xml:space="preserve">ч/с </t>
    </r>
    <r>
      <rPr>
        <sz val="6"/>
        <rFont val="Arial"/>
        <family val="2"/>
        <charset val="204"/>
      </rPr>
      <t>1л</t>
    </r>
  </si>
  <si>
    <r>
      <rPr>
        <sz val="6"/>
        <rFont val="Arial"/>
        <family val="2"/>
        <charset val="204"/>
      </rPr>
      <t>Фильтр масляный в гидроусилитель ЕКО-02,62 (Камаз, ЗиЛ, Волга, ГАЗ)</t>
    </r>
  </si>
  <si>
    <r>
      <rPr>
        <sz val="6"/>
        <rFont val="Arial"/>
        <family val="2"/>
        <charset val="204"/>
      </rPr>
      <t>Диагностика и ремонт электрооборудования</t>
    </r>
  </si>
  <si>
    <r>
      <rPr>
        <sz val="6"/>
        <rFont val="Arial"/>
        <family val="2"/>
        <charset val="204"/>
      </rPr>
      <t>Замена подрулевого шлейфа</t>
    </r>
  </si>
  <si>
    <r>
      <rPr>
        <sz val="6"/>
        <rFont val="Arial"/>
        <family val="2"/>
        <charset val="204"/>
      </rPr>
      <t>Замена рулевого механизма</t>
    </r>
  </si>
  <si>
    <r>
      <rPr>
        <sz val="6"/>
        <rFont val="Arial"/>
        <family val="2"/>
        <charset val="204"/>
      </rPr>
      <t>Подтяжка хвостовика</t>
    </r>
  </si>
  <si>
    <r>
      <rPr>
        <sz val="6"/>
        <rFont val="Arial"/>
        <family val="2"/>
        <charset val="204"/>
      </rPr>
      <t>Подтяжка шкворня</t>
    </r>
  </si>
  <si>
    <r>
      <rPr>
        <sz val="6"/>
        <rFont val="Arial"/>
        <family val="2"/>
        <charset val="204"/>
      </rPr>
      <t>Замена масла и масл фильтра ГУР</t>
    </r>
  </si>
  <si>
    <r>
      <rPr>
        <sz val="8"/>
        <rFont val="Arial"/>
        <family val="2"/>
        <charset val="204"/>
      </rPr>
      <t>Автомобиль : УАЗ Патриот гос, номер: В782ОХ 15</t>
    </r>
  </si>
  <si>
    <r>
      <rPr>
        <sz val="8"/>
        <rFont val="Arial"/>
        <family val="2"/>
        <charset val="204"/>
      </rPr>
      <t>адрес заказчика : 364024, ЧР г.Грозный, ул.назарбаева, д.92, оф, 6-05</t>
    </r>
  </si>
  <si>
    <r>
      <rPr>
        <sz val="11"/>
        <rFont val="Arial"/>
        <family val="2"/>
        <charset val="204"/>
      </rPr>
      <t>Заказ-наряд № 100156 от 27.03.2026</t>
    </r>
  </si>
  <si>
    <r>
      <rPr>
        <sz val="9"/>
        <rFont val="Arial"/>
        <family val="2"/>
        <charset val="204"/>
      </rPr>
      <t>Итого:       81 600,00 В том ЧИсле НДС      14 714,75</t>
    </r>
  </si>
  <si>
    <r>
      <rPr>
        <sz val="8"/>
        <rFont val="Arial"/>
        <family val="2"/>
        <charset val="204"/>
      </rPr>
      <t>Ремонт а/м УАЗ Патриот г/н X 459 КХ</t>
    </r>
  </si>
  <si>
    <r>
      <rPr>
        <sz val="9"/>
        <rFont val="Arial"/>
        <family val="2"/>
        <charset val="204"/>
      </rPr>
      <t>кол-во</t>
    </r>
  </si>
  <si>
    <r>
      <rPr>
        <sz val="9"/>
        <rFont val="Arial"/>
        <family val="2"/>
        <charset val="204"/>
      </rPr>
      <t>Исполнитель: ООО ФИРМА "СИГНАЛ", ИНН 2014025023, КПП 201401001, 364037, Респ Чеченская, г Грозный, р-н Ахматовский, ул нм Жуковского, двлд 18, р/с 40702810234120000061, в банке ЧЕЧЕНСКИЙ РФ АО "РОССЕЛЬХОЗБАНК" Г. Грозный, БИК 049690719, к/с 30101810600000000719 Заказчик:      ООО "КОНЦЕПТ", ИНН 2014030866, КПП 201401001, 364024, Респ Чеченская, г Гроэный, р-н АхматовскИй, ул Н.А.Назарбаева, дом 92, офИс 6-05, р/с 40702810910001078622, в банке АО "ТБанк" Г. Москва, БИК 044525974, к/с 30101810145250000974 Основание:    ДОГОВОР № 05/05-2025 от "27" мая 2025 г.</t>
    </r>
  </si>
  <si>
    <r>
      <rPr>
        <sz val="14"/>
        <rFont val="Arial"/>
        <family val="2"/>
        <charset val="204"/>
      </rPr>
      <t>Акт № 72 от 23 апреля 2026 Г.</t>
    </r>
  </si>
  <si>
    <r>
      <rPr>
        <vertAlign val="subscript"/>
        <sz val="6"/>
        <rFont val="Arial"/>
        <family val="2"/>
        <charset val="204"/>
      </rPr>
      <t>4</t>
    </r>
    <r>
      <rPr>
        <sz val="6"/>
        <rFont val="Arial"/>
        <family val="2"/>
        <charset val="204"/>
      </rPr>
      <t xml:space="preserve"> 2</t>
    </r>
  </si>
  <si>
    <r>
      <rPr>
        <sz val="6"/>
        <rFont val="Arial"/>
        <family val="2"/>
        <charset val="204"/>
      </rPr>
      <t xml:space="preserve">Изолента мерная </t>
    </r>
    <r>
      <rPr>
        <sz val="6"/>
        <rFont val="Arial"/>
        <family val="2"/>
        <charset val="204"/>
      </rPr>
      <t xml:space="preserve">ABRO </t>
    </r>
    <r>
      <rPr>
        <sz val="6"/>
        <rFont val="Arial"/>
        <family val="2"/>
        <charset val="204"/>
      </rPr>
      <t xml:space="preserve">19мм х 18.2м </t>
    </r>
    <r>
      <rPr>
        <sz val="6"/>
        <rFont val="Arial"/>
        <family val="2"/>
        <charset val="204"/>
      </rPr>
      <t>ABRO</t>
    </r>
  </si>
  <si>
    <r>
      <rPr>
        <sz val="6"/>
        <rFont val="Arial"/>
        <family val="2"/>
        <charset val="204"/>
      </rPr>
      <t>ТО</t>
    </r>
  </si>
  <si>
    <r>
      <rPr>
        <sz val="6"/>
        <rFont val="Arial"/>
        <family val="2"/>
        <charset val="204"/>
      </rPr>
      <t>Усилитель вакуумный УА3-3163 Патриот с ГГЦ (Чехия) (ОАО УАЗ)</t>
    </r>
  </si>
  <si>
    <r>
      <rPr>
        <sz val="6"/>
        <rFont val="Arial"/>
        <family val="2"/>
        <charset val="204"/>
      </rPr>
      <t>316300-350500801</t>
    </r>
  </si>
  <si>
    <r>
      <rPr>
        <sz val="6"/>
        <rFont val="Arial"/>
        <family val="2"/>
        <charset val="204"/>
      </rPr>
      <t xml:space="preserve">трубка тормозная 0=5 </t>
    </r>
    <r>
      <rPr>
        <sz val="6"/>
        <rFont val="Arial"/>
        <family val="2"/>
        <charset val="204"/>
      </rPr>
      <t>L= 460mm</t>
    </r>
  </si>
  <si>
    <r>
      <rPr>
        <sz val="6"/>
        <rFont val="Arial"/>
        <family val="2"/>
        <charset val="204"/>
      </rPr>
      <t>Электродвигатель отопителя 32.3780-01 АЕ с насосом 12В, 8=18мм ГА3 3110, УАЗ 3742 АвтоЭлектрика</t>
    </r>
  </si>
  <si>
    <r>
      <rPr>
        <sz val="6"/>
        <rFont val="Arial"/>
        <family val="2"/>
        <charset val="204"/>
      </rPr>
      <t>LRH03831B</t>
    </r>
  </si>
  <si>
    <r>
      <rPr>
        <sz val="6"/>
        <rFont val="Arial"/>
        <family val="2"/>
        <charset val="204"/>
      </rPr>
      <t>Термостат ГА3-24.3102.3110,3302.2705, 3151,3160 402,406. КАМА3-5320.4310, КАМА3-740</t>
    </r>
    <r>
      <rPr>
        <sz val="6"/>
        <rFont val="Arial"/>
        <family val="2"/>
        <charset val="204"/>
      </rPr>
      <t>1=60 G-PART</t>
    </r>
  </si>
  <si>
    <r>
      <rPr>
        <sz val="6"/>
        <rFont val="Arial"/>
        <family val="2"/>
        <charset val="204"/>
      </rPr>
      <t xml:space="preserve">GP </t>
    </r>
    <r>
      <rPr>
        <sz val="6"/>
        <rFont val="Arial"/>
        <family val="2"/>
        <charset val="204"/>
      </rPr>
      <t>10620016</t>
    </r>
  </si>
  <si>
    <r>
      <rPr>
        <sz val="6"/>
        <rFont val="Arial"/>
        <family val="2"/>
        <charset val="204"/>
      </rPr>
      <t xml:space="preserve">Радиатор УА3-3163 алюминиевый да ЗМЗ-409,40904 </t>
    </r>
    <r>
      <rPr>
        <sz val="6"/>
        <rFont val="Arial"/>
        <family val="2"/>
        <charset val="204"/>
      </rPr>
      <t>IVECO EBPO-2.3 LUZAR</t>
    </r>
  </si>
  <si>
    <r>
      <rPr>
        <sz val="6"/>
        <rFont val="Arial"/>
        <family val="2"/>
        <charset val="204"/>
      </rPr>
      <t>LRC0363B</t>
    </r>
  </si>
  <si>
    <r>
      <rPr>
        <sz val="6"/>
        <rFont val="Arial"/>
        <family val="2"/>
        <charset val="204"/>
      </rPr>
      <t>4073/05</t>
    </r>
  </si>
  <si>
    <r>
      <rPr>
        <sz val="6"/>
        <rFont val="Arial"/>
        <family val="2"/>
        <charset val="204"/>
      </rPr>
      <t xml:space="preserve">Свечи АУ-17Д8РМ стандарт "33" </t>
    </r>
    <r>
      <rPr>
        <sz val="6"/>
        <rFont val="Arial"/>
        <family val="2"/>
        <charset val="204"/>
      </rPr>
      <t xml:space="preserve">BA3 </t>
    </r>
    <r>
      <rPr>
        <sz val="6"/>
        <rFont val="Arial"/>
        <family val="2"/>
        <charset val="204"/>
      </rPr>
      <t>2108-70, 3М3 406-409 УМ3 4216</t>
    </r>
  </si>
  <si>
    <r>
      <rPr>
        <sz val="6"/>
        <rFont val="Arial"/>
        <family val="2"/>
        <charset val="204"/>
      </rPr>
      <t>F01H7B0C42-HZ6</t>
    </r>
  </si>
  <si>
    <r>
      <rPr>
        <sz val="6"/>
        <rFont val="Arial"/>
        <family val="2"/>
        <charset val="204"/>
      </rPr>
      <t>в т.ч, НДС</t>
    </r>
  </si>
  <si>
    <r>
      <rPr>
        <sz val="6"/>
        <rFont val="Arial"/>
        <family val="2"/>
        <charset val="204"/>
      </rPr>
      <t>Расходная накладная к заказ-наряду № 100160 от 27.03.2026</t>
    </r>
  </si>
  <si>
    <r>
      <rPr>
        <sz val="6"/>
        <rFont val="Arial"/>
        <family val="2"/>
        <charset val="204"/>
      </rPr>
      <t>2000, СО</t>
    </r>
  </si>
  <si>
    <r>
      <rPr>
        <sz val="6"/>
        <rFont val="Arial"/>
        <family val="2"/>
        <charset val="204"/>
      </rPr>
      <t>1500,СО</t>
    </r>
  </si>
  <si>
    <r>
      <rPr>
        <sz val="6"/>
        <rFont val="Arial"/>
        <family val="2"/>
        <charset val="204"/>
      </rPr>
      <t>500 СО</t>
    </r>
  </si>
  <si>
    <r>
      <rPr>
        <sz val="6"/>
        <rFont val="Arial"/>
        <family val="2"/>
        <charset val="204"/>
      </rPr>
      <t>Замена заднего рабочего цилиндра</t>
    </r>
  </si>
  <si>
    <r>
      <rPr>
        <sz val="6"/>
        <rFont val="Arial"/>
        <family val="2"/>
        <charset val="204"/>
      </rPr>
      <t>1700 СО</t>
    </r>
  </si>
  <si>
    <r>
      <rPr>
        <sz val="6"/>
        <rFont val="Arial"/>
        <family val="2"/>
        <charset val="204"/>
      </rPr>
      <t>Замена вакуумного усилителя</t>
    </r>
  </si>
  <si>
    <r>
      <rPr>
        <sz val="6"/>
        <rFont val="Arial"/>
        <family val="2"/>
        <charset val="204"/>
      </rPr>
      <t>250О.СО</t>
    </r>
  </si>
  <si>
    <r>
      <rPr>
        <sz val="6"/>
        <rFont val="Arial"/>
        <family val="2"/>
        <charset val="204"/>
      </rPr>
      <t>1 ооо.оо</t>
    </r>
  </si>
  <si>
    <r>
      <rPr>
        <sz val="6"/>
        <rFont val="Arial"/>
        <family val="2"/>
        <charset val="204"/>
      </rPr>
      <t>ДиагносТИка АБС</t>
    </r>
  </si>
  <si>
    <r>
      <rPr>
        <sz val="6"/>
        <rFont val="Arial"/>
        <family val="2"/>
        <charset val="204"/>
      </rPr>
      <t>Замена дополнительного насоса отопителя</t>
    </r>
  </si>
  <si>
    <r>
      <rPr>
        <sz val="6"/>
        <rFont val="Arial"/>
        <family val="2"/>
        <charset val="204"/>
      </rPr>
      <t>Замена свечей зажиГання</t>
    </r>
  </si>
  <si>
    <r>
      <rPr>
        <sz val="6"/>
        <rFont val="Arial"/>
        <family val="2"/>
        <charset val="204"/>
      </rPr>
      <t>диагностика ДВС</t>
    </r>
  </si>
  <si>
    <r>
      <rPr>
        <sz val="6"/>
        <rFont val="Arial"/>
        <family val="2"/>
        <charset val="204"/>
      </rPr>
      <t>ГЛ</t>
    </r>
  </si>
  <si>
    <r>
      <rPr>
        <sz val="6"/>
        <rFont val="Arial"/>
        <family val="2"/>
        <charset val="204"/>
      </rPr>
      <t>Выполненные работы по заказ-наряду № 100160 от 27.03.2026</t>
    </r>
  </si>
  <si>
    <r>
      <rPr>
        <sz val="6"/>
        <rFont val="Arial"/>
        <family val="2"/>
        <charset val="204"/>
      </rPr>
      <t>Автомобиль : УАЗ патриот гос. номер: X 459 КХ 15</t>
    </r>
  </si>
  <si>
    <r>
      <rPr>
        <sz val="6"/>
        <rFont val="Arial"/>
        <family val="2"/>
        <charset val="204"/>
      </rPr>
      <t>адрес заказчика : 364024, ЧР г.Грозный, ул.назарбаева, д,92, оф. 6-05</t>
    </r>
  </si>
  <si>
    <r>
      <rPr>
        <sz val="9"/>
        <rFont val="Arial"/>
        <family val="2"/>
        <charset val="204"/>
      </rPr>
      <t>Закаэ-наряд № 100160 от 27.03.2026</t>
    </r>
  </si>
  <si>
    <t>XTA219010L0668690</t>
  </si>
  <si>
    <t>105-10</t>
  </si>
  <si>
    <t>XTA213100G0177506</t>
  </si>
  <si>
    <t>106-63</t>
  </si>
  <si>
    <t>VOLKSWAGEN MULTIVEN</t>
  </si>
  <si>
    <t>С488ВС15</t>
  </si>
  <si>
    <t>XW8ZZZ7HZDG001346</t>
  </si>
  <si>
    <t>101-90</t>
  </si>
  <si>
    <t>Е499НТ15</t>
  </si>
  <si>
    <t>X8939451CK0AK5363</t>
  </si>
  <si>
    <t>105-01</t>
  </si>
  <si>
    <t>Е375ОУ15</t>
  </si>
  <si>
    <t>XTAGFL110LY443723</t>
  </si>
  <si>
    <t>105-47</t>
  </si>
  <si>
    <t>ШКОДА OCTAVIA</t>
  </si>
  <si>
    <t>В783ВН126</t>
  </si>
  <si>
    <t>XW8AD4NE2GH022263</t>
  </si>
  <si>
    <t>104-20</t>
  </si>
  <si>
    <t>ЛАДА ПРИОРА 217030</t>
  </si>
  <si>
    <t>С271ВС15</t>
  </si>
  <si>
    <t>XTA217030E0468780</t>
  </si>
  <si>
    <t>101-50</t>
  </si>
  <si>
    <t>GAZELLE</t>
  </si>
  <si>
    <t>А863СУ15</t>
  </si>
  <si>
    <t>X96A65R23R1000541</t>
  </si>
  <si>
    <t>106-71</t>
  </si>
  <si>
    <t>С261ВС15</t>
  </si>
  <si>
    <t>X8939451CE0AK5051</t>
  </si>
  <si>
    <t>101-58</t>
  </si>
  <si>
    <t>Е153РА15</t>
  </si>
  <si>
    <t>XTAGFL110LY443724</t>
  </si>
  <si>
    <t>105-51</t>
  </si>
  <si>
    <t>А560ХС15</t>
  </si>
  <si>
    <t>XW7BF4FK70S020041</t>
  </si>
  <si>
    <t>99-90</t>
  </si>
  <si>
    <t>LADA 4х4 212140</t>
  </si>
  <si>
    <t>О194МК126</t>
  </si>
  <si>
    <t>XTA212140R2522985</t>
  </si>
  <si>
    <t>106-80</t>
  </si>
  <si>
    <t>Е553НТ15</t>
  </si>
  <si>
    <t>XTA219010L0668676</t>
  </si>
  <si>
    <t>105-06</t>
  </si>
  <si>
    <t>УАЗ PATRIOT 3163</t>
  </si>
  <si>
    <t>А627НА15</t>
  </si>
  <si>
    <t>XTT316300M1009834</t>
  </si>
  <si>
    <t>105-86</t>
  </si>
  <si>
    <t>ГАЗ GAZELLE NEXT A62R33</t>
  </si>
  <si>
    <t>Е833ВК15</t>
  </si>
  <si>
    <t>X96A62R33P0965419</t>
  </si>
  <si>
    <t>106-53</t>
  </si>
  <si>
    <t>Е961ВК15</t>
  </si>
  <si>
    <t>X96A62R33P0964800</t>
  </si>
  <si>
    <t>106-50</t>
  </si>
  <si>
    <t>Е189ОУ15</t>
  </si>
  <si>
    <t>XTAGFL110LY430876</t>
  </si>
  <si>
    <t>105-45</t>
  </si>
  <si>
    <t>Т899АЕ15</t>
  </si>
  <si>
    <t>XW7BF4FKX0S132221</t>
  </si>
  <si>
    <t>102-94</t>
  </si>
  <si>
    <t>В745УУ15</t>
  </si>
  <si>
    <t>X8939451CG0AK5366</t>
  </si>
  <si>
    <t>103-16</t>
  </si>
  <si>
    <t>Причина обращения:</t>
  </si>
  <si>
    <t>/Общество с ограниченной ответственностью «Концепт»/</t>
  </si>
  <si>
    <t>Плательщик ______________________</t>
  </si>
  <si>
    <t>Заказчик ______________________</t>
  </si>
  <si>
    <t>Дата: 03.06.2026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</si>
  <si>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</si>
  <si>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Механик СТО/</t>
  </si>
  <si>
    <t>Мастер _____________________</t>
  </si>
  <si>
    <t>Всего по заказ-наряду: Девять  тысяч четыреста  рублей 00 копеек, в т.ч. НДС 22%.</t>
  </si>
  <si>
    <t>Итого по заказ-наряду :</t>
  </si>
  <si>
    <t>Восемь тысяч четыреста рублей 00 копеек</t>
  </si>
  <si>
    <t>на сумму:</t>
  </si>
  <si>
    <t>Итого материалов:</t>
  </si>
  <si>
    <t>шт</t>
  </si>
  <si>
    <t>Фильтр воздушный Camry V70 MASUMA</t>
  </si>
  <si>
    <t>MFA 233</t>
  </si>
  <si>
    <t>4</t>
  </si>
  <si>
    <t xml:space="preserve">Моторное масло Toyota Synthetic 5W-40, 5л </t>
  </si>
  <si>
    <t>08880-86084</t>
  </si>
  <si>
    <t>3</t>
  </si>
  <si>
    <t>Фильтр салона угольный TO Camry VIII,RAV4 V 18- Pilenga</t>
  </si>
  <si>
    <t>FAP4625C</t>
  </si>
  <si>
    <t>2</t>
  </si>
  <si>
    <t>Фильтр масляный Alphard Camry Rav4 rx350 highlander Lexus ES Totachi</t>
  </si>
  <si>
    <t>TO1191</t>
  </si>
  <si>
    <t>1</t>
  </si>
  <si>
    <t>8</t>
  </si>
  <si>
    <t>7</t>
  </si>
  <si>
    <t>6</t>
  </si>
  <si>
    <t>5</t>
  </si>
  <si>
    <t>в т.ч. НДС</t>
  </si>
  <si>
    <t>Всего</t>
  </si>
  <si>
    <t>Цена</t>
  </si>
  <si>
    <t>Ед.изм.</t>
  </si>
  <si>
    <t>Кол-во</t>
  </si>
  <si>
    <t>Наименование</t>
  </si>
  <si>
    <t>№ кат.</t>
  </si>
  <si>
    <t>№</t>
  </si>
  <si>
    <t>Расходная накладная к заказ-наряду №  100507 от 03.06.2026</t>
  </si>
  <si>
    <t>Одна тысяча  рублей 00 копеек</t>
  </si>
  <si>
    <t>Итого работ:</t>
  </si>
  <si>
    <t>Замена воздушного фильтра</t>
  </si>
  <si>
    <t>Замена салонного фильтра</t>
  </si>
  <si>
    <t>Замена масла и масл фильтра</t>
  </si>
  <si>
    <t>9</t>
  </si>
  <si>
    <t>н/ч</t>
  </si>
  <si>
    <t>Норма</t>
  </si>
  <si>
    <t xml:space="preserve">Цена </t>
  </si>
  <si>
    <t>Кол. оп.</t>
  </si>
  <si>
    <t>Выполненные работы по заказ-наряду № 100507 от 03.06.2026</t>
  </si>
  <si>
    <t>Руб</t>
  </si>
  <si>
    <t>в валюте</t>
  </si>
  <si>
    <t>ИНН 2014030866   адрес:    телефоны: +7 (989) 9002252</t>
  </si>
  <si>
    <t>Плательщик:  Общество с ограниченной ответственностью «Концепт»</t>
  </si>
  <si>
    <t>Цена автомототранспортного средства, определяемая по соглашению сторон __________________</t>
  </si>
  <si>
    <t>Автомобиль : Toyota Camry г/н Е 778 РА /15</t>
  </si>
  <si>
    <t>адрес заказчика :   364024, ЧР г.Грозный, ул.Назарбаева, 
д.92, оф. 6-05</t>
  </si>
  <si>
    <t xml:space="preserve">Заказчик: Общество с ограниченной ответственностью «Концепт» </t>
  </si>
  <si>
    <t>Заказ-наряд № 100507 от 03.06.2026</t>
  </si>
  <si>
    <t>адрес: 364031, Чеченская Республика, г.Грозный, ул. Жуковского, д. 18</t>
  </si>
  <si>
    <t>ПОСТАВЩИК:  ООО ФИРМА "СИГНАЛ"</t>
  </si>
  <si>
    <t>Дата: 02.06.2026</t>
  </si>
  <si>
    <t>Всего по заказ-наряду: Десять тысяч восемьсот рублей 00 копеек, в т.ч. НДС 22%.</t>
  </si>
  <si>
    <t>Семь тысяч триста рублей 00 копеек</t>
  </si>
  <si>
    <t>Антифриз Sintec LUXE G12+, 5 кг, красный</t>
  </si>
  <si>
    <t>Муфта электромагнитная дв.4216 Г-3302 Бизнес н/о  Термокам  (6рк)</t>
  </si>
  <si>
    <t>Расходная накладная к заказ-наряду №  100504 от 02.06.2026</t>
  </si>
  <si>
    <t>Три тысячи пятьсот  рублей 00 копеек.</t>
  </si>
  <si>
    <t>Замена охлаждающей жидкости</t>
  </si>
  <si>
    <t>Замена муфты электромагнитной</t>
  </si>
  <si>
    <t>Диагностика ДВС</t>
  </si>
  <si>
    <t>Выполненные работы по заказ-наряду №  100504 от 02.06.2026</t>
  </si>
  <si>
    <t>Автомобиль : ГАЗ 384064  гос. номер: О 0629 15</t>
  </si>
  <si>
    <t>Заказ-наряд № 100504 от 02.06.2026</t>
  </si>
  <si>
    <t>Всего по заказ-наряду: Девять тысяч семьсот  рублей 00 копеек</t>
  </si>
  <si>
    <t>Семь тысяч восемьсот рублей 00 копеек</t>
  </si>
  <si>
    <t xml:space="preserve">Масло Ford Formula F 5W30 5л. </t>
  </si>
  <si>
    <t>15595E</t>
  </si>
  <si>
    <t>Фильтр воздушный двигателя для Hyundai Santa Fe III 2012-2018; KIA Sorento (XM) 2014-2021</t>
  </si>
  <si>
    <t>281132W100</t>
  </si>
  <si>
    <t>Фильтр салонный угольный KIA Carnival III/,Sorento II (XM).</t>
  </si>
  <si>
    <t>AC58C</t>
  </si>
  <si>
    <t>Фильтр масляный  для Хендай, Киа HYUNDAI-KIA</t>
  </si>
  <si>
    <t>Расходная накладная к заказ-наряду №  100510 от 03.06.2026</t>
  </si>
  <si>
    <t>Одна тысяча девятьсот   рублей 00 копеек</t>
  </si>
  <si>
    <t>Диагностика кондиционера</t>
  </si>
  <si>
    <t>Диагностика подвески</t>
  </si>
  <si>
    <t>Замена масла и масл. Фильтра</t>
  </si>
  <si>
    <t>Выполненные работы по заказ-наряду №  100510 от 03.06.2026</t>
  </si>
  <si>
    <t>Автомобиль : КИА СОРЕНТО  гос. номер: О 0774 15</t>
  </si>
  <si>
    <t>Заказ-наряд № 100510 от 03.06.2026</t>
  </si>
  <si>
    <t>Дата: 04.06.2026</t>
  </si>
  <si>
    <t>Всего по заказ-наряду: Тридцать  четыре тысячи пятьсот пятьдесят  рублей 00 копеек, в т.ч. НДС 22%.</t>
  </si>
  <si>
    <t>Пятнадцать тысяча четыреста пятьдесят рублей 00 копеек</t>
  </si>
  <si>
    <t>Смазка многоцелевая RC-40, 210 мл BiBiCare</t>
  </si>
  <si>
    <t>17</t>
  </si>
  <si>
    <t>кт</t>
  </si>
  <si>
    <t>Наконечник рулевой Ваз 2110-70, 2190 лев/прав ОАО АВТОВАЗ</t>
  </si>
  <si>
    <t>21100341410082</t>
  </si>
  <si>
    <t>16</t>
  </si>
  <si>
    <t>Свечи АУ-17ДВРМ Стандарт "33" ВАЗ 2108-70, ЗМЗ 406-409. УМЗ 4216</t>
  </si>
  <si>
    <t>F01H7B0042-HZ6</t>
  </si>
  <si>
    <t>15</t>
  </si>
  <si>
    <t xml:space="preserve">Фильтр топливный LADA 2101-07/Samara/110/Kalina/Granta/Priora/4x4 </t>
  </si>
  <si>
    <t>21230111701081</t>
  </si>
  <si>
    <t>14</t>
  </si>
  <si>
    <t xml:space="preserve">Масло моторное Лукойл Люкс 10W-40 (4л) </t>
  </si>
  <si>
    <t>3705304</t>
  </si>
  <si>
    <t>13</t>
  </si>
  <si>
    <t>Фильтр воздушный, плоский для LADA ВАЗ 2108-2112 (инж) BM</t>
  </si>
  <si>
    <t>BM FA2108</t>
  </si>
  <si>
    <t>12</t>
  </si>
  <si>
    <t>Фильтр масляный LADA 08-112 FINWHALE</t>
  </si>
  <si>
    <t>LF105</t>
  </si>
  <si>
    <t>11</t>
  </si>
  <si>
    <t>Фильтр салонный SIBTEK ВАЗ 2170 с кондиционером Halla угольный</t>
  </si>
  <si>
    <t>AC15C</t>
  </si>
  <si>
    <t>10</t>
  </si>
  <si>
    <t>Крышка расширительного бачка для а/м Газель Бизнес, ВАЗ 2108/2110/Приора/Гранта LUZAR</t>
  </si>
  <si>
    <t>LL0108</t>
  </si>
  <si>
    <t xml:space="preserve">Отбойник амортизатора передний с пыльником Ваз 2110 HOLA </t>
  </si>
  <si>
    <t>AP31-110</t>
  </si>
  <si>
    <t>Подшипник опоры передней стойки 1118 Калина 2170 Priora 2190 Granta LADA Image</t>
  </si>
  <si>
    <t>11180-2902840-01</t>
  </si>
  <si>
    <t>Опора верхняя передней стойки (без подшипника) усиленная 2170</t>
  </si>
  <si>
    <t>2170-2902821-01 11720</t>
  </si>
  <si>
    <t>Трос капота ВАЗ 2110, 2111, 2112, 2170, Приора, Автопартнер</t>
  </si>
  <si>
    <t>21100-8406140-00</t>
  </si>
  <si>
    <t>Замок капота Приора, Ваз 2110, Нива Шевроле 2123</t>
  </si>
  <si>
    <t>2110-8406010</t>
  </si>
  <si>
    <t>Антифриз Sintec Luxe G12+ red -40 3кг</t>
  </si>
  <si>
    <t>103015</t>
  </si>
  <si>
    <t>Радиатор охл ВАЗ 2170 алюм. 2-ряд. под кондиц. Halla сборный HOFER</t>
  </si>
  <si>
    <t>HF708432</t>
  </si>
  <si>
    <t>Расходная накладная к заказ-наряду №  100512 от 04.06.2026</t>
  </si>
  <si>
    <t>Девятнадцать тысяч сто  рублей 00 копеек.</t>
  </si>
  <si>
    <t>Сход-развал (с рскруткой сход-разв. тяг)</t>
  </si>
  <si>
    <t>Замена топливного фильтра</t>
  </si>
  <si>
    <t>Ремонт колеса</t>
  </si>
  <si>
    <t>Заправка кондиционера</t>
  </si>
  <si>
    <t>Диагностика кондиционера с опрессовкой</t>
  </si>
  <si>
    <t>Замена замка капота</t>
  </si>
  <si>
    <t>Ремонт свечей зажигания</t>
  </si>
  <si>
    <t>Замена рулевого наконечника</t>
  </si>
  <si>
    <t>Замена опоры амортизатора</t>
  </si>
  <si>
    <t>Замена троса капота</t>
  </si>
  <si>
    <t>Замена радиатора охлаждения</t>
  </si>
  <si>
    <t>Выполненные работы по заказ-наряду №  100512 от 04.06.2026</t>
  </si>
  <si>
    <t>Автомобиль : Лада Приора  гос. номер: Т158АЕ/15</t>
  </si>
  <si>
    <t>Заказ-наряд № 100512 от 04.06.2026</t>
  </si>
  <si>
    <t>Дата: 28.02.2026</t>
  </si>
  <si>
    <t>Всего по заказ-наряду: Двадцать одна тысяча рублей 00 копеек, в т.ч. НДС 22%.</t>
  </si>
  <si>
    <t>Тринадцать тысяч семьсот рублей 00 копеек</t>
  </si>
  <si>
    <t xml:space="preserve">Фильтр салона  LADA Vesta, X-RAY Goodwill </t>
  </si>
  <si>
    <t>AG448 CF</t>
  </si>
  <si>
    <t>Фильтр воздушный ВАЗ 2180 Vesta н/образца 1.6 19- NAC</t>
  </si>
  <si>
    <t>77143</t>
  </si>
  <si>
    <t>Моторное масло Rolf GT SAE 5W-40 4л.  API SN/CF</t>
  </si>
  <si>
    <t>322405</t>
  </si>
  <si>
    <t>Прокладка бензонасоса Лада Веста, оригинал</t>
  </si>
  <si>
    <t>21800-1101138-00</t>
  </si>
  <si>
    <t>Комплект ГРМ Лада Ларгус, Веста, Х Рей, GATES K015631XS (дв. ВАЗ, 16 клапанов)</t>
  </si>
  <si>
    <t>K015631XS</t>
  </si>
  <si>
    <t>Ремень приводной Gates Лада Веста</t>
  </si>
  <si>
    <t xml:space="preserve">6PK1038 </t>
  </si>
  <si>
    <t>Расходная накладная к заказ-наряду №  100094 от 28.02.2026</t>
  </si>
  <si>
    <t>Семь тысяч триста рублей 00 копеек.</t>
  </si>
  <si>
    <t>Замена прокладки бензонасоса</t>
  </si>
  <si>
    <t>Замена ремня генератора</t>
  </si>
  <si>
    <t>Замена комплекта ГРМ</t>
  </si>
  <si>
    <t>Выполненные работы по заказ-наряду №  100094 от 28.02.2026</t>
  </si>
  <si>
    <t>Автомобиль :Лада Веста  гос. номер: Е153РА15</t>
  </si>
  <si>
    <t>Заказ-наряд № 100094 от 28.02.2026</t>
  </si>
  <si>
    <t>Дата: 27.02.2026</t>
  </si>
  <si>
    <t>Всего по заказ-наряду: Двадцать пять тысяч триста рублей 00 копеек, в т.ч. НДС 22%.</t>
  </si>
  <si>
    <t>Пятнадцать тысяч девятьсот рублей 00 копеек</t>
  </si>
  <si>
    <t>Амортизаторные стойки передней подвески для а/м ВАЗ 2190 (2190-2905002/3) (2шт)</t>
  </si>
  <si>
    <t>EM20892</t>
  </si>
  <si>
    <t>Стойка стабилизатора Ваз 2190 (серьги) БМРТ - Ломов</t>
  </si>
  <si>
    <t>Сайлентблоки нижнего рычага передней подвески - ваз 2108, 2110, калина, приора, гранта БМРТ</t>
  </si>
  <si>
    <t xml:space="preserve">Фильтр воздушный LADA 2108-099/2110-12/2113-15/GRANTA/KALINA/PRIORA SUFIX </t>
  </si>
  <si>
    <t>SO1029</t>
  </si>
  <si>
    <t>Масло LADA PROFESSIONAL 10W40 моторное полусинтетическое 4 л</t>
  </si>
  <si>
    <t>88888R01040400</t>
  </si>
  <si>
    <t>Шар опора Ваз 2108-10, 2170 усил ОАО АВТОВАЗ</t>
  </si>
  <si>
    <t>21100290419282</t>
  </si>
  <si>
    <t>Шарнир растяжки задний сайлентблок ромашки переднего рычага - ваз 2108-2170 , 2190 гранта  БМРТ</t>
  </si>
  <si>
    <t>10846</t>
  </si>
  <si>
    <t>Подшипник ступ.LADA 2108-09 99 2110-12 KALINA 86- зад. FINWHALE</t>
  </si>
  <si>
    <t>HB321</t>
  </si>
  <si>
    <t>Колодка перед Ваз 2110-2170 HOFER</t>
  </si>
  <si>
    <t>HF 350 805</t>
  </si>
  <si>
    <t>Кронштейн переднего шарнира растяжки (краб) (в сборе) Лада Гранта</t>
  </si>
  <si>
    <t>2190-2904049</t>
  </si>
  <si>
    <t>Расходная накладная к заказ-наряду №  100094 от 27.02.2026</t>
  </si>
  <si>
    <t>Девять тысяч четыреста  рублей 00 копеек.</t>
  </si>
  <si>
    <t>Сход-развал</t>
  </si>
  <si>
    <t>Регулировка рулевой рейки</t>
  </si>
  <si>
    <t>Замена стойки стабилизатора</t>
  </si>
  <si>
    <t>Замена сайлентблоков нижних рычагов</t>
  </si>
  <si>
    <t>Замена подшипника задней ступицы</t>
  </si>
  <si>
    <t>Замена пер-х торм-х колодок</t>
  </si>
  <si>
    <t>Замена кронштейна растяжки</t>
  </si>
  <si>
    <t>Замена переднего амортизатора</t>
  </si>
  <si>
    <t>Выполненные работы по заказ-наряду №  100094 от 27.02.2026</t>
  </si>
  <si>
    <t>Автомобиль : ВАЗ 219010 г/н В228ОХ/15</t>
  </si>
  <si>
    <t>Заказ-наряд № 100094 от 27.02.2026</t>
  </si>
  <si>
    <t>Всего по заказ-наряду: Пятнадцать тысяч рублей 00 копеек, в т.ч. НДС 22%.</t>
  </si>
  <si>
    <t>Десять тысяч двести рублей 00 копеек</t>
  </si>
  <si>
    <t>Масло трансмиссионное Gazpromneft Super Т-3 85W-90 1 л</t>
  </si>
  <si>
    <t>Сцепление в сборе для а/м ГАЗ 3302 Бизнес "RD (ТАЯ)"</t>
  </si>
  <si>
    <t>Расходная накладная к заказ-наряду №  100093 от 27.02.2026</t>
  </si>
  <si>
    <t>Четыре тысячи восемьсот  рублей 00 копеек.</t>
  </si>
  <si>
    <t>Проверка и долив масла в силовые агрегаты</t>
  </si>
  <si>
    <t>Смазка шкворней</t>
  </si>
  <si>
    <t>Замена сцепления</t>
  </si>
  <si>
    <t>Выполненные работы по заказ-наряду №  100093 от 27.02.2026</t>
  </si>
  <si>
    <t>Автомобиль : Газель  гос. номер: О 0629 15</t>
  </si>
  <si>
    <t>Заказ-наряд № 100093 от 27.02.2026</t>
  </si>
  <si>
    <t>Всего по заказ-наряду: Тридцать семь тысяч девятьсот рублей 00 копеек, в т.ч. НДС 22%.</t>
  </si>
  <si>
    <t>Тридцать четыре тысячи пятьсот  рублей 00 копеек</t>
  </si>
  <si>
    <t>Фильтр топливный FORD Transit 2012 (2,2 Duratorg TDCi) GOODWILL</t>
  </si>
  <si>
    <t>FG129</t>
  </si>
  <si>
    <t>Масло КПП трансмиссионное RAVENOL MTF-3 75W синт.1л</t>
  </si>
  <si>
    <t>122110400101999</t>
  </si>
  <si>
    <t>Масло трансмиссионное RAVENOL DGL LS GL-5 75W85 синт.1л</t>
  </si>
  <si>
    <t>122110700101999</t>
  </si>
  <si>
    <t>Фильтр масляный CITROEN JumperIII, FORD Transi Goodwill</t>
  </si>
  <si>
    <t>OG142HQ</t>
  </si>
  <si>
    <t>Фильтр воздушный FORD TRANSIT GOODWILL</t>
  </si>
  <si>
    <t>AG 227</t>
  </si>
  <si>
    <t>Фильтр салонный для а/м FORD Transit / Форд Транзит, Goodwill</t>
  </si>
  <si>
    <t>AG484CF</t>
  </si>
  <si>
    <t>Расходная накладная к заказ-наряду №  100092 от 27.02.2026</t>
  </si>
  <si>
    <t>Три тысячи четыреста  рублей 00 копеек.</t>
  </si>
  <si>
    <t>Ремонт стабилизатора</t>
  </si>
  <si>
    <t>Замена масла в КПП</t>
  </si>
  <si>
    <t>Замена масла в редукторе</t>
  </si>
  <si>
    <t>Выполненные работы по заказ-наряду №  100092 от 27.02.2026</t>
  </si>
  <si>
    <t>Автомобиль : Форд Транзит  гос. номер: В531НХ/15</t>
  </si>
  <si>
    <t>Заказ-наряд № 100092 от 27.02.2026</t>
  </si>
  <si>
    <t>Дата: 25.02.2026</t>
  </si>
  <si>
    <t>Всего по заказ-наряду: Две тысячи шестьсот рублей 00 копеек, в т.ч. НДС 22%.</t>
  </si>
  <si>
    <t>Одна тысяча девятьсот рублей 00 копеек</t>
  </si>
  <si>
    <t>Расходная накладная к заказ-наряду №  100091 от 25.02.2026</t>
  </si>
  <si>
    <t>Семьсот рублей 00 копеек.</t>
  </si>
  <si>
    <t>Выполненные работы по заказ-наряду №  100091 от 25.02.2026</t>
  </si>
  <si>
    <t xml:space="preserve">Автомобиль : Лада Нива 2131 гос. номер: А 678 ХМ /126 </t>
  </si>
  <si>
    <t>Заказ-наряд № 100091 от 25.02.2026</t>
  </si>
  <si>
    <t>Дата: 24.02.2026</t>
  </si>
  <si>
    <t>Всего по заказ-наряду: Сорок девять тысяч восемьсот рублей 00 копеек, в т.ч. НДС 22%.</t>
  </si>
  <si>
    <t>Двадцать одна тысяча триста рублей 00 копеек</t>
  </si>
  <si>
    <t>Суппорт УАЗ Патриот, Хантер с колодками правый ZF AUTO</t>
  </si>
  <si>
    <t>Масло трансмиссионное ZIC 75W85 GFT 4Л.</t>
  </si>
  <si>
    <t>Тормозная жидкость Starex DOT-4 455г</t>
  </si>
  <si>
    <t>Ремень 2100 6PK  TANAKI</t>
  </si>
  <si>
    <t>TKU-1308020-76</t>
  </si>
  <si>
    <t>Сальник хвостовика 42х75-16,4 УАЗ ХАНТЕР, ПАТРИОТ, 3160, 3162 (чёрный, 2 пружины) NBR</t>
  </si>
  <si>
    <t>Втулка аморт Газель,Волга БМРТ -Ломов (к-т 4шт) (в упак)</t>
  </si>
  <si>
    <t>Провод монтажный 2,50мм  красный (ПГВА/ПВАМ) REXANT 1 m</t>
  </si>
  <si>
    <t>Радиатор отоп. алюм. для а/м УАЗ 3163 Патриот (05.2012-) А/С Sanden</t>
  </si>
  <si>
    <t>LRH03631B</t>
  </si>
  <si>
    <t>Колодка тормозная УАЗ-3160 передняя (к-т 4шт.)  Маркон</t>
  </si>
  <si>
    <t>3160-3501090</t>
  </si>
  <si>
    <t>Хомут 16-27 Диалуч на патрубки отопителя</t>
  </si>
  <si>
    <t>ХТД093-1/1627</t>
  </si>
  <si>
    <t>Моторчик отопителя Г-2705 (d=18) дополнительный  Truckman</t>
  </si>
  <si>
    <t>75.3780-01</t>
  </si>
  <si>
    <t>Э/вентилятор отоп. для а/м УАЗ 3163 Патриот (05.2012-) А/С Sanden Luzar</t>
  </si>
  <si>
    <t>LFH03631</t>
  </si>
  <si>
    <t>Расходная накладная к заказ-наряду №  100090 от 24.02.2026</t>
  </si>
  <si>
    <t>Двадцать восемь тысяч пятьсот рублей 00 копеек.</t>
  </si>
  <si>
    <t>Токарные работы</t>
  </si>
  <si>
    <t>Ремонт электропроводки</t>
  </si>
  <si>
    <t xml:space="preserve">Установка дополнительного насоса </t>
  </si>
  <si>
    <t>Замена электровентилятора отопителя</t>
  </si>
  <si>
    <t>Замена радиатора отопителя</t>
  </si>
  <si>
    <t>Регулировка шкворня</t>
  </si>
  <si>
    <t>Замена сальника хвостовика</t>
  </si>
  <si>
    <t>Замена нижних втулок амортизатора</t>
  </si>
  <si>
    <t>Прокачка тормозной системы</t>
  </si>
  <si>
    <t>Замена правого торм суппорта</t>
  </si>
  <si>
    <t>Диагностика тормозной системы</t>
  </si>
  <si>
    <t>Выполненные работы по заказ-наряду №  100090 от 24.02.2026</t>
  </si>
  <si>
    <t>Автомобиль : УАЗ Есаул гос. номер: С 261 ВС  /126</t>
  </si>
  <si>
    <t>Заказ-наряд № 100090 от 24.02.2026</t>
  </si>
  <si>
    <t>Дата: 22.02.2026</t>
  </si>
  <si>
    <t>Всего по заказ-наряду: Пятьдесят тысяч девятьсот рублей 00 копеек, в т.ч. НДС 22%.</t>
  </si>
  <si>
    <t>Сорок тысяч четыреста пятьдесят рублей 00 копеек</t>
  </si>
  <si>
    <t>Переключатель подрулевой УАЗ-3163 (13-)  АВТОАРМАТУРА</t>
  </si>
  <si>
    <t>Катушка зажигания 405 Евро-3 (модуль) СОАТЭ</t>
  </si>
  <si>
    <t>407.3705</t>
  </si>
  <si>
    <t>Крышка ГБЦ передняя ЗМЗ 409 УАЗ Патриот ЕВРО-3 ЗМЗ</t>
  </si>
  <si>
    <t>409.1003083-10</t>
  </si>
  <si>
    <t>Вентилятор охлаждения (без гидромуфты) 7 лопастей / УАЗ Патриот</t>
  </si>
  <si>
    <t>3162-1308010</t>
  </si>
  <si>
    <t>Ролик натяжной дв.405 Евро-3 усил.  ДПК</t>
  </si>
  <si>
    <t>П40524.1308080-303C-00-11</t>
  </si>
  <si>
    <t>Радиатор УАЗ-3163 алюминиевый  дв.ЗМЗ-409,40904,IVECO ЕВРО-2,3 LUZAR</t>
  </si>
  <si>
    <t>LRC0363b</t>
  </si>
  <si>
    <t>Патрубки радиатора УАЗ "Patriot" с кондиционером  ВПТ</t>
  </si>
  <si>
    <t>Масло трансм Gazpromneft 85W90 Super Т-3 4л</t>
  </si>
  <si>
    <t>Фильтр масляный ГАЗель NEXT дв. А274 Evotech,4216 ГАЗ Оригинал</t>
  </si>
  <si>
    <t>NF100402</t>
  </si>
  <si>
    <t>Элемент воздушного фильтра дв.406 высокий, УАЗ Патриот  Экофил</t>
  </si>
  <si>
    <t>EKO104П</t>
  </si>
  <si>
    <t>Моторное масло Лукойл Люкс SAE 10W-40, API SL/CF 5 л</t>
  </si>
  <si>
    <t>Масло моторное полусинтетическое "Люкс 10W-40", 1л Лукойл</t>
  </si>
  <si>
    <t>Расходная накладная к заказ-наряду №  100089 от 22.02.2026</t>
  </si>
  <si>
    <t>Десять тысяч четыреста пятьдесят рублей 00 копеек.</t>
  </si>
  <si>
    <t xml:space="preserve">Замена дополнительного насоса </t>
  </si>
  <si>
    <t>Замена переключателя поворотов</t>
  </si>
  <si>
    <t>Замена патрубков радиатора</t>
  </si>
  <si>
    <t>Замена вентилятора охлаждения</t>
  </si>
  <si>
    <t>Замена крышки пер. ГБЦ</t>
  </si>
  <si>
    <t>Замена ролика натяжного</t>
  </si>
  <si>
    <t>Замена масла в раздатке</t>
  </si>
  <si>
    <t>Замена катушки зажигания</t>
  </si>
  <si>
    <t>Замена свечей зажигания</t>
  </si>
  <si>
    <t>Выполненные работы по заказ-наряду №  100089 от 22.02.2026</t>
  </si>
  <si>
    <t>Автомобиль : УАЗ Есаул гос. номер: А 419 СТ  /126</t>
  </si>
  <si>
    <t>Заказ-наряд № 100089 от 22.02.2026</t>
  </si>
  <si>
    <t>Всего по заказ-наряду: Тридцать  одна тысяча восемьсот пятьдесят  рублей 00 копеек, в т.ч. НДС 22%.</t>
  </si>
  <si>
    <t>Двадцать тысяч шестьсот  пятьдесят  рублей 00 копеек</t>
  </si>
  <si>
    <t>Втулка (подушка) опорная продольной (штанги) тяги Уаз 3160, Хантер, Патриот</t>
  </si>
  <si>
    <t>3160-2909033</t>
  </si>
  <si>
    <t>Пружина УАЗ 31519 Хантер, 3163 Патриот передняя усиленная +50 мм (к-т 2 шт.)</t>
  </si>
  <si>
    <t>3160-2902712 (+50)</t>
  </si>
  <si>
    <t>Диск тормозной УАЗ-3160,Хантер,Патриот ТОРНАДО-НН</t>
  </si>
  <si>
    <t>3160-3501076</t>
  </si>
  <si>
    <t>Расходная накладная к заказ-наряду №  100506 от 02.06.2026</t>
  </si>
  <si>
    <t>Одиннадцать тысяч двести  рублей 00 копеек</t>
  </si>
  <si>
    <t>Подтяжка ходовой части</t>
  </si>
  <si>
    <t>Регулировка подшипника ступицы</t>
  </si>
  <si>
    <t>Замена втулок продольной тяги</t>
  </si>
  <si>
    <t>Замена пружины подвески</t>
  </si>
  <si>
    <t>Замена пер торм диска (с колодками)</t>
  </si>
  <si>
    <t>Замена пер крышки ГБЦ</t>
  </si>
  <si>
    <t>Выполненные работы по заказ-наряду № 100506 от 02.06.2026</t>
  </si>
  <si>
    <t>Автомобиль : УАЗ Патриот г/н Е546НТ /15</t>
  </si>
  <si>
    <t>Заказ-наряд № 100506 от 02.06.2026</t>
  </si>
  <si>
    <t>Всего по заказ-наряду: Двадцать  тысяч четыреста пятьдесят  рублей 00 копеек, в т.ч. НДС 22%.</t>
  </si>
  <si>
    <t>Тринадцать тысяч девятьсот  пятьдесят  рублей 00 копеек</t>
  </si>
  <si>
    <t>4008</t>
  </si>
  <si>
    <t>Подушка пружины УАЗ Патриот., полиуретан синий ПромТехПласт</t>
  </si>
  <si>
    <t>3160-2902735</t>
  </si>
  <si>
    <t>Пружины передние УАЗ Патриот, Хантер лифт +30 мм (2 шт) redBTR</t>
  </si>
  <si>
    <t>636390</t>
  </si>
  <si>
    <t>Расходная накладная к заказ-наряду №  100508 от 03.06.2026</t>
  </si>
  <si>
    <t>Шесть тысяч пятьсот  рублей 00 копеек</t>
  </si>
  <si>
    <t>Диагностика и подтяжка подвески</t>
  </si>
  <si>
    <t>Выполненные работы по заказ-наряду № 100508 от 03.06.2026</t>
  </si>
  <si>
    <t>Автомобиль : УАЗ Патриот г/н Е506НТ /15</t>
  </si>
  <si>
    <t>Заказ-наряд № 100508 от 03.06.2026</t>
  </si>
  <si>
    <t>Всего по заказ-наряду: Восемнадцать  тысяч пятьдесят  рублей 00 копеек, в т.ч. НДС 22%.</t>
  </si>
  <si>
    <t>Шесть тысяч триста  рублей 00 копеек</t>
  </si>
  <si>
    <t>Опора вала карданного ГАЗель Next (17-) в сборе (d=40мм) PRAVT</t>
  </si>
  <si>
    <t>ЭС.А31R32.1707577</t>
  </si>
  <si>
    <t>Сальник ступицы Г-3302 задний (65х90х16) двубортный  "ЭССКО-НН"</t>
  </si>
  <si>
    <t>ЭС.5435-2304130</t>
  </si>
  <si>
    <t>Колодка тормозная 3302 задняя (к-т 4шт.)  Allied Nippon</t>
  </si>
  <si>
    <t>ABS1802</t>
  </si>
  <si>
    <t>Рк наконечника троса КПП Г-3302 NEXT  "ЭССКО-НН"</t>
  </si>
  <si>
    <t>Расходная накладная к заказ-наряду №  100501 от 02.06.2026</t>
  </si>
  <si>
    <t>Одиннадцать тысяч семьсот пятьдесят рублей 00 копеек.</t>
  </si>
  <si>
    <t>Сход-развал (с раскруткой с-р тяги)</t>
  </si>
  <si>
    <t>Проверка и долив масла в силовых агрегатах</t>
  </si>
  <si>
    <t>Регулировка ручного тормоза, с разводкой колодок</t>
  </si>
  <si>
    <t>Замена опоры подвесной</t>
  </si>
  <si>
    <t>Замена р/к наконечника троса КПП</t>
  </si>
  <si>
    <t>Замена сальника ступицы задней</t>
  </si>
  <si>
    <t>Замена задних торм-х колодок</t>
  </si>
  <si>
    <t>Выполненные работы по заказ-наряду №  100501 от 02.06.2026</t>
  </si>
  <si>
    <t>Автомобиль :  Газель Некст г/н М 956 УМ 29 RUS</t>
  </si>
  <si>
    <t>Заказ-наряд № 100501 от 02.06.2026</t>
  </si>
  <si>
    <t>Дата: 14.01.2026</t>
  </si>
  <si>
    <t>Всего по заказ-наряду: Шестнадцать тысяч двести  рублей 00 копеек, в т.ч. НДС 22%.</t>
  </si>
  <si>
    <t>Десять тысяч шестьсот рублей 00 копеек</t>
  </si>
  <si>
    <t>Лобовое стекло ВАЗ 1118 Лада Калина (KALINA)</t>
  </si>
  <si>
    <t>4599ACL</t>
  </si>
  <si>
    <t>21</t>
  </si>
  <si>
    <t>Форсунка топливная BOSCH  оранжевая ВАЗ  2113-2115, Приора, Приора 2, Гранта,  8-кл.</t>
  </si>
  <si>
    <t>20</t>
  </si>
  <si>
    <t>Кольцо уплотнительное форсунки ВАЗ 2115,2110,Калина,2170,Приора</t>
  </si>
  <si>
    <t>19</t>
  </si>
  <si>
    <t>Сальник распредвала/коленвала передний Lada/Лада Приора, 2170 Victor Reinz (28х42х7)</t>
  </si>
  <si>
    <t>18</t>
  </si>
  <si>
    <t>Насос водяной Ваз 2108 Finwhale</t>
  </si>
  <si>
    <t>WP108</t>
  </si>
  <si>
    <t>Моторчик бензонасоса Weber</t>
  </si>
  <si>
    <t>FP 453-453</t>
  </si>
  <si>
    <t>Ремень ГРМ Gates 111х19 для ВАЗ 2108-21099, 2110-2112, 2113-2115, Лада Калина, Приора 8 кл.</t>
  </si>
  <si>
    <t>Провода свечные ВАЗ 2114-10,1118,2190 инж 8 кл 1,6 Милена</t>
  </si>
  <si>
    <t>Колодки барабан. тормоза задние для автомобилей VAZ 2108-2110 (без ABS) SM</t>
  </si>
  <si>
    <t>DA140</t>
  </si>
  <si>
    <t xml:space="preserve">Шрус наруж (Граната) Ваз 2108-12 Finwhale </t>
  </si>
  <si>
    <t>FJ218</t>
  </si>
  <si>
    <t>Фильтр салона Ваз 1118, 2190, 2123 ОАО АВТОВАЗ</t>
  </si>
  <si>
    <t>11180812201082</t>
  </si>
  <si>
    <t>Масло трансмиссионное Gazpromneft 80/85 API GL-4  4 л.</t>
  </si>
  <si>
    <t>Смазка проникающая Z-40 (100 мл.)</t>
  </si>
  <si>
    <t>Z-40 100</t>
  </si>
  <si>
    <t>фильтр топливный! Opel Astra/Corsa/Omega/Vectra,  1.2i-3.0 93&gt;Stellox</t>
  </si>
  <si>
    <t>21-00083-SX</t>
  </si>
  <si>
    <t>Фильтр воздушный  ВАЗ 2108-12 LECAR</t>
  </si>
  <si>
    <t>LECAR12020101</t>
  </si>
  <si>
    <t>Фильтр масляный Lada/Datsun/ВАЗ Ливны</t>
  </si>
  <si>
    <t>2108-1012005-08</t>
  </si>
  <si>
    <t>Барабан торм Ваз 2108-2110-2170-2190-1118  чугун Автореал</t>
  </si>
  <si>
    <t>AB1118-3502070</t>
  </si>
  <si>
    <t>Свечи А17ДВРМ Стандарт "33" 8кл</t>
  </si>
  <si>
    <t>А17ДВРМ</t>
  </si>
  <si>
    <t>Колодки тормозные передние 2108-2110, Калина, Приора, Гранта Hi-Q (4шт)</t>
  </si>
  <si>
    <t>SP1181</t>
  </si>
  <si>
    <t>Расходная накладная к заказ-наряду №  100502 от 02.06.2026</t>
  </si>
  <si>
    <t>Пять тысяч шестьсот  рублей 00 копеек.</t>
  </si>
  <si>
    <t>Замена наружного шруса</t>
  </si>
  <si>
    <t xml:space="preserve">Замена лобового стекла </t>
  </si>
  <si>
    <t>Промывка форсунок</t>
  </si>
  <si>
    <t>С/у форсунок</t>
  </si>
  <si>
    <t>Проверка компрессии в цилиндрах ДВС</t>
  </si>
  <si>
    <t>Замена сальника р/вала</t>
  </si>
  <si>
    <t>Замена ремня ГРМ с помпой</t>
  </si>
  <si>
    <t>Замена моторчика бензонасоса</t>
  </si>
  <si>
    <t>Замена проводов в/вольтных</t>
  </si>
  <si>
    <t>Замена передних торм-х колодок</t>
  </si>
  <si>
    <t>Выполненные работы по заказ-наряду №  100502 от 02.06.2026</t>
  </si>
  <si>
    <t>Автомобиль : Лада Калина гос. номер: А091ХА 15</t>
  </si>
  <si>
    <t>Заказ-наряд № 100502 от 02.06.2026</t>
  </si>
  <si>
    <t>Дата:  13.11.2025</t>
  </si>
  <si>
    <t>Всего по заказ-наряду: Одна тысяча четыреста рублей 00 копеек, в т.ч. НДС 20%</t>
  </si>
  <si>
    <t>Расходная накладная к заказ-наряду № 100520 от 13.11.2025</t>
  </si>
  <si>
    <t>Одна тысяча четыреста рублей 00 копеек</t>
  </si>
  <si>
    <t>Шиномонтаж колеса (снять колесо, балансировка, поставить колесо) 1 шт.</t>
  </si>
  <si>
    <t>Выполненные работы по заказ-наряду №  100520 от 13.11.2025</t>
  </si>
  <si>
    <t>Автомобиль : Тойота Камри г/н А273ОА 15</t>
  </si>
  <si>
    <t>Заказ-наряд № 100520 от 13.11.2025</t>
  </si>
  <si>
    <t>Дата:  12.11.2025</t>
  </si>
  <si>
    <t>Всего по заказ-наряду: Две тысячи четыреста рублей 00 копеек, в т.ч. НДС 20%</t>
  </si>
  <si>
    <t>Расходная накладная к заказ-наряду № 100517 от 12.11.2025</t>
  </si>
  <si>
    <t>Одна тысяча восемьсот рублей 00 копеек</t>
  </si>
  <si>
    <t>Выполненные работы по заказ-наряду №  100517 от 12.11.2025</t>
  </si>
  <si>
    <t>Автомобиль : Тойота Камри г/н Е301ОУ 15</t>
  </si>
  <si>
    <t>Заказ-наряд № 100517 от 12.11.2025</t>
  </si>
  <si>
    <t>Всего по заказ-наряду: Две тысячи шестьсот рублей 00 копеек, в т.ч. НДС 20%</t>
  </si>
  <si>
    <t>Расходная накладная к заказ-наряду № 100516 от 12.11.2025</t>
  </si>
  <si>
    <t>Две тысячи шестьсот рублей 00 копеек</t>
  </si>
  <si>
    <t>Выполненные работы по заказ-наряду №  100516 от 12.11.2025</t>
  </si>
  <si>
    <t>Автомобиль : Volkswagen Multivan г/н С488ВС 15</t>
  </si>
  <si>
    <t>Заказ-наряд № 100516 от 12.11.2025</t>
  </si>
  <si>
    <t>Дата:  11.11.2025</t>
  </si>
  <si>
    <t>Всего по заказ-наряду: Одна тысяча восемьсот рублей 00 копеек, в т.ч. НДС 20%</t>
  </si>
  <si>
    <t>Расходная накладная к заказ-наряду № 100512 от 11.11.2025</t>
  </si>
  <si>
    <t>Выполненные работы по заказ-наряду №  100512 от 11.11.2025</t>
  </si>
  <si>
    <t>Автомобиль : Тойота Камри гос. номер:  А 560 ХС 15</t>
  </si>
  <si>
    <t>Заказ-наряд № 100512 от 11.11.2025</t>
  </si>
  <si>
    <t>Дата:  10.11.2025</t>
  </si>
  <si>
    <t>Расходная накладная к заказ-наряду № 100510 от 10.11.2025</t>
  </si>
  <si>
    <t>Две тысячи четыреста рублей 00 копеек</t>
  </si>
  <si>
    <t>Шиномонтаж колеса (снять колесо,сборка-разборка, балансировка, поставить колесо) 1 шт.</t>
  </si>
  <si>
    <t>Выполненные работы по заказ-наряду №  100510 от 10.11.2025</t>
  </si>
  <si>
    <t>Автомобиль : Тойота Камри гос. номер: Е778РА 15</t>
  </si>
  <si>
    <t>Заказ-наряд № 100510 от 10.11.2025</t>
  </si>
  <si>
    <t>Всего по заказ-наряду: Десять тысяч семьсот  рублей 00 копеек</t>
  </si>
  <si>
    <t>Семь тысяч семьсот рублей 00 копеек</t>
  </si>
  <si>
    <t>4,5</t>
  </si>
  <si>
    <t>Масло моторное синт Лукойл 5W-30 GENESIS ARMORTECH НК, 4л</t>
  </si>
  <si>
    <t>Фильтр салонный угольный Transporter (T5) GOODWILL</t>
  </si>
  <si>
    <t>AG286CFC</t>
  </si>
  <si>
    <t>Фильтр воздушный GoodWill Volkswagen Multivan</t>
  </si>
  <si>
    <t>AG 233</t>
  </si>
  <si>
    <t>Фильтр масляный vw tiguan 2008-, Multivan V Filtron</t>
  </si>
  <si>
    <t>OP 526/7</t>
  </si>
  <si>
    <t>Расходная накладная к заказ-наряду №  100503 от 02.06.2026</t>
  </si>
  <si>
    <t>Три тысячи   рублей 00 копеек</t>
  </si>
  <si>
    <t>Диагностика АКПП</t>
  </si>
  <si>
    <t>Выполненные работы по заказ-наряду №  100503 от 02.06.2026</t>
  </si>
  <si>
    <t>Автомобиль : Volkswagen Multivan  гос. номер: С488ВС 15</t>
  </si>
  <si>
    <t>Заказ-наряд № 100503 от 02.06.2026</t>
  </si>
  <si>
    <t>Всего по заказ-наряду: Десять  тысяч пятьдесят  рублей 00 копеек, в т.ч. НДС 22%.</t>
  </si>
  <si>
    <t>Девять тысяч пятьдесят рублей 00 копеек</t>
  </si>
  <si>
    <t>4,1</t>
  </si>
  <si>
    <t>1,1</t>
  </si>
  <si>
    <t>Расходная накладная к заказ-наряду №  100511 от 03.06.2026</t>
  </si>
  <si>
    <t>Выполненные работы по заказ-наряду № 100511 от 03.06.2026</t>
  </si>
  <si>
    <t>Автомобиль : Toyota Camry г/н Е 301 ОУ /15</t>
  </si>
  <si>
    <t>Заказ-наряд № 100511 от 03.06.2026</t>
  </si>
  <si>
    <t>LADA 217030 PRIORA</t>
  </si>
  <si>
    <t>Н731ХН26</t>
  </si>
  <si>
    <t>XTA217030D0425055</t>
  </si>
  <si>
    <t>106-27</t>
  </si>
  <si>
    <t>X96221717L0897225</t>
  </si>
  <si>
    <t>106-16</t>
  </si>
  <si>
    <t>А263СТ126</t>
  </si>
  <si>
    <t>XTA219010F0333420</t>
  </si>
  <si>
    <t>106-21</t>
  </si>
  <si>
    <t>XTT316300J1023443</t>
  </si>
  <si>
    <t>103-87</t>
  </si>
  <si>
    <t>Е403ОУ15</t>
  </si>
  <si>
    <t>XTAGFL110LY430878</t>
  </si>
  <si>
    <t>105-49</t>
  </si>
  <si>
    <t>А273ОА15</t>
  </si>
  <si>
    <t>XW7BE40K00S034309</t>
  </si>
  <si>
    <t>98-91</t>
  </si>
  <si>
    <t>К480НВ15</t>
  </si>
  <si>
    <t>X8939451CE0AK5089</t>
  </si>
  <si>
    <t>101-34</t>
  </si>
  <si>
    <t>А255СТ126</t>
  </si>
  <si>
    <t>XTA219010F0330258</t>
  </si>
  <si>
    <t>106-33</t>
  </si>
  <si>
    <t>Е463МУ15</t>
  </si>
  <si>
    <t>X8939451CJ0AK5142</t>
  </si>
  <si>
    <t>104-17</t>
  </si>
  <si>
    <t>Е963НТ15</t>
  </si>
  <si>
    <t>XTAGFL110LY399372</t>
  </si>
  <si>
    <t>105-38</t>
  </si>
  <si>
    <t>Е495МУ15</t>
  </si>
  <si>
    <t>X8939451CJ0AK5136</t>
  </si>
  <si>
    <t>104-18</t>
  </si>
  <si>
    <t>А260СТ126</t>
  </si>
  <si>
    <t>XTA219010F0330274</t>
  </si>
  <si>
    <t>106-32</t>
  </si>
  <si>
    <t>Е491НТ15</t>
  </si>
  <si>
    <t>X8939451CK0AK5352</t>
  </si>
  <si>
    <t>105-00</t>
  </si>
  <si>
    <t>/ООО «Концепт»/</t>
  </si>
  <si>
    <t>Дата: 09.06.2026</t>
  </si>
  <si>
    <t>Всего по заказ-наряду: Двадцать одна тысяча восемьсот  рублей 00 копеек, в т.ч. НДС 22%.</t>
  </si>
  <si>
    <t>Четыре тысячи пятьсот  рублей 00 копеек</t>
  </si>
  <si>
    <t>Прокладка ГБЦ дв.421 (с герм.) БЦМ</t>
  </si>
  <si>
    <t>421-1003020</t>
  </si>
  <si>
    <t>РК приемной трубы дв.421 ВАТИ-61 (гайки,шпильки,прокладки)   "ЭССКО-НН"</t>
  </si>
  <si>
    <t>Колпачки маслосъемные дв.402,523,513,511,УАЗ (к-т 8шт.) Кирово-Чепецк</t>
  </si>
  <si>
    <t>24-1007036-01</t>
  </si>
  <si>
    <t>Прокладка УМЗ-4213,4216 коллектора УМЗ</t>
  </si>
  <si>
    <t>4216.1008080</t>
  </si>
  <si>
    <t>Кольцо уплотнительное форсунок ВАЗ 106 л.с. (кт 8 шт)</t>
  </si>
  <si>
    <t>Шланг  d= 8   силикон (бухта 20м) оранж. внутри  Technik</t>
  </si>
  <si>
    <t>Шланг  d=18  силикон 1 м оранж. внутри  Technik</t>
  </si>
  <si>
    <t>Провода высоковольтные ГАЗ-3302,2705 Бизнес дв.УМЗ-4216 ЕВРО-4 кт</t>
  </si>
  <si>
    <t xml:space="preserve"> 4216.3707080-23</t>
  </si>
  <si>
    <t>Расходная накладная к заказ-наряду №  100550 от 09.06.2026</t>
  </si>
  <si>
    <t>Семнадцать тысяч триста рублей 00 копеек.</t>
  </si>
  <si>
    <t>Притирка клапанов</t>
  </si>
  <si>
    <t>Шлифовка ГБЦ</t>
  </si>
  <si>
    <t>Проверка ГБЦ на трещину</t>
  </si>
  <si>
    <t>Замена прокладки ГБЦ</t>
  </si>
  <si>
    <t>Замена компрессии в цилиндрах</t>
  </si>
  <si>
    <t>Выполненные работы по заказ-наряду №  100550 от 09.06.2026</t>
  </si>
  <si>
    <t xml:space="preserve">Автомобиль : ГАЗ 2705 г/н В 645 ОТ/15 </t>
  </si>
  <si>
    <t>Заказ-наряд № 100550 от 09.06.2026</t>
  </si>
  <si>
    <t>Дата: 11.06.2026</t>
  </si>
  <si>
    <t>Всего по заказ-наряду: Двенадцать тысяч семьсот пятьдесят  рублей 00 копеек, в т.ч. НДС 22%.</t>
  </si>
  <si>
    <t>Семь тысяч девятьсот пятьдесят рублей 00 копеек</t>
  </si>
  <si>
    <t>Датчик АБС УАЗ Patriot,Hunter BOSCH</t>
  </si>
  <si>
    <t>Кольцо стопорное подшипника ступицы Уаз 469, 3163, 3741 (ОАО УАЗ)</t>
  </si>
  <si>
    <t>69-3103024</t>
  </si>
  <si>
    <t>Ремкомплект УАЗ 3151,3160 передней и задней ступицы (подшипники сальник)"TRIALLI"</t>
  </si>
  <si>
    <t>CS751</t>
  </si>
  <si>
    <t>Диск тормозной УАЗ ХАНТЕР, ПАТРИОТ, 452 BAST</t>
  </si>
  <si>
    <t>Колодки тормозные дисковые перед УАЗ Патриот кт NIPPON</t>
  </si>
  <si>
    <t xml:space="preserve">ADB0610 </t>
  </si>
  <si>
    <t>Смазка Литол-24 250мл Sintec</t>
  </si>
  <si>
    <t>Расходная накладная к заказ-наряду №  100558 от 11.06.2026</t>
  </si>
  <si>
    <t xml:space="preserve">Замена тормозного диска </t>
  </si>
  <si>
    <t>Замена подшипника пер ступицы</t>
  </si>
  <si>
    <t>Замена датчика АВС</t>
  </si>
  <si>
    <t>Диагностика  АВС</t>
  </si>
  <si>
    <t>Выполненные работы по заказ-наряду №  100558 от 11.06.2026</t>
  </si>
  <si>
    <t xml:space="preserve">Автомобиль : УАЗ Патриот г/н В 787 ОХ/15 </t>
  </si>
  <si>
    <t>Заказ-наряд № 100558 от 11.06.2026</t>
  </si>
  <si>
    <t>Всего по заказ-наряду: Пятьдесят три тысячи двести  рублей 00 копеек, в т.ч. НДС 22%.</t>
  </si>
  <si>
    <t>Тридцать  тысяч восемьсот рублей 00 копеек</t>
  </si>
  <si>
    <t>Насос водяной LADA KALINA PRIORA VESTA X-RAY LUZAR</t>
  </si>
  <si>
    <t>LWP0127</t>
  </si>
  <si>
    <t>Антифриз Sintec красный -40С 1кг</t>
  </si>
  <si>
    <t>Радиатор кондиционера Lada Vesta, X-ray, Renault Logan 2 SAT</t>
  </si>
  <si>
    <t>ST-DC02-394-0</t>
  </si>
  <si>
    <t>Радиатор охлаждения LADA Vesta/Веста GAMMA</t>
  </si>
  <si>
    <t>GMRCL18589</t>
  </si>
  <si>
    <t>Смазка универсальная проникающая Abro Masters (100 мл) аналог WD-40</t>
  </si>
  <si>
    <t>AB-8-100-R</t>
  </si>
  <si>
    <t>Стойка стабилизатора TRIALLI ВАЗ Лада Vesta переднего</t>
  </si>
  <si>
    <t>SP0102</t>
  </si>
  <si>
    <t>Амортизатор задний ВАЗ LADA Vesta левый/правый газомасляный LADA (СААЗ)</t>
  </si>
  <si>
    <t xml:space="preserve">Колодки тормозные передние Lada Vesta SANGSIN (HI-Q) </t>
  </si>
  <si>
    <t>SP1564</t>
  </si>
  <si>
    <t>Диск тормозной LADA Vesta SW/SW Cross LADA Vesta SW/SW Cross AVTOREAL</t>
  </si>
  <si>
    <t>AB8450031577</t>
  </si>
  <si>
    <t>Масло Лукойл GENESIS UNIVERSAL 10W40, 4 л</t>
  </si>
  <si>
    <t>Расходная накладная к заказ-наряду №  100560 от 11.06.2026</t>
  </si>
  <si>
    <t>Двадцать две тысячи четыреста  рублей 00 копеек.</t>
  </si>
  <si>
    <t>Замена насоса водяного</t>
  </si>
  <si>
    <t>Ремонт электрооборудования</t>
  </si>
  <si>
    <t>Замена радиатора кондиционера</t>
  </si>
  <si>
    <t>Сварка глушителя</t>
  </si>
  <si>
    <t>Замена масла и масл. фильтра</t>
  </si>
  <si>
    <t>Замена пер. торм. диска с колодками</t>
  </si>
  <si>
    <t>Замена амортизатора заднего</t>
  </si>
  <si>
    <t>Выполненные работы по заказ-наряду №  100560 от 11.06.2026</t>
  </si>
  <si>
    <t xml:space="preserve">Автомобиль : Лада Веста г/н А 725 НА/15 </t>
  </si>
  <si>
    <t>Заказ-наряд № 100560 от 11.06.2026</t>
  </si>
  <si>
    <t>Дата: 10.06.2026</t>
  </si>
  <si>
    <t>Всего по заказ-наряду: Двадцать пять тысяч восемьсот пятьдесят рублей 00 копеек, в т.ч. НДС 22%.</t>
  </si>
  <si>
    <t>Восемь тысяч сто пятьдесят рублей 00 копеек</t>
  </si>
  <si>
    <t>Шаровая опора БелМаг Оригинал ВАЗ 2108-2170,  Приора, Приора 2, Гранта FL</t>
  </si>
  <si>
    <t>BM0033</t>
  </si>
  <si>
    <t>21900341410086</t>
  </si>
  <si>
    <t>Ремкомплект рулевой рейки ВАЗ-2110-2112 РемКом</t>
  </si>
  <si>
    <t>RK01010</t>
  </si>
  <si>
    <t>Смазка Литол-24 SINTEC 100 г желтая</t>
  </si>
  <si>
    <t>Пыльник рулевой рейки 2110-12 2170 Priora Балаково ОАО БРТ</t>
  </si>
  <si>
    <t>1481</t>
  </si>
  <si>
    <t>Масло моторное  "Люкс 10W-40", 1л Лукойл</t>
  </si>
  <si>
    <t>3705307</t>
  </si>
  <si>
    <t>Расходная накладная к заказ-наряду №  100555 от 10.06.2026</t>
  </si>
  <si>
    <t>Семнадцать тысяч семьсот рублей 00 копеек.</t>
  </si>
  <si>
    <t>Балансировка колеса</t>
  </si>
  <si>
    <t>Ремонт ЭУР со снятием и установкой</t>
  </si>
  <si>
    <t>Ремонт рулевой рейки</t>
  </si>
  <si>
    <t>Замена шаровой опоры</t>
  </si>
  <si>
    <t>Выполненные работы по заказ-наряду №  100555 от 10.06.2026</t>
  </si>
  <si>
    <t>Автомобиль : Лада Гранта г/н  А722НА 15</t>
  </si>
  <si>
    <t>Заказ-наряд № 100555 от 10.06.2026</t>
  </si>
  <si>
    <t>Всего по заказ-наряду: Тринадцать тысяч триста  рублей 00 копеек, в т.ч. НДС 22%.</t>
  </si>
  <si>
    <t>Девять тысяч четыреста  рублей 00 копеек</t>
  </si>
  <si>
    <t>Генератор  14В, 140А ВАЗ-2123 (до окт. 2003г.) ВАЗ-21214 Нива АвтоЭлектрика)</t>
  </si>
  <si>
    <t>94123701С</t>
  </si>
  <si>
    <t>Кран ВАЗ-2101-2107 отопителя LUZAR</t>
  </si>
  <si>
    <t>LV0101</t>
  </si>
  <si>
    <t>Колодки задние комплект ВАЗ 2101-07 2121-213 2123 АВТОВАЗ кт</t>
  </si>
  <si>
    <t>2101350209090</t>
  </si>
  <si>
    <t>Расходная накладная к заказ-наряду №  100551 от 09.06.2026</t>
  </si>
  <si>
    <t>Три тысячи девятьсот рублей 00 копеек.</t>
  </si>
  <si>
    <t>Замена крана отопителя</t>
  </si>
  <si>
    <t>Замена генератора</t>
  </si>
  <si>
    <t>Диагностика генератора</t>
  </si>
  <si>
    <t>Выполненные работы по заказ-наряду №  100551 от 09.06.2026</t>
  </si>
  <si>
    <t>Автомобиль : Лада 213100 г/н А678ХМ 126</t>
  </si>
  <si>
    <t>Заказ-наряд № 100551 от 09.06.2026</t>
  </si>
  <si>
    <t>Дата: 05.06.2026</t>
  </si>
  <si>
    <t>Всего по заказ-наряду: Семь тысяч девятьсот  рублей 00 копеек, в т.ч. НДС 22%.</t>
  </si>
  <si>
    <t>Одна тысяча четыреста  рублей 00 копеек</t>
  </si>
  <si>
    <t>Ремень 2100 привода агрегатов (6/РК-2100) поликлин.Патриот с кондиц.BOSCH</t>
  </si>
  <si>
    <t>Расходная накладная к заказ-наряду №  100516 от 05.06.2026</t>
  </si>
  <si>
    <t>Шесть тысяч пятьсот  рублей 00 копеек.</t>
  </si>
  <si>
    <t>Выполненные работы по заказ-наряду №  100516 от 05.06.2026</t>
  </si>
  <si>
    <t>Автомобиль : УАЗ Есаул 394511-03 г/н В723УУ 15</t>
  </si>
  <si>
    <t>Заказ-наряд № 100516 от 05.06.2026</t>
  </si>
  <si>
    <t>Дата: 08.06.2026</t>
  </si>
  <si>
    <t>Всего по заказ-наряду: Восемнадцать тысяч восемьсот рублей 00 копеек, в т.ч. НДС 22%.</t>
  </si>
  <si>
    <t>Три тысячи восемьсот  рублей 00 копеек</t>
  </si>
  <si>
    <t>Масло трансмиссионное LUKOIL GEAR GL-4 75W-90 1л.</t>
  </si>
  <si>
    <t>Масло трансмиссионное LUKOIL GEAR GL-4 75W-90 4л.</t>
  </si>
  <si>
    <t>Расходная накладная к заказ-наряду №  100528 от 08.06.2026</t>
  </si>
  <si>
    <t>Пятнадцать тысяч   рублей 00 копеек.</t>
  </si>
  <si>
    <t>Ремонт КПП со снятием и установкой</t>
  </si>
  <si>
    <t>Выполненные работы по заказ-наряду №  100528 от 08.06.2026</t>
  </si>
  <si>
    <t>Автомобиль : УАЗ Патриот г/н О 201 МК/126</t>
  </si>
  <si>
    <t>Заказ-наряд № 100528 от 08.06.2026</t>
  </si>
  <si>
    <t>Всего по заказ-наряду: Восемь тысяч двести  рублей 00 копеек, в т.ч. НДС 22%.</t>
  </si>
  <si>
    <t>Четыре тысячи триста рублей 00 копеек</t>
  </si>
  <si>
    <t>Колодка задн Ваз 2101-07-21-23 НАЧАЛО (4шт)</t>
  </si>
  <si>
    <t>2101-3502090</t>
  </si>
  <si>
    <t>Колодка тормозная передняя для а м ВАЗ 2121 (к-кт 4шт) FINWHALE</t>
  </si>
  <si>
    <t>V221</t>
  </si>
  <si>
    <t>Фильтр топливный ВАЗ-2108-10 с о (на гайке) металл ZOLLEX</t>
  </si>
  <si>
    <t>Z004</t>
  </si>
  <si>
    <t>Расходная накладная к заказ-наряду №  100515 от 05.06.2026</t>
  </si>
  <si>
    <t>Три тысячи девятьсот  рублей 00 копеек.</t>
  </si>
  <si>
    <t>Регулировка ручного тормоза</t>
  </si>
  <si>
    <t>Диагностика торм системы</t>
  </si>
  <si>
    <t>Выполненные работы по заказ-наряду №  100515 от 05.06.2026</t>
  </si>
  <si>
    <t xml:space="preserve">Автомобиль : Лада 213100 г/н О 0708/15 </t>
  </si>
  <si>
    <t>Заказ-наряд № 100515 от 05.06.2026</t>
  </si>
  <si>
    <t>Всего по заказ-наряду: Четыре тысячи девятьсот пятьдесят рублей 00 копеек, в т.ч. НДС 22%.</t>
  </si>
  <si>
    <t>Две тысячи восемьсот пятьдесят рублей 00 копеек</t>
  </si>
  <si>
    <t>Расходная накладная к заказ-наряду №  100529 от 08.06.2026</t>
  </si>
  <si>
    <t>Две тысячи сто  рублей 00 копеек.</t>
  </si>
  <si>
    <t>Ремонт дверного замка</t>
  </si>
  <si>
    <t>Выполненные работы по заказ-наряду №  100529 от 08.06.2026</t>
  </si>
  <si>
    <t>Автомобиль : Лада Веста г/н Е154РА 15</t>
  </si>
  <si>
    <t>Заказ-наряд № 100529 от 08.06.2026</t>
  </si>
  <si>
    <t>Всего по заказ-наряду: Семьдесят семь тысяч восемьсот  рублей 00 копеек, в т.ч. НДС 22%.</t>
  </si>
  <si>
    <t>Тридцать две тысячи шестьсот рублей 00 копеек</t>
  </si>
  <si>
    <t>26</t>
  </si>
  <si>
    <t>Вкладыши 2108 (коренные) 0,00 "ЗМЗ-Дайдо"</t>
  </si>
  <si>
    <t>2108-1000102-01</t>
  </si>
  <si>
    <t>25</t>
  </si>
  <si>
    <t>Кольца поршневые SM 82,50 Priora TITANIUM</t>
  </si>
  <si>
    <t>732805-50-4</t>
  </si>
  <si>
    <t>24</t>
  </si>
  <si>
    <t>23</t>
  </si>
  <si>
    <t>22</t>
  </si>
  <si>
    <t>Подшипник опоры стойки KRAMME для а м LADA Vesta</t>
  </si>
  <si>
    <t>Прокладки ресивера и дроссельной заслонки ВАЗ 2170, 2190, Vesta двигатель 21127 ROSTECO</t>
  </si>
  <si>
    <t>Прокладка ГБЦ метал. для а м ВАЗ 2170 1.6 (d 82 мм.) TRIALLI</t>
  </si>
  <si>
    <t>GZ1015002</t>
  </si>
  <si>
    <t>Прокладка коллектора 2110-2170 дв1,6 16 кл, 1118 дв1,4 16 кл выпускн. металл Gallant</t>
  </si>
  <si>
    <t>EK.2.2</t>
  </si>
  <si>
    <t>Набор прокладок на двигатель ВАЗ 2108 малый с герметиком "БЦМ"</t>
  </si>
  <si>
    <t>2108-012 М</t>
  </si>
  <si>
    <t>Прокладка приемной трубы ВАЗ 21114, 1118, 2170, 2190 металл с перфорацией (треугольник)</t>
  </si>
  <si>
    <t>EK.2.7</t>
  </si>
  <si>
    <t>Шланг сапуна вытяжной ВАЗ-2112 вентиляции картера БРТ низ.</t>
  </si>
  <si>
    <t>2112-1014056Р</t>
  </si>
  <si>
    <t>Фланцевый герметик в шприце LOCTITE FR518 50 Federal Reserve</t>
  </si>
  <si>
    <t>FR518</t>
  </si>
  <si>
    <t>Комплект ГРМ Приора, Лада Ларгус, Веста, Х Рей, GATES K015631XS (дв. ВАЗ, 16 клапанов)</t>
  </si>
  <si>
    <t>Вкладыши ВАЗ-11194,21116-21127 Приора шатунные d+0.00 ДАЙДО МЕТАЛЛ РУСЬ</t>
  </si>
  <si>
    <t>Форсунки масляные на ВАЗ 2112-2170, (к-т 4 шт)</t>
  </si>
  <si>
    <t>2112-1004081</t>
  </si>
  <si>
    <t>Кольцо ВАЗ-2108 маслоприемника уплотнительное БРТ</t>
  </si>
  <si>
    <t>21081010075Р</t>
  </si>
  <si>
    <t>Опора ресивера ВАЗ 2112 16 кл.</t>
  </si>
  <si>
    <t>Герметик-прокладка силиконовый АВТОСИЛ черный</t>
  </si>
  <si>
    <t>11226</t>
  </si>
  <si>
    <t>Сальник коленвала дв.406 задний (80х100х10)  (Rubena)</t>
  </si>
  <si>
    <t>2108-1005160-01</t>
  </si>
  <si>
    <t>813365310</t>
  </si>
  <si>
    <t>Колпачок маслосъемный ВАЗ 2110-12 (16V) Federal Reserve кт 16 шт.</t>
  </si>
  <si>
    <t>2112100702603</t>
  </si>
  <si>
    <t>Поршень ВАЗ 21126 Priora (82.5 A, 1.6L 16V) с пальцем Federal Reserve (кт 4 шт)</t>
  </si>
  <si>
    <t>21127.100401557.WPR01</t>
  </si>
  <si>
    <t>Расходная накладная к заказ-наряду №  100517 от 05.06.2026</t>
  </si>
  <si>
    <t>Сорок пять тысяч двести  рублей 00 копеек.</t>
  </si>
  <si>
    <t>Замена подшипника опоры амортизатора</t>
  </si>
  <si>
    <t>Ремонт ГБЦ</t>
  </si>
  <si>
    <t>Расточка блока цилиндров</t>
  </si>
  <si>
    <t>Мойка ДВС в разобранном виде</t>
  </si>
  <si>
    <t>Ремонт ДВС</t>
  </si>
  <si>
    <t>Выполненные работы по заказ-наряду №  100517 от 05.06.2026</t>
  </si>
  <si>
    <t xml:space="preserve">Автомобиль : Лада Веста г/н Е 833 ОЕ/15 </t>
  </si>
  <si>
    <t>Заказ-наряд № 100517 от 05.06.2026</t>
  </si>
  <si>
    <t>Всего по заказ-наряду: Семнадцать тысяч  рублей 00 копеек, в т.ч. НДС 22%.</t>
  </si>
  <si>
    <t>Двенадцать тысяч  рублей 00 копеек</t>
  </si>
  <si>
    <t>Фильтр салона УАЗ Патриот с 11.2016г.в. угольный (MetalPart)</t>
  </si>
  <si>
    <t xml:space="preserve">Фильтр воздушный BM для UAZ Patriot </t>
  </si>
  <si>
    <t>FA 2201</t>
  </si>
  <si>
    <t>Фильтр топливный Gallant ВАЗ 2123, 1118 штуцер</t>
  </si>
  <si>
    <t>GLF11</t>
  </si>
  <si>
    <t>1,2</t>
  </si>
  <si>
    <t>3705305</t>
  </si>
  <si>
    <t>Фильтр масляный  Газель 406 дв Hola</t>
  </si>
  <si>
    <t>SL102</t>
  </si>
  <si>
    <t>Вал карданный УАЗ-3163 (14-) рулевой в сборе под ГУР YB (ОАО УАЗ)</t>
  </si>
  <si>
    <t>316310-3401400-00</t>
  </si>
  <si>
    <t>Расходная накладная к заказ-наряду №  100535 от 09.06.2026</t>
  </si>
  <si>
    <t>Пять тысяч  рублей 00 копеек.</t>
  </si>
  <si>
    <t>Ремонт и регулировка ручного тормоза</t>
  </si>
  <si>
    <t>Замена рулевого кардана</t>
  </si>
  <si>
    <t>Диагностика ходовой</t>
  </si>
  <si>
    <t>Выполненные работы по заказ-наряду №  100535 от 09.06.2026</t>
  </si>
  <si>
    <t xml:space="preserve">Автомобиль : УАЗ Патриот г/н Е 312 РА/15 </t>
  </si>
  <si>
    <t>Заказ-наряд № 100535 от 09.06.2026</t>
  </si>
  <si>
    <t>Всего по заказ-наряду: Тридцать одна тысяча шестьсот пятьдесят рублей 00 копеек, в т.ч. НДС 22%.</t>
  </si>
  <si>
    <t>Семнадцать тысяч семьсот пятьдесят рублей 00 копеек</t>
  </si>
  <si>
    <t>Блок переключателей стеклоподъемников передних и зеркал Vesta LADA</t>
  </si>
  <si>
    <t>8450006932</t>
  </si>
  <si>
    <t>Расходная накладная к заказ-наряду №  100525 от 08.06.2026</t>
  </si>
  <si>
    <t>Тринадцать тысяч девятьсот  рублей 00 копеек.</t>
  </si>
  <si>
    <t>Выполненные работы по заказ-наряду №  100525 от 08.06.2026</t>
  </si>
  <si>
    <t>Заказ-наряд № 100525 от 08.06.2026</t>
  </si>
  <si>
    <t>Всего по заказ-наряду: Четырнадцать тысяч рублей 00 копеек, в т.ч. НДС 22%.</t>
  </si>
  <si>
    <t>Четыре тысячи девятьсот  рублей 00 копеек</t>
  </si>
  <si>
    <t xml:space="preserve">Втулка задней балки Веста БМРТ - Ломов </t>
  </si>
  <si>
    <t>18476</t>
  </si>
  <si>
    <t>Ремень генератора GATES 6PK1018</t>
  </si>
  <si>
    <t>6PK1018</t>
  </si>
  <si>
    <t>Ручка стеклоподъемника ВАЗ-2108 … -2112,  Priora, Kalina, Granta и 4x4 с фиксатором</t>
  </si>
  <si>
    <t xml:space="preserve"> 210806104064</t>
  </si>
  <si>
    <t>Датчик детонации 18.3855 ВАЗ, ГАЗ (дв.405-406) Калуга</t>
  </si>
  <si>
    <t>18.3855</t>
  </si>
  <si>
    <t>Расходная накладная к заказ-наряду №  100526 от 08.06.2026</t>
  </si>
  <si>
    <t>Девять тысяч сто  рублей 00 копеек.</t>
  </si>
  <si>
    <t>Ремонт и балансировка колеса</t>
  </si>
  <si>
    <t>Замена втулок задней балки</t>
  </si>
  <si>
    <t>Замена ручки стеклоподъемника</t>
  </si>
  <si>
    <t>Замена датчика детонации</t>
  </si>
  <si>
    <t>Выполненные работы по заказ-наряду №  100526 от 08.06.2026</t>
  </si>
  <si>
    <t xml:space="preserve">Автомобиль : Лада Веста г/н В 211 ОХ/15 </t>
  </si>
  <si>
    <t>Заказ-наряд № 100526 от 08.06.2026</t>
  </si>
  <si>
    <t>Общество с ограниченной ответственностью "КОНЦЕПТ"</t>
  </si>
  <si>
    <t>364024, Чеченская Республика г. Грозный, ул. Назарбаева, д. 92, оф. 6-05</t>
  </si>
  <si>
    <t xml:space="preserve"> Заказ-наряд №                                      </t>
  </si>
  <si>
    <t>001-20</t>
  </si>
  <si>
    <t>от</t>
  </si>
  <si>
    <t>Дата начала работ</t>
  </si>
  <si>
    <t xml:space="preserve">Основание Государственный контракт № 03101000048260000200001                                                           </t>
  </si>
  <si>
    <t>Дата окончания</t>
  </si>
  <si>
    <t xml:space="preserve">от 01.06.2026г. ИГК 2627188100202002632098795                                                                               </t>
  </si>
  <si>
    <t xml:space="preserve"> Заказчик:  ЦОУ ВОГОиП МВД России ГУ МВД России по СКФО                                                                               </t>
  </si>
  <si>
    <t>VIN №</t>
  </si>
  <si>
    <t>Кузов №</t>
  </si>
  <si>
    <t>Адрес: 363751, Северная Осетия-Алания Респ, ул.Усанова стр.30.</t>
  </si>
  <si>
    <t>Гос.№</t>
  </si>
  <si>
    <t>Год выпуска</t>
  </si>
  <si>
    <t>ИНН2632098795</t>
  </si>
  <si>
    <t>КПП151043001</t>
  </si>
  <si>
    <t>Марка, модель ТС</t>
  </si>
  <si>
    <t>Телефон 8-867-36-90-11-8</t>
  </si>
  <si>
    <t>Особые данные</t>
  </si>
  <si>
    <t>гараж.№</t>
  </si>
  <si>
    <t>Выполненные работы по  Заказ-наряду №</t>
  </si>
  <si>
    <t>Код операции</t>
  </si>
  <si>
    <t>Выполненные работы</t>
  </si>
  <si>
    <t>Кол-во н/ч</t>
  </si>
  <si>
    <t>Вид ремонта</t>
  </si>
  <si>
    <t>Кол-во оп.</t>
  </si>
  <si>
    <t>Сумма</t>
  </si>
  <si>
    <t>0000123</t>
  </si>
  <si>
    <t>Коробка передач - проверка работы</t>
  </si>
  <si>
    <t>Обычный</t>
  </si>
  <si>
    <t>0000210</t>
  </si>
  <si>
    <t>Коробка передач - замена масла</t>
  </si>
  <si>
    <t>0,25</t>
  </si>
  <si>
    <t>Коробка передач, раздаточная коробка и стояночный тормоз в сборе - снятие и установка</t>
  </si>
  <si>
    <t>Рычаг переключения передач - снятие и установка</t>
  </si>
  <si>
    <t>Коробка передач - снятие и установка (при снятом агрегате)</t>
  </si>
  <si>
    <t>Коробка передач - ремонт (без разборки вторичного вала)</t>
  </si>
  <si>
    <t>Картер КП передний - снятие и установка</t>
  </si>
  <si>
    <t>Вал вторичный - снятие и установка (при снятом переднем картере КП)</t>
  </si>
  <si>
    <t>Брызговик КП и РК - снятие и установка.</t>
  </si>
  <si>
    <t>ИТОГО работ на сумму</t>
  </si>
  <si>
    <t>Расходная Накладная к  Заказ-наряду  №</t>
  </si>
  <si>
    <t>Артикул</t>
  </si>
  <si>
    <t xml:space="preserve">Кол-во </t>
  </si>
  <si>
    <t>Ед.изм</t>
  </si>
  <si>
    <t>Масло трансмиссионное 75W90 1л, ТМ-4  (GL-4) (п/с) ЛУКОЙЛ</t>
  </si>
  <si>
    <t>Масло трансмиссионное 75W90 4л, ТМ-4 GL-4 (п/с) ЛУКОЙЛ</t>
  </si>
  <si>
    <t>ИТОГО материалов на сумму</t>
  </si>
  <si>
    <t>ИТОГО:</t>
  </si>
  <si>
    <t>Всего по  НАРЯД-ЗАКАЗУ №</t>
  </si>
  <si>
    <t>Пятьдесят тысяч шестьсот четыре рубля 71 копейка, в т.ч. НДС 5%.</t>
  </si>
  <si>
    <t>На оказанные услуги  представляется  гарантия сроком 120 (сто двадцать) суток или 10 тысяч километров пробега. Начало исчисления гарантии с момента подписания актов сдачи-приемки оказанных услуг.</t>
  </si>
  <si>
    <t xml:space="preserve">Заказчик: ЦОУ ВОГОиП МВД России     ГУ МВД России по СКФО                                                   </t>
  </si>
  <si>
    <t>Исполнитель: ООО "КОНЦЕПТ"</t>
  </si>
  <si>
    <t xml:space="preserve">Начальник ЦОУ ВОГОиП МВД России по  ГУ МВД России по СКФО </t>
  </si>
  <si>
    <t>Генеральный директор</t>
  </si>
  <si>
    <t xml:space="preserve">              ___________</t>
  </si>
  <si>
    <t>Дидиев А.А.</t>
  </si>
  <si>
    <t xml:space="preserve">     __________Довлетукаев М.Р.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</si>
</sst>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164" formatCode="dd/mm/yy;@"/>
    <numFmt numFmtId="165" formatCode="0_);\(0\)"/>
    <numFmt numFmtId="166" formatCode="0.000_);\(0.000\)"/>
    <numFmt numFmtId="167" formatCode="0.00_);\(0.00\)"/>
    <numFmt numFmtId="168" formatCode="0.000"/>
    <numFmt numFmtId="169" formatCode="0.0"/>
    <numFmt numFmtId="170" formatCode="#,##0.00\ &quot;₽&quot;"/>
    <numFmt numFmtId="171" formatCode="0.00;[Red]\-0.00"/>
    <numFmt numFmtId="172" formatCode="0;[Red]\-0"/>
  </numFmts>
  <fonts count="7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204"/>
    </font>
    <font>
      <b/>
      <sz val="14"/>
      <color rgb="FFFF0000"/>
      <name val="Arial"/>
      <family val="2"/>
      <charset val="204"/>
    </font>
    <font>
      <b/>
      <sz val="14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b/>
      <i/>
      <sz val="18"/>
      <color theme="1"/>
      <name val="Arial"/>
      <family val="2"/>
      <charset val="204"/>
    </font>
    <font>
      <b/>
      <i/>
      <sz val="18"/>
      <color rgb="FFFF000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6"/>
      <name val="Arial"/>
      <family val="2"/>
      <charset val="204"/>
    </font>
    <font>
      <b/>
      <i/>
      <u/>
      <sz val="20"/>
      <color rgb="FF002060"/>
      <name val="Arial"/>
      <family val="2"/>
      <charset val="204"/>
    </font>
    <font>
      <b/>
      <i/>
      <sz val="16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Arial"/>
      <family val="2"/>
      <charset val="204"/>
    </font>
    <font>
      <sz val="9"/>
      <name val="Arial"/>
      <family val="2"/>
      <charset val="204"/>
    </font>
    <font>
      <b/>
      <sz val="6"/>
      <name val="Arial"/>
      <family val="2"/>
      <charset val="204"/>
    </font>
    <font>
      <sz val="10"/>
      <name val="Arial"/>
      <family val="2"/>
      <charset val="204"/>
    </font>
    <font>
      <u/>
      <sz val="6"/>
      <name val="Arial"/>
      <family val="2"/>
      <charset val="204"/>
    </font>
    <font>
      <vertAlign val="superscript"/>
      <sz val="6"/>
      <name val="Arial"/>
      <family val="2"/>
      <charset val="204"/>
    </font>
    <font>
      <sz val="18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i/>
      <sz val="18"/>
      <color rgb="FF000000"/>
      <name val="Calibri"/>
      <family val="2"/>
      <charset val="204"/>
    </font>
    <font>
      <b/>
      <i/>
      <u/>
      <sz val="22"/>
      <color rgb="FFFF0000"/>
      <name val="Calibri"/>
      <family val="2"/>
      <charset val="204"/>
    </font>
    <font>
      <b/>
      <i/>
      <u/>
      <sz val="20"/>
      <color theme="1"/>
      <name val="Arial"/>
      <family val="2"/>
      <charset val="204"/>
    </font>
    <font>
      <b/>
      <i/>
      <u/>
      <sz val="22"/>
      <color theme="1"/>
      <name val="Arial"/>
      <family val="2"/>
      <charset val="204"/>
    </font>
    <font>
      <b/>
      <i/>
      <u/>
      <sz val="24"/>
      <color rgb="FF7030A0"/>
      <name val="Calibri"/>
      <family val="2"/>
      <charset val="204"/>
    </font>
    <font>
      <b/>
      <i/>
      <u/>
      <sz val="24"/>
      <color theme="9" tint="-0.499984740745262"/>
      <name val="Calibri"/>
      <family val="2"/>
      <charset val="204"/>
    </font>
    <font>
      <sz val="22"/>
      <color rgb="FFFF0000"/>
      <name val="Calibri"/>
      <family val="2"/>
    </font>
    <font>
      <b/>
      <sz val="22"/>
      <color theme="1"/>
      <name val="Arial"/>
      <family val="2"/>
      <charset val="204"/>
    </font>
    <font>
      <sz val="22"/>
      <color theme="1"/>
      <name val="Arial"/>
      <family val="2"/>
      <charset val="204"/>
    </font>
    <font>
      <b/>
      <sz val="22"/>
      <color rgb="FF000000"/>
      <name val="Calibri"/>
      <family val="2"/>
      <charset val="204"/>
    </font>
    <font>
      <b/>
      <i/>
      <sz val="22"/>
      <color rgb="FF000000"/>
      <name val="Calibri"/>
      <family val="2"/>
      <charset val="204"/>
    </font>
    <font>
      <sz val="22"/>
      <color rgb="FFFF0000"/>
      <name val="Calibri"/>
      <family val="2"/>
      <charset val="204"/>
    </font>
    <font>
      <sz val="10"/>
      <name val="Arial"/>
      <family val="2"/>
      <charset val="204"/>
    </font>
    <font>
      <sz val="22"/>
      <color rgb="FFC00000"/>
      <name val="Calibri"/>
      <family val="2"/>
    </font>
    <font>
      <sz val="22"/>
      <color rgb="FFC00000"/>
      <name val="Calibri"/>
      <family val="2"/>
      <charset val="204"/>
    </font>
    <font>
      <b/>
      <i/>
      <u/>
      <sz val="24"/>
      <color rgb="FF002060"/>
      <name val="Calibri"/>
      <family val="2"/>
      <charset val="204"/>
    </font>
    <font>
      <sz val="14"/>
      <name val="Arial"/>
      <family val="2"/>
      <charset val="204"/>
    </font>
    <font>
      <b/>
      <i/>
      <u/>
      <sz val="14"/>
      <color rgb="FF000000"/>
      <name val="Calibri"/>
      <family val="2"/>
      <charset val="204"/>
    </font>
    <font>
      <b/>
      <i/>
      <sz val="20"/>
      <color rgb="FFFFC000"/>
      <name val="Arial"/>
      <family val="2"/>
      <charset val="204"/>
    </font>
    <font>
      <sz val="28"/>
      <color theme="1"/>
      <name val="Arial"/>
      <family val="2"/>
      <charset val="204"/>
    </font>
    <font>
      <b/>
      <i/>
      <u/>
      <sz val="28"/>
      <color rgb="FF002060"/>
      <name val="Arial"/>
      <family val="2"/>
      <charset val="204"/>
    </font>
    <font>
      <b/>
      <i/>
      <sz val="28"/>
      <color rgb="FFFFC000"/>
      <name val="Arial"/>
      <family val="2"/>
      <charset val="204"/>
    </font>
    <font>
      <b/>
      <i/>
      <u/>
      <sz val="28"/>
      <color rgb="FF7030A0"/>
      <name val="Arial"/>
      <family val="2"/>
      <charset val="204"/>
    </font>
    <font>
      <b/>
      <sz val="16"/>
      <color theme="1"/>
      <name val="Arial"/>
      <family val="2"/>
      <charset val="204"/>
    </font>
    <font>
      <b/>
      <i/>
      <sz val="16"/>
      <color rgb="FFFF0000"/>
      <name val="Arial"/>
      <family val="2"/>
      <charset val="204"/>
    </font>
    <font>
      <b/>
      <i/>
      <u/>
      <sz val="16"/>
      <color theme="3" tint="-0.499984740745262"/>
      <name val="Arial"/>
      <family val="2"/>
      <charset val="204"/>
    </font>
    <font>
      <b/>
      <i/>
      <u val="singleAccounting"/>
      <sz val="16"/>
      <color theme="1"/>
      <name val="Arial"/>
      <family val="2"/>
      <charset val="204"/>
    </font>
    <font>
      <vertAlign val="subscript"/>
      <sz val="6"/>
      <name val="Arial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.5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E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rgb="FFFDFDFF"/>
      </patternFill>
    </fill>
    <fill>
      <patternFill patternType="solid">
        <fgColor rgb="FF92D050"/>
        <bgColor rgb="FFE2EFDA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A9D08E"/>
      </left>
      <right/>
      <top style="thin">
        <color rgb="FFA9D08E"/>
      </top>
      <bottom/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3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11" fillId="0" borderId="0"/>
    <xf numFmtId="0" fontId="8" fillId="0" borderId="0"/>
    <xf numFmtId="0" fontId="8" fillId="0" borderId="0"/>
    <xf numFmtId="0" fontId="12" fillId="0" borderId="0"/>
    <xf numFmtId="0" fontId="14" fillId="0" borderId="0"/>
    <xf numFmtId="0" fontId="8" fillId="0" borderId="0"/>
    <xf numFmtId="0" fontId="1" fillId="0" borderId="0"/>
    <xf numFmtId="0" fontId="15" fillId="0" borderId="0"/>
    <xf numFmtId="0" fontId="15" fillId="0" borderId="0"/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31" fillId="0" borderId="0"/>
    <xf numFmtId="0" fontId="31" fillId="0" borderId="0"/>
    <xf numFmtId="0" fontId="48" fillId="0" borderId="0"/>
    <xf numFmtId="0" fontId="69" fillId="0" borderId="0"/>
  </cellStyleXfs>
  <cellXfs count="5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2" fillId="3" borderId="8" xfId="0" applyNumberFormat="1" applyFont="1" applyFill="1" applyBorder="1"/>
    <xf numFmtId="2" fontId="2" fillId="3" borderId="9" xfId="0" applyNumberFormat="1" applyFont="1" applyFill="1" applyBorder="1"/>
    <xf numFmtId="2" fontId="2" fillId="4" borderId="8" xfId="0" applyNumberFormat="1" applyFont="1" applyFill="1" applyBorder="1"/>
    <xf numFmtId="9" fontId="2" fillId="4" borderId="10" xfId="2" applyFont="1" applyFill="1" applyBorder="1"/>
    <xf numFmtId="2" fontId="4" fillId="5" borderId="8" xfId="0" applyNumberFormat="1" applyFont="1" applyFill="1" applyBorder="1"/>
    <xf numFmtId="9" fontId="5" fillId="5" borderId="10" xfId="2" applyFont="1" applyFill="1" applyBorder="1"/>
    <xf numFmtId="0" fontId="3" fillId="0" borderId="0" xfId="0" applyFont="1"/>
    <xf numFmtId="164" fontId="2" fillId="0" borderId="0" xfId="0" applyNumberFormat="1" applyFont="1" applyAlignment="1">
      <alignment horizontal="center"/>
    </xf>
    <xf numFmtId="2" fontId="2" fillId="0" borderId="0" xfId="0" applyNumberFormat="1" applyFont="1"/>
    <xf numFmtId="44" fontId="4" fillId="0" borderId="0" xfId="1" applyFont="1" applyFill="1"/>
    <xf numFmtId="1" fontId="2" fillId="0" borderId="0" xfId="0" applyNumberFormat="1" applyFont="1"/>
    <xf numFmtId="0" fontId="4" fillId="0" borderId="0" xfId="0" applyFont="1"/>
    <xf numFmtId="1" fontId="5" fillId="0" borderId="0" xfId="0" applyNumberFormat="1" applyFont="1"/>
    <xf numFmtId="2" fontId="2" fillId="3" borderId="0" xfId="0" applyNumberFormat="1" applyFont="1" applyFill="1"/>
    <xf numFmtId="44" fontId="4" fillId="3" borderId="0" xfId="1" applyFont="1" applyFill="1"/>
    <xf numFmtId="0" fontId="2" fillId="4" borderId="0" xfId="0" applyFont="1" applyFill="1"/>
    <xf numFmtId="1" fontId="2" fillId="4" borderId="0" xfId="0" applyNumberFormat="1" applyFont="1" applyFill="1"/>
    <xf numFmtId="0" fontId="4" fillId="5" borderId="0" xfId="0" applyFont="1" applyFill="1"/>
    <xf numFmtId="1" fontId="5" fillId="5" borderId="0" xfId="0" applyNumberFormat="1" applyFont="1" applyFill="1"/>
    <xf numFmtId="0" fontId="0" fillId="0" borderId="0" xfId="0" applyAlignment="1">
      <alignment horizontal="center" vertical="center"/>
    </xf>
    <xf numFmtId="0" fontId="13" fillId="0" borderId="14" xfId="5" applyFont="1" applyBorder="1"/>
    <xf numFmtId="14" fontId="13" fillId="0" borderId="14" xfId="5" applyNumberFormat="1" applyFont="1" applyBorder="1"/>
    <xf numFmtId="0" fontId="13" fillId="6" borderId="14" xfId="5" applyFont="1" applyFill="1" applyBorder="1"/>
    <xf numFmtId="14" fontId="13" fillId="6" borderId="14" xfId="5" applyNumberFormat="1" applyFont="1" applyFill="1" applyBorder="1"/>
    <xf numFmtId="0" fontId="13" fillId="6" borderId="14" xfId="5" applyFont="1" applyFill="1" applyBorder="1" applyAlignment="1">
      <alignment horizontal="right"/>
    </xf>
    <xf numFmtId="0" fontId="13" fillId="0" borderId="14" xfId="5" applyFont="1" applyBorder="1" applyAlignment="1">
      <alignment horizontal="right"/>
    </xf>
    <xf numFmtId="0" fontId="2" fillId="0" borderId="0" xfId="0" applyFont="1" applyAlignment="1">
      <alignment horizontal="left"/>
    </xf>
    <xf numFmtId="0" fontId="13" fillId="6" borderId="13" xfId="5" applyFont="1" applyFill="1" applyBorder="1" applyAlignment="1">
      <alignment horizontal="left"/>
    </xf>
    <xf numFmtId="0" fontId="13" fillId="0" borderId="13" xfId="5" applyFont="1" applyBorder="1" applyAlignment="1">
      <alignment horizontal="left"/>
    </xf>
    <xf numFmtId="0" fontId="16" fillId="6" borderId="13" xfId="5" applyFont="1" applyFill="1" applyBorder="1" applyAlignment="1">
      <alignment horizontal="left"/>
    </xf>
    <xf numFmtId="0" fontId="18" fillId="0" borderId="0" xfId="0" applyFont="1"/>
    <xf numFmtId="9" fontId="19" fillId="4" borderId="10" xfId="2" applyFont="1" applyFill="1" applyBorder="1"/>
    <xf numFmtId="9" fontId="20" fillId="5" borderId="10" xfId="2" applyFont="1" applyFill="1" applyBorder="1"/>
    <xf numFmtId="2" fontId="18" fillId="4" borderId="8" xfId="0" applyNumberFormat="1" applyFont="1" applyFill="1" applyBorder="1"/>
    <xf numFmtId="2" fontId="18" fillId="3" borderId="9" xfId="0" applyNumberFormat="1" applyFont="1" applyFill="1" applyBorder="1"/>
    <xf numFmtId="2" fontId="18" fillId="3" borderId="8" xfId="0" applyNumberFormat="1" applyFont="1" applyFill="1" applyBorder="1"/>
    <xf numFmtId="0" fontId="8" fillId="0" borderId="0" xfId="9"/>
    <xf numFmtId="0" fontId="8" fillId="0" borderId="7" xfId="9" applyBorder="1" applyAlignment="1">
      <alignment horizontal="left" vertical="top"/>
    </xf>
    <xf numFmtId="0" fontId="8" fillId="0" borderId="7" xfId="9" applyBorder="1" applyAlignment="1">
      <alignment horizontal="left" vertical="top" indent="2"/>
    </xf>
    <xf numFmtId="0" fontId="8" fillId="0" borderId="0" xfId="3"/>
    <xf numFmtId="1" fontId="6" fillId="2" borderId="0" xfId="0" applyNumberFormat="1" applyFont="1" applyFill="1"/>
    <xf numFmtId="1" fontId="7" fillId="2" borderId="0" xfId="0" applyNumberFormat="1" applyFont="1" applyFill="1"/>
    <xf numFmtId="1" fontId="6" fillId="2" borderId="11" xfId="0" applyNumberFormat="1" applyFont="1" applyFill="1" applyBorder="1"/>
    <xf numFmtId="1" fontId="6" fillId="2" borderId="5" xfId="0" applyNumberFormat="1" applyFont="1" applyFill="1" applyBorder="1"/>
    <xf numFmtId="1" fontId="7" fillId="2" borderId="12" xfId="0" applyNumberFormat="1" applyFont="1" applyFill="1" applyBorder="1"/>
    <xf numFmtId="1" fontId="17" fillId="2" borderId="11" xfId="0" applyNumberFormat="1" applyFont="1" applyFill="1" applyBorder="1"/>
    <xf numFmtId="1" fontId="17" fillId="2" borderId="5" xfId="0" applyNumberFormat="1" applyFont="1" applyFill="1" applyBorder="1"/>
    <xf numFmtId="1" fontId="21" fillId="2" borderId="12" xfId="0" applyNumberFormat="1" applyFont="1" applyFill="1" applyBorder="1"/>
    <xf numFmtId="1" fontId="13" fillId="0" borderId="14" xfId="5" applyNumberFormat="1" applyFont="1" applyBorder="1"/>
    <xf numFmtId="1" fontId="13" fillId="6" borderId="14" xfId="5" applyNumberFormat="1" applyFont="1" applyFill="1" applyBorder="1"/>
    <xf numFmtId="1" fontId="13" fillId="6" borderId="13" xfId="5" applyNumberFormat="1" applyFont="1" applyFill="1" applyBorder="1" applyAlignment="1">
      <alignment horizontal="left"/>
    </xf>
    <xf numFmtId="1" fontId="13" fillId="6" borderId="13" xfId="5" applyNumberFormat="1" applyFont="1" applyFill="1" applyBorder="1"/>
    <xf numFmtId="1" fontId="13" fillId="0" borderId="13" xfId="5" applyNumberFormat="1" applyFont="1" applyBorder="1" applyAlignment="1">
      <alignment horizontal="left"/>
    </xf>
    <xf numFmtId="1" fontId="13" fillId="0" borderId="13" xfId="5" applyNumberFormat="1" applyFont="1" applyBorder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" fontId="6" fillId="0" borderId="0" xfId="0" applyNumberFormat="1" applyFont="1"/>
    <xf numFmtId="1" fontId="7" fillId="0" borderId="0" xfId="0" applyNumberFormat="1" applyFont="1"/>
    <xf numFmtId="0" fontId="13" fillId="9" borderId="13" xfId="5" applyFont="1" applyFill="1" applyBorder="1" applyAlignment="1">
      <alignment horizontal="left"/>
    </xf>
    <xf numFmtId="0" fontId="2" fillId="0" borderId="13" xfId="5" applyFont="1" applyBorder="1" applyAlignment="1">
      <alignment horizontal="right" vertical="center"/>
    </xf>
    <xf numFmtId="0" fontId="13" fillId="6" borderId="19" xfId="5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0" fillId="1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8" fillId="0" borderId="7" xfId="3" applyBorder="1" applyAlignment="1">
      <alignment horizontal="left" vertical="top" indent="3"/>
    </xf>
    <xf numFmtId="0" fontId="8" fillId="0" borderId="7" xfId="3" applyBorder="1" applyAlignment="1">
      <alignment horizontal="left" wrapText="1"/>
    </xf>
    <xf numFmtId="0" fontId="8" fillId="0" borderId="7" xfId="3" applyBorder="1" applyAlignment="1">
      <alignment horizontal="left" vertical="top" indent="2"/>
    </xf>
    <xf numFmtId="0" fontId="8" fillId="0" borderId="7" xfId="3" applyBorder="1" applyAlignment="1">
      <alignment horizontal="left" vertical="top"/>
    </xf>
    <xf numFmtId="0" fontId="24" fillId="0" borderId="7" xfId="9" applyFont="1" applyBorder="1" applyAlignment="1">
      <alignment horizontal="center"/>
    </xf>
    <xf numFmtId="0" fontId="24" fillId="0" borderId="7" xfId="9" applyFont="1" applyBorder="1" applyAlignment="1">
      <alignment horizontal="left" indent="1"/>
    </xf>
    <xf numFmtId="1" fontId="24" fillId="0" borderId="7" xfId="9" applyNumberFormat="1" applyFont="1" applyBorder="1" applyAlignment="1">
      <alignment horizontal="center" vertical="top"/>
    </xf>
    <xf numFmtId="0" fontId="8" fillId="0" borderId="7" xfId="9" applyBorder="1" applyAlignment="1">
      <alignment horizontal="left" vertical="top" indent="1"/>
    </xf>
    <xf numFmtId="1" fontId="24" fillId="0" borderId="7" xfId="9" applyNumberFormat="1" applyFont="1" applyBorder="1" applyAlignment="1">
      <alignment horizontal="left" vertical="top" indent="2"/>
    </xf>
    <xf numFmtId="0" fontId="24" fillId="0" borderId="7" xfId="9" applyFont="1" applyBorder="1" applyAlignment="1">
      <alignment horizontal="left"/>
    </xf>
    <xf numFmtId="2" fontId="24" fillId="0" borderId="7" xfId="9" applyNumberFormat="1" applyFont="1" applyBorder="1" applyAlignment="1">
      <alignment horizontal="left" indent="2"/>
    </xf>
    <xf numFmtId="2" fontId="24" fillId="0" borderId="7" xfId="9" applyNumberFormat="1" applyFont="1" applyBorder="1" applyAlignment="1">
      <alignment horizontal="right"/>
    </xf>
    <xf numFmtId="0" fontId="24" fillId="0" borderId="7" xfId="9" applyFont="1" applyBorder="1" applyAlignment="1">
      <alignment horizontal="center" vertical="top"/>
    </xf>
    <xf numFmtId="0" fontId="24" fillId="0" borderId="7" xfId="9" applyFont="1" applyBorder="1" applyAlignment="1">
      <alignment horizontal="left" vertical="top" indent="2"/>
    </xf>
    <xf numFmtId="0" fontId="24" fillId="0" borderId="7" xfId="9" applyFont="1" applyBorder="1" applyAlignment="1">
      <alignment horizontal="right" vertical="top"/>
    </xf>
    <xf numFmtId="1" fontId="24" fillId="0" borderId="7" xfId="9" applyNumberFormat="1" applyFont="1" applyBorder="1" applyAlignment="1">
      <alignment horizontal="left" vertical="top" indent="1"/>
    </xf>
    <xf numFmtId="1" fontId="24" fillId="0" borderId="7" xfId="9" applyNumberFormat="1" applyFont="1" applyBorder="1" applyAlignment="1">
      <alignment horizontal="justify" vertical="top"/>
    </xf>
    <xf numFmtId="2" fontId="24" fillId="0" borderId="7" xfId="9" applyNumberFormat="1" applyFont="1" applyBorder="1" applyAlignment="1">
      <alignment horizontal="center" vertical="top"/>
    </xf>
    <xf numFmtId="2" fontId="24" fillId="0" borderId="7" xfId="9" applyNumberFormat="1" applyFont="1" applyBorder="1" applyAlignment="1">
      <alignment horizontal="right" vertical="top"/>
    </xf>
    <xf numFmtId="0" fontId="8" fillId="0" borderId="7" xfId="3" applyBorder="1" applyAlignment="1">
      <alignment horizontal="left" vertical="top" indent="1"/>
    </xf>
    <xf numFmtId="0" fontId="8" fillId="0" borderId="7" xfId="3" applyBorder="1" applyAlignment="1">
      <alignment horizontal="center"/>
    </xf>
    <xf numFmtId="0" fontId="8" fillId="0" borderId="7" xfId="3" applyBorder="1" applyAlignment="1">
      <alignment horizontal="left" indent="1"/>
    </xf>
    <xf numFmtId="0" fontId="8" fillId="0" borderId="7" xfId="3" applyBorder="1" applyAlignment="1">
      <alignment horizontal="right"/>
    </xf>
    <xf numFmtId="0" fontId="8" fillId="0" borderId="7" xfId="3" applyBorder="1" applyAlignment="1">
      <alignment horizontal="left" indent="2"/>
    </xf>
    <xf numFmtId="0" fontId="8" fillId="0" borderId="7" xfId="3" applyBorder="1" applyAlignment="1">
      <alignment horizontal="center" vertical="top"/>
    </xf>
    <xf numFmtId="0" fontId="8" fillId="0" borderId="7" xfId="3" applyBorder="1" applyAlignment="1">
      <alignment horizontal="right" vertical="top"/>
    </xf>
    <xf numFmtId="0" fontId="8" fillId="0" borderId="7" xfId="3" applyBorder="1" applyAlignment="1">
      <alignment horizontal="left" vertical="top" wrapText="1"/>
    </xf>
    <xf numFmtId="0" fontId="24" fillId="0" borderId="7" xfId="9" applyFont="1" applyBorder="1" applyAlignment="1">
      <alignment horizontal="left" vertical="top"/>
    </xf>
    <xf numFmtId="1" fontId="24" fillId="0" borderId="7" xfId="9" applyNumberFormat="1" applyFont="1" applyBorder="1" applyAlignment="1">
      <alignment horizontal="right" vertical="top"/>
    </xf>
    <xf numFmtId="0" fontId="24" fillId="0" borderId="7" xfId="9" applyFont="1" applyBorder="1" applyAlignment="1">
      <alignment horizontal="left" vertical="top" wrapText="1"/>
    </xf>
    <xf numFmtId="1" fontId="24" fillId="0" borderId="7" xfId="9" applyNumberFormat="1" applyFont="1" applyBorder="1" applyAlignment="1">
      <alignment horizontal="center"/>
    </xf>
    <xf numFmtId="1" fontId="24" fillId="0" borderId="7" xfId="9" applyNumberFormat="1" applyFont="1" applyBorder="1" applyAlignment="1">
      <alignment horizontal="left" indent="1"/>
    </xf>
    <xf numFmtId="2" fontId="24" fillId="0" borderId="7" xfId="9" applyNumberFormat="1" applyFont="1" applyBorder="1" applyAlignment="1">
      <alignment horizontal="left" vertical="top"/>
    </xf>
    <xf numFmtId="2" fontId="24" fillId="0" borderId="7" xfId="9" applyNumberFormat="1" applyFont="1" applyBorder="1" applyAlignment="1">
      <alignment horizontal="justify" vertical="top"/>
    </xf>
    <xf numFmtId="0" fontId="24" fillId="0" borderId="7" xfId="9" applyFont="1" applyBorder="1" applyAlignment="1">
      <alignment horizontal="left" vertical="top" indent="1"/>
    </xf>
    <xf numFmtId="1" fontId="24" fillId="0" borderId="7" xfId="9" applyNumberFormat="1" applyFont="1" applyBorder="1" applyAlignment="1">
      <alignment horizontal="left" vertical="top"/>
    </xf>
    <xf numFmtId="1" fontId="24" fillId="0" borderId="7" xfId="9" applyNumberFormat="1" applyFont="1" applyBorder="1" applyAlignment="1">
      <alignment horizontal="left" vertical="top" indent="3"/>
    </xf>
    <xf numFmtId="2" fontId="24" fillId="0" borderId="7" xfId="9" applyNumberFormat="1" applyFont="1" applyBorder="1" applyAlignment="1">
      <alignment horizontal="left" vertical="top" indent="2"/>
    </xf>
    <xf numFmtId="2" fontId="24" fillId="0" borderId="7" xfId="9" applyNumberFormat="1" applyFont="1" applyBorder="1" applyAlignment="1">
      <alignment horizontal="justify"/>
    </xf>
    <xf numFmtId="0" fontId="24" fillId="0" borderId="7" xfId="9" applyFont="1" applyBorder="1" applyAlignment="1">
      <alignment horizontal="left" wrapText="1"/>
    </xf>
    <xf numFmtId="0" fontId="8" fillId="0" borderId="1" xfId="9" applyBorder="1" applyAlignment="1">
      <alignment horizontal="left" vertical="top"/>
    </xf>
    <xf numFmtId="0" fontId="23" fillId="0" borderId="7" xfId="9" applyFont="1" applyBorder="1" applyAlignment="1">
      <alignment horizontal="center"/>
    </xf>
    <xf numFmtId="2" fontId="24" fillId="0" borderId="7" xfId="9" applyNumberFormat="1" applyFont="1" applyBorder="1" applyAlignment="1">
      <alignment horizontal="left" vertical="top" indent="1"/>
    </xf>
    <xf numFmtId="168" fontId="24" fillId="0" borderId="7" xfId="9" applyNumberFormat="1" applyFont="1" applyBorder="1" applyAlignment="1">
      <alignment horizontal="left" vertical="top" indent="2"/>
    </xf>
    <xf numFmtId="168" fontId="24" fillId="0" borderId="7" xfId="9" applyNumberFormat="1" applyFont="1" applyBorder="1" applyAlignment="1">
      <alignment horizontal="left" indent="2"/>
    </xf>
    <xf numFmtId="1" fontId="24" fillId="0" borderId="7" xfId="9" applyNumberFormat="1" applyFont="1" applyBorder="1" applyAlignment="1">
      <alignment horizontal="left" indent="2"/>
    </xf>
    <xf numFmtId="1" fontId="24" fillId="0" borderId="7" xfId="9" applyNumberFormat="1" applyFont="1" applyBorder="1" applyAlignment="1">
      <alignment horizontal="left" indent="3"/>
    </xf>
    <xf numFmtId="1" fontId="24" fillId="0" borderId="7" xfId="9" applyNumberFormat="1" applyFont="1" applyBorder="1" applyAlignment="1">
      <alignment horizontal="right"/>
    </xf>
    <xf numFmtId="167" fontId="24" fillId="0" borderId="7" xfId="9" applyNumberFormat="1" applyFont="1" applyBorder="1" applyAlignment="1">
      <alignment horizontal="right" vertical="top"/>
    </xf>
    <xf numFmtId="0" fontId="23" fillId="0" borderId="7" xfId="9" applyFont="1" applyBorder="1" applyAlignment="1">
      <alignment horizontal="left" vertical="top" wrapText="1"/>
    </xf>
    <xf numFmtId="0" fontId="8" fillId="0" borderId="1" xfId="9" applyBorder="1" applyAlignment="1">
      <alignment horizontal="left" vertical="top" indent="1"/>
    </xf>
    <xf numFmtId="37" fontId="24" fillId="0" borderId="7" xfId="9" applyNumberFormat="1" applyFont="1" applyBorder="1" applyAlignment="1">
      <alignment horizontal="left" vertical="top" indent="2"/>
    </xf>
    <xf numFmtId="167" fontId="24" fillId="0" borderId="7" xfId="9" applyNumberFormat="1" applyFont="1" applyBorder="1" applyAlignment="1">
      <alignment horizontal="left" vertical="top" indent="2"/>
    </xf>
    <xf numFmtId="1" fontId="24" fillId="0" borderId="7" xfId="9" applyNumberFormat="1" applyFont="1" applyBorder="1" applyAlignment="1">
      <alignment horizontal="left" vertical="top" indent="9"/>
    </xf>
    <xf numFmtId="0" fontId="8" fillId="0" borderId="7" xfId="3" applyBorder="1" applyAlignment="1">
      <alignment horizontal="left"/>
    </xf>
    <xf numFmtId="2" fontId="24" fillId="0" borderId="7" xfId="9" applyNumberFormat="1" applyFont="1" applyBorder="1" applyAlignment="1">
      <alignment horizontal="left" vertical="top" indent="3"/>
    </xf>
    <xf numFmtId="167" fontId="24" fillId="0" borderId="7" xfId="9" applyNumberFormat="1" applyFont="1" applyBorder="1" applyAlignment="1">
      <alignment horizontal="center" vertical="top"/>
    </xf>
    <xf numFmtId="0" fontId="24" fillId="0" borderId="7" xfId="9" applyFont="1" applyBorder="1" applyAlignment="1">
      <alignment horizontal="justify" vertical="top"/>
    </xf>
    <xf numFmtId="167" fontId="24" fillId="0" borderId="7" xfId="9" applyNumberFormat="1" applyFont="1" applyBorder="1" applyAlignment="1">
      <alignment horizontal="left" vertical="top" indent="1"/>
    </xf>
    <xf numFmtId="167" fontId="24" fillId="0" borderId="7" xfId="9" applyNumberFormat="1" applyFont="1" applyBorder="1" applyAlignment="1">
      <alignment horizontal="left" vertical="top"/>
    </xf>
    <xf numFmtId="165" fontId="24" fillId="0" borderId="7" xfId="9" applyNumberFormat="1" applyFont="1" applyBorder="1" applyAlignment="1">
      <alignment horizontal="left" vertical="top" indent="2"/>
    </xf>
    <xf numFmtId="166" fontId="24" fillId="0" borderId="7" xfId="9" applyNumberFormat="1" applyFont="1" applyBorder="1" applyAlignment="1">
      <alignment horizontal="left" vertical="top" indent="2"/>
    </xf>
    <xf numFmtId="14" fontId="2" fillId="0" borderId="0" xfId="0" applyNumberFormat="1" applyFont="1" applyAlignment="1">
      <alignment horizontal="left"/>
    </xf>
    <xf numFmtId="14" fontId="13" fillId="6" borderId="13" xfId="5" applyNumberFormat="1" applyFont="1" applyFill="1" applyBorder="1" applyAlignment="1">
      <alignment horizontal="left"/>
    </xf>
    <xf numFmtId="14" fontId="13" fillId="0" borderId="13" xfId="5" applyNumberFormat="1" applyFont="1" applyBorder="1" applyAlignment="1">
      <alignment horizontal="left"/>
    </xf>
    <xf numFmtId="14" fontId="2" fillId="0" borderId="13" xfId="5" applyNumberFormat="1" applyFont="1" applyBorder="1" applyAlignment="1">
      <alignment horizontal="right" vertical="center"/>
    </xf>
    <xf numFmtId="0" fontId="8" fillId="0" borderId="7" xfId="3" applyBorder="1" applyAlignment="1">
      <alignment horizontal="left" vertical="top" indent="7"/>
    </xf>
    <xf numFmtId="0" fontId="8" fillId="0" borderId="7" xfId="9" applyBorder="1" applyAlignment="1">
      <alignment horizontal="left" vertical="top" indent="9"/>
    </xf>
    <xf numFmtId="14" fontId="0" fillId="0" borderId="5" xfId="0" applyNumberFormat="1" applyBorder="1" applyAlignment="1">
      <alignment horizontal="center" vertical="center"/>
    </xf>
    <xf numFmtId="0" fontId="19" fillId="0" borderId="13" xfId="5" applyFont="1" applyBorder="1" applyAlignment="1">
      <alignment horizontal="right" vertical="center"/>
    </xf>
    <xf numFmtId="0" fontId="34" fillId="0" borderId="13" xfId="5" applyFont="1" applyBorder="1" applyAlignment="1">
      <alignment horizontal="left"/>
    </xf>
    <xf numFmtId="2" fontId="13" fillId="0" borderId="14" xfId="5" applyNumberFormat="1" applyFont="1" applyBorder="1"/>
    <xf numFmtId="2" fontId="13" fillId="6" borderId="13" xfId="5" applyNumberFormat="1" applyFont="1" applyFill="1" applyBorder="1" applyAlignment="1">
      <alignment horizontal="left"/>
    </xf>
    <xf numFmtId="2" fontId="13" fillId="0" borderId="13" xfId="5" applyNumberFormat="1" applyFont="1" applyBorder="1" applyAlignment="1">
      <alignment horizontal="left"/>
    </xf>
    <xf numFmtId="44" fontId="37" fillId="0" borderId="13" xfId="5" applyNumberFormat="1" applyFont="1" applyBorder="1" applyAlignment="1">
      <alignment horizontal="right"/>
    </xf>
    <xf numFmtId="44" fontId="35" fillId="0" borderId="13" xfId="5" applyNumberFormat="1" applyFont="1" applyBorder="1" applyAlignment="1">
      <alignment horizontal="left"/>
    </xf>
    <xf numFmtId="0" fontId="19" fillId="0" borderId="13" xfId="5" quotePrefix="1" applyFont="1" applyBorder="1" applyAlignment="1">
      <alignment horizontal="right" vertical="center"/>
    </xf>
    <xf numFmtId="2" fontId="23" fillId="0" borderId="7" xfId="9" applyNumberFormat="1" applyFont="1" applyBorder="1" applyAlignment="1">
      <alignment horizontal="right" vertical="top"/>
    </xf>
    <xf numFmtId="0" fontId="23" fillId="0" borderId="7" xfId="9" applyFont="1" applyBorder="1" applyAlignment="1">
      <alignment horizontal="left" vertical="top"/>
    </xf>
    <xf numFmtId="1" fontId="23" fillId="0" borderId="7" xfId="9" applyNumberFormat="1" applyFont="1" applyBorder="1" applyAlignment="1">
      <alignment horizontal="right" vertical="top"/>
    </xf>
    <xf numFmtId="2" fontId="23" fillId="0" borderId="7" xfId="9" applyNumberFormat="1" applyFont="1" applyBorder="1" applyAlignment="1">
      <alignment horizontal="right"/>
    </xf>
    <xf numFmtId="2" fontId="23" fillId="0" borderId="7" xfId="9" applyNumberFormat="1" applyFont="1" applyBorder="1" applyAlignment="1">
      <alignment horizontal="justify"/>
    </xf>
    <xf numFmtId="0" fontId="23" fillId="0" borderId="7" xfId="9" applyFont="1" applyBorder="1" applyAlignment="1">
      <alignment horizontal="left"/>
    </xf>
    <xf numFmtId="1" fontId="23" fillId="0" borderId="7" xfId="9" applyNumberFormat="1" applyFont="1" applyBorder="1" applyAlignment="1">
      <alignment horizontal="right"/>
    </xf>
    <xf numFmtId="1" fontId="23" fillId="0" borderId="7" xfId="9" applyNumberFormat="1" applyFont="1" applyBorder="1" applyAlignment="1">
      <alignment horizontal="justify"/>
    </xf>
    <xf numFmtId="167" fontId="24" fillId="0" borderId="7" xfId="9" applyNumberFormat="1" applyFont="1" applyBorder="1" applyAlignment="1">
      <alignment horizontal="justify" vertical="top"/>
    </xf>
    <xf numFmtId="165" fontId="24" fillId="0" borderId="7" xfId="9" applyNumberFormat="1" applyFont="1" applyBorder="1" applyAlignment="1">
      <alignment horizontal="left" vertical="top" indent="1"/>
    </xf>
    <xf numFmtId="1" fontId="24" fillId="0" borderId="7" xfId="9" applyNumberFormat="1" applyFont="1" applyBorder="1" applyAlignment="1">
      <alignment horizontal="justify"/>
    </xf>
    <xf numFmtId="1" fontId="24" fillId="0" borderId="2" xfId="9" applyNumberFormat="1" applyFont="1" applyBorder="1" applyAlignment="1">
      <alignment horizontal="center" vertical="top"/>
    </xf>
    <xf numFmtId="0" fontId="24" fillId="0" borderId="7" xfId="9" applyFont="1" applyBorder="1" applyAlignment="1">
      <alignment horizontal="justify" vertical="top" wrapText="1"/>
    </xf>
    <xf numFmtId="0" fontId="33" fillId="0" borderId="7" xfId="9" applyFont="1" applyBorder="1" applyAlignment="1">
      <alignment horizontal="center" vertical="top"/>
    </xf>
    <xf numFmtId="0" fontId="39" fillId="0" borderId="13" xfId="5" applyFont="1" applyBorder="1" applyAlignment="1">
      <alignment horizontal="left" vertical="center"/>
    </xf>
    <xf numFmtId="0" fontId="38" fillId="3" borderId="13" xfId="5" applyFont="1" applyFill="1" applyBorder="1" applyAlignment="1">
      <alignment horizontal="left" vertical="center"/>
    </xf>
    <xf numFmtId="0" fontId="18" fillId="3" borderId="19" xfId="5" applyFont="1" applyFill="1" applyBorder="1" applyAlignment="1">
      <alignment horizontal="right" vertical="center"/>
    </xf>
    <xf numFmtId="44" fontId="36" fillId="0" borderId="20" xfId="5" applyNumberFormat="1" applyFont="1" applyBorder="1" applyAlignment="1">
      <alignment horizontal="right"/>
    </xf>
    <xf numFmtId="0" fontId="19" fillId="0" borderId="5" xfId="5" applyFont="1" applyBorder="1" applyAlignment="1">
      <alignment horizontal="right" vertical="center"/>
    </xf>
    <xf numFmtId="0" fontId="19" fillId="0" borderId="5" xfId="5" quotePrefix="1" applyFont="1" applyBorder="1" applyAlignment="1">
      <alignment horizontal="right" vertical="center"/>
    </xf>
    <xf numFmtId="44" fontId="40" fillId="0" borderId="20" xfId="5" applyNumberFormat="1" applyFont="1" applyBorder="1" applyAlignment="1">
      <alignment horizontal="right"/>
    </xf>
    <xf numFmtId="44" fontId="41" fillId="0" borderId="20" xfId="5" applyNumberFormat="1" applyFont="1" applyBorder="1" applyAlignment="1">
      <alignment horizontal="right"/>
    </xf>
    <xf numFmtId="44" fontId="42" fillId="6" borderId="13" xfId="5" applyNumberFormat="1" applyFont="1" applyFill="1" applyBorder="1" applyAlignment="1">
      <alignment horizontal="left"/>
    </xf>
    <xf numFmtId="0" fontId="39" fillId="3" borderId="13" xfId="5" applyFont="1" applyFill="1" applyBorder="1" applyAlignment="1">
      <alignment horizontal="left" vertical="center"/>
    </xf>
    <xf numFmtId="0" fontId="43" fillId="3" borderId="19" xfId="5" applyFont="1" applyFill="1" applyBorder="1" applyAlignment="1">
      <alignment horizontal="right" vertical="center"/>
    </xf>
    <xf numFmtId="0" fontId="44" fillId="0" borderId="5" xfId="5" applyFont="1" applyBorder="1" applyAlignment="1">
      <alignment horizontal="right" vertical="center"/>
    </xf>
    <xf numFmtId="0" fontId="44" fillId="0" borderId="5" xfId="5" quotePrefix="1" applyFont="1" applyBorder="1" applyAlignment="1">
      <alignment horizontal="right" vertical="center"/>
    </xf>
    <xf numFmtId="44" fontId="45" fillId="0" borderId="13" xfId="5" applyNumberFormat="1" applyFont="1" applyBorder="1" applyAlignment="1">
      <alignment horizontal="left"/>
    </xf>
    <xf numFmtId="44" fontId="46" fillId="0" borderId="20" xfId="5" applyNumberFormat="1" applyFont="1" applyBorder="1" applyAlignment="1">
      <alignment horizontal="right"/>
    </xf>
    <xf numFmtId="44" fontId="46" fillId="0" borderId="13" xfId="5" applyNumberFormat="1" applyFont="1" applyBorder="1" applyAlignment="1">
      <alignment horizontal="right"/>
    </xf>
    <xf numFmtId="44" fontId="47" fillId="6" borderId="13" xfId="5" applyNumberFormat="1" applyFont="1" applyFill="1" applyBorder="1" applyAlignment="1">
      <alignment horizontal="left"/>
    </xf>
    <xf numFmtId="49" fontId="26" fillId="0" borderId="14" xfId="5" applyNumberFormat="1" applyFont="1" applyBorder="1" applyAlignment="1">
      <alignment horizontal="left" vertical="center"/>
    </xf>
    <xf numFmtId="0" fontId="26" fillId="0" borderId="14" xfId="5" applyFont="1" applyBorder="1" applyAlignment="1">
      <alignment horizontal="left" vertical="center"/>
    </xf>
    <xf numFmtId="0" fontId="38" fillId="3" borderId="20" xfId="5" applyFont="1" applyFill="1" applyBorder="1" applyAlignment="1">
      <alignment horizontal="left" vertical="center"/>
    </xf>
    <xf numFmtId="49" fontId="26" fillId="5" borderId="5" xfId="5" applyNumberFormat="1" applyFont="1" applyFill="1" applyBorder="1" applyAlignment="1">
      <alignment horizontal="left"/>
    </xf>
    <xf numFmtId="49" fontId="26" fillId="12" borderId="5" xfId="5" applyNumberFormat="1" applyFont="1" applyFill="1" applyBorder="1" applyAlignment="1">
      <alignment horizontal="left"/>
    </xf>
    <xf numFmtId="49" fontId="26" fillId="3" borderId="5" xfId="5" applyNumberFormat="1" applyFont="1" applyFill="1" applyBorder="1" applyAlignment="1">
      <alignment horizontal="left"/>
    </xf>
    <xf numFmtId="0" fontId="13" fillId="13" borderId="13" xfId="5" applyFont="1" applyFill="1" applyBorder="1" applyAlignment="1">
      <alignment horizontal="left"/>
    </xf>
    <xf numFmtId="0" fontId="19" fillId="0" borderId="14" xfId="5" applyFont="1" applyBorder="1" applyAlignment="1">
      <alignment horizontal="right" vertical="center"/>
    </xf>
    <xf numFmtId="49" fontId="26" fillId="13" borderId="5" xfId="5" applyNumberFormat="1" applyFont="1" applyFill="1" applyBorder="1" applyAlignment="1">
      <alignment horizontal="left"/>
    </xf>
    <xf numFmtId="0" fontId="13" fillId="14" borderId="13" xfId="5" applyFont="1" applyFill="1" applyBorder="1" applyAlignment="1">
      <alignment horizontal="left"/>
    </xf>
    <xf numFmtId="44" fontId="51" fillId="0" borderId="20" xfId="5" applyNumberFormat="1" applyFont="1" applyBorder="1" applyAlignment="1">
      <alignment horizontal="right"/>
    </xf>
    <xf numFmtId="44" fontId="47" fillId="0" borderId="13" xfId="5" applyNumberFormat="1" applyFont="1" applyBorder="1" applyAlignment="1">
      <alignment horizontal="left"/>
    </xf>
    <xf numFmtId="44" fontId="50" fillId="0" borderId="13" xfId="5" applyNumberFormat="1" applyFont="1" applyBorder="1" applyAlignment="1">
      <alignment horizontal="left"/>
    </xf>
    <xf numFmtId="44" fontId="42" fillId="0" borderId="13" xfId="5" applyNumberFormat="1" applyFont="1" applyBorder="1" applyAlignment="1">
      <alignment horizontal="left"/>
    </xf>
    <xf numFmtId="44" fontId="49" fillId="0" borderId="13" xfId="5" applyNumberFormat="1" applyFont="1" applyBorder="1" applyAlignment="1">
      <alignment horizontal="left"/>
    </xf>
    <xf numFmtId="49" fontId="26" fillId="8" borderId="5" xfId="5" applyNumberFormat="1" applyFont="1" applyFill="1" applyBorder="1" applyAlignment="1">
      <alignment horizontal="left"/>
    </xf>
    <xf numFmtId="1" fontId="23" fillId="0" borderId="7" xfId="9" applyNumberFormat="1" applyFont="1" applyBorder="1" applyAlignment="1">
      <alignment horizontal="left" indent="2"/>
    </xf>
    <xf numFmtId="1" fontId="23" fillId="7" borderId="7" xfId="9" applyNumberFormat="1" applyFont="1" applyFill="1" applyBorder="1" applyAlignment="1">
      <alignment horizontal="right" vertical="top"/>
    </xf>
    <xf numFmtId="1" fontId="23" fillId="0" borderId="7" xfId="9" applyNumberFormat="1" applyFont="1" applyBorder="1" applyAlignment="1">
      <alignment horizontal="left" vertical="top" indent="2"/>
    </xf>
    <xf numFmtId="0" fontId="29" fillId="0" borderId="7" xfId="9" applyFont="1" applyBorder="1" applyAlignment="1">
      <alignment horizontal="left" vertical="center" indent="2"/>
    </xf>
    <xf numFmtId="0" fontId="29" fillId="0" borderId="7" xfId="9" applyFont="1" applyBorder="1" applyAlignment="1">
      <alignment horizontal="right" vertical="center"/>
    </xf>
    <xf numFmtId="0" fontId="29" fillId="0" borderId="7" xfId="9" applyFont="1" applyBorder="1" applyAlignment="1">
      <alignment horizontal="center" vertical="center"/>
    </xf>
    <xf numFmtId="0" fontId="29" fillId="0" borderId="7" xfId="9" applyFont="1" applyBorder="1" applyAlignment="1">
      <alignment horizontal="left" vertical="center" indent="1"/>
    </xf>
    <xf numFmtId="168" fontId="24" fillId="0" borderId="7" xfId="9" applyNumberFormat="1" applyFont="1" applyBorder="1" applyAlignment="1">
      <alignment horizontal="right" vertical="top"/>
    </xf>
    <xf numFmtId="165" fontId="24" fillId="0" borderId="7" xfId="9" applyNumberFormat="1" applyFont="1" applyBorder="1" applyAlignment="1">
      <alignment horizontal="center" vertical="top"/>
    </xf>
    <xf numFmtId="0" fontId="30" fillId="0" borderId="7" xfId="9" applyFont="1" applyBorder="1" applyAlignment="1">
      <alignment horizontal="left" indent="1"/>
    </xf>
    <xf numFmtId="169" fontId="13" fillId="0" borderId="14" xfId="5" applyNumberFormat="1" applyFont="1" applyBorder="1"/>
    <xf numFmtId="2" fontId="26" fillId="0" borderId="14" xfId="5" applyNumberFormat="1" applyFont="1" applyBorder="1" applyAlignment="1">
      <alignment horizontal="left" vertical="center"/>
    </xf>
    <xf numFmtId="2" fontId="23" fillId="0" borderId="7" xfId="9" applyNumberFormat="1" applyFont="1" applyBorder="1" applyAlignment="1">
      <alignment horizontal="left" indent="4"/>
    </xf>
    <xf numFmtId="2" fontId="23" fillId="0" borderId="7" xfId="9" applyNumberFormat="1" applyFont="1" applyBorder="1" applyAlignment="1">
      <alignment horizontal="justify" vertical="top"/>
    </xf>
    <xf numFmtId="2" fontId="23" fillId="0" borderId="7" xfId="9" applyNumberFormat="1" applyFont="1" applyBorder="1" applyAlignment="1">
      <alignment horizontal="left" vertical="top" indent="4"/>
    </xf>
    <xf numFmtId="0" fontId="13" fillId="3" borderId="13" xfId="5" applyFont="1" applyFill="1" applyBorder="1" applyAlignment="1">
      <alignment horizontal="left"/>
    </xf>
    <xf numFmtId="44" fontId="4" fillId="4" borderId="10" xfId="1" applyFont="1" applyFill="1" applyBorder="1"/>
    <xf numFmtId="1" fontId="53" fillId="0" borderId="14" xfId="5" applyNumberFormat="1" applyFont="1" applyBorder="1"/>
    <xf numFmtId="1" fontId="53" fillId="0" borderId="14" xfId="5" applyNumberFormat="1" applyFont="1" applyBorder="1" applyAlignment="1">
      <alignment horizontal="right"/>
    </xf>
    <xf numFmtId="44" fontId="4" fillId="14" borderId="10" xfId="1" applyFont="1" applyFill="1" applyBorder="1"/>
    <xf numFmtId="0" fontId="13" fillId="0" borderId="13" xfId="5" applyFont="1" applyFill="1" applyBorder="1" applyAlignment="1">
      <alignment horizontal="left"/>
    </xf>
    <xf numFmtId="44" fontId="2" fillId="0" borderId="0" xfId="0" applyNumberFormat="1" applyFont="1"/>
    <xf numFmtId="9" fontId="2" fillId="0" borderId="0" xfId="2" applyFont="1"/>
    <xf numFmtId="2" fontId="55" fillId="14" borderId="8" xfId="0" applyNumberFormat="1" applyFont="1" applyFill="1" applyBorder="1"/>
    <xf numFmtId="2" fontId="55" fillId="14" borderId="9" xfId="0" applyNumberFormat="1" applyFont="1" applyFill="1" applyBorder="1"/>
    <xf numFmtId="44" fontId="56" fillId="14" borderId="10" xfId="1" applyFont="1" applyFill="1" applyBorder="1"/>
    <xf numFmtId="2" fontId="55" fillId="4" borderId="8" xfId="0" applyNumberFormat="1" applyFont="1" applyFill="1" applyBorder="1"/>
    <xf numFmtId="9" fontId="55" fillId="4" borderId="10" xfId="2" applyFont="1" applyFill="1" applyBorder="1"/>
    <xf numFmtId="44" fontId="57" fillId="14" borderId="8" xfId="1" applyFont="1" applyFill="1" applyBorder="1"/>
    <xf numFmtId="9" fontId="58" fillId="14" borderId="10" xfId="2" applyFont="1" applyFill="1" applyBorder="1"/>
    <xf numFmtId="2" fontId="59" fillId="5" borderId="8" xfId="0" quotePrefix="1" applyNumberFormat="1" applyFont="1" applyFill="1" applyBorder="1"/>
    <xf numFmtId="170" fontId="60" fillId="14" borderId="12" xfId="0" applyNumberFormat="1" applyFont="1" applyFill="1" applyBorder="1"/>
    <xf numFmtId="1" fontId="61" fillId="0" borderId="0" xfId="0" quotePrefix="1" applyNumberFormat="1" applyFont="1"/>
    <xf numFmtId="44" fontId="62" fillId="0" borderId="0" xfId="0" quotePrefix="1" applyNumberFormat="1" applyFont="1" applyAlignment="1">
      <alignment horizontal="left"/>
    </xf>
    <xf numFmtId="44" fontId="4" fillId="15" borderId="10" xfId="1" applyFont="1" applyFill="1" applyBorder="1"/>
    <xf numFmtId="44" fontId="25" fillId="15" borderId="10" xfId="1" applyFont="1" applyFill="1" applyBorder="1"/>
    <xf numFmtId="44" fontId="54" fillId="5" borderId="8" xfId="1" applyFont="1" applyFill="1" applyBorder="1"/>
    <xf numFmtId="0" fontId="18" fillId="0" borderId="0" xfId="0" quotePrefix="1" applyFont="1"/>
    <xf numFmtId="0" fontId="0" fillId="0" borderId="0" xfId="0"/>
    <xf numFmtId="0" fontId="29" fillId="0" borderId="1" xfId="9" applyFont="1" applyBorder="1" applyAlignment="1">
      <alignment horizontal="right" wrapText="1"/>
    </xf>
    <xf numFmtId="0" fontId="27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/>
    </xf>
    <xf numFmtId="4" fontId="9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/>
    <xf numFmtId="0" fontId="29" fillId="0" borderId="1" xfId="9" applyFont="1" applyBorder="1" applyAlignment="1">
      <alignment horizontal="right"/>
    </xf>
    <xf numFmtId="0" fontId="23" fillId="0" borderId="7" xfId="9" applyFont="1" applyBorder="1" applyAlignment="1">
      <alignment horizontal="left" vertical="top" indent="1"/>
    </xf>
    <xf numFmtId="167" fontId="23" fillId="0" borderId="7" xfId="9" applyNumberFormat="1" applyFont="1" applyBorder="1" applyAlignment="1">
      <alignment horizontal="justify"/>
    </xf>
    <xf numFmtId="0" fontId="23" fillId="0" borderId="7" xfId="9" applyFont="1" applyBorder="1" applyAlignment="1">
      <alignment horizontal="left" indent="1"/>
    </xf>
    <xf numFmtId="0" fontId="23" fillId="0" borderId="7" xfId="9" applyFont="1" applyBorder="1" applyAlignment="1">
      <alignment horizontal="left" vertical="top" indent="4"/>
    </xf>
    <xf numFmtId="0" fontId="23" fillId="0" borderId="7" xfId="9" applyFont="1" applyBorder="1" applyAlignment="1">
      <alignment horizontal="left" vertical="center" indent="1"/>
    </xf>
    <xf numFmtId="1" fontId="24" fillId="11" borderId="7" xfId="9" applyNumberFormat="1" applyFont="1" applyFill="1" applyBorder="1" applyAlignment="1">
      <alignment horizontal="left" vertical="top" indent="2"/>
    </xf>
    <xf numFmtId="1" fontId="23" fillId="0" borderId="7" xfId="9" applyNumberFormat="1" applyFont="1" applyBorder="1" applyAlignment="1">
      <alignment horizontal="center"/>
    </xf>
    <xf numFmtId="0" fontId="63" fillId="0" borderId="7" xfId="9" applyFont="1" applyBorder="1" applyAlignment="1">
      <alignment horizontal="left" vertical="top"/>
    </xf>
    <xf numFmtId="2" fontId="24" fillId="0" borderId="4" xfId="9" applyNumberFormat="1" applyFont="1" applyBorder="1" applyAlignment="1">
      <alignment horizontal="right" vertical="top"/>
    </xf>
    <xf numFmtId="0" fontId="24" fillId="0" borderId="2" xfId="9" applyFont="1" applyBorder="1" applyAlignment="1">
      <alignment horizontal="center" vertical="top"/>
    </xf>
    <xf numFmtId="0" fontId="24" fillId="0" borderId="4" xfId="9" applyFont="1" applyBorder="1" applyAlignment="1">
      <alignment horizontal="left" vertical="top" indent="1"/>
    </xf>
    <xf numFmtId="37" fontId="24" fillId="0" borderId="4" xfId="9" applyNumberFormat="1" applyFont="1" applyBorder="1" applyAlignment="1">
      <alignment horizontal="left" vertical="top" indent="2"/>
    </xf>
    <xf numFmtId="2" fontId="24" fillId="0" borderId="2" xfId="9" applyNumberFormat="1" applyFont="1" applyBorder="1" applyAlignment="1">
      <alignment horizontal="right" vertical="top"/>
    </xf>
    <xf numFmtId="1" fontId="32" fillId="0" borderId="7" xfId="9" applyNumberFormat="1" applyFont="1" applyBorder="1" applyAlignment="1">
      <alignment horizontal="right" vertical="top"/>
    </xf>
    <xf numFmtId="14" fontId="13" fillId="0" borderId="13" xfId="5" applyNumberFormat="1" applyFont="1" applyFill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64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71" fontId="65" fillId="0" borderId="25" xfId="0" applyNumberFormat="1" applyFont="1" applyBorder="1" applyAlignment="1">
      <alignment horizontal="right" vertical="center" wrapText="1"/>
    </xf>
    <xf numFmtId="40" fontId="65" fillId="0" borderId="26" xfId="0" applyNumberFormat="1" applyFont="1" applyBorder="1" applyAlignment="1">
      <alignment horizontal="right" vertical="center" wrapText="1"/>
    </xf>
    <xf numFmtId="0" fontId="65" fillId="0" borderId="27" xfId="0" applyFont="1" applyBorder="1" applyAlignment="1">
      <alignment horizontal="right" vertical="center"/>
    </xf>
    <xf numFmtId="0" fontId="0" fillId="0" borderId="27" xfId="0" applyBorder="1"/>
    <xf numFmtId="2" fontId="64" fillId="0" borderId="5" xfId="0" applyNumberFormat="1" applyFont="1" applyBorder="1" applyAlignment="1">
      <alignment horizontal="right" vertical="center" wrapText="1"/>
    </xf>
    <xf numFmtId="40" fontId="65" fillId="0" borderId="5" xfId="0" applyNumberFormat="1" applyFont="1" applyBorder="1" applyAlignment="1">
      <alignment horizontal="right" vertical="center" wrapText="1"/>
    </xf>
    <xf numFmtId="0" fontId="29" fillId="16" borderId="30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2" fontId="64" fillId="0" borderId="5" xfId="0" applyNumberFormat="1" applyFont="1" applyBorder="1" applyAlignment="1">
      <alignment horizontal="right" vertical="top" wrapText="1"/>
    </xf>
    <xf numFmtId="4" fontId="64" fillId="0" borderId="5" xfId="0" applyNumberFormat="1" applyFont="1" applyBorder="1" applyAlignment="1">
      <alignment horizontal="right" vertical="top" wrapText="1"/>
    </xf>
    <xf numFmtId="2" fontId="64" fillId="16" borderId="5" xfId="0" applyNumberFormat="1" applyFont="1" applyFill="1" applyBorder="1" applyAlignment="1">
      <alignment horizontal="center" vertical="top" wrapText="1"/>
    </xf>
    <xf numFmtId="0" fontId="64" fillId="16" borderId="5" xfId="0" applyFont="1" applyFill="1" applyBorder="1" applyAlignment="1">
      <alignment horizontal="center" vertical="top" wrapText="1"/>
    </xf>
    <xf numFmtId="49" fontId="64" fillId="0" borderId="5" xfId="0" applyNumberFormat="1" applyFont="1" applyBorder="1" applyAlignment="1">
      <alignment horizontal="left" vertical="top" wrapText="1"/>
    </xf>
    <xf numFmtId="0" fontId="64" fillId="0" borderId="5" xfId="0" applyFont="1" applyBorder="1" applyAlignment="1">
      <alignment horizontal="center" vertical="top" wrapText="1"/>
    </xf>
    <xf numFmtId="0" fontId="65" fillId="0" borderId="7" xfId="0" applyFont="1" applyBorder="1" applyAlignment="1">
      <alignment horizontal="center" vertical="center"/>
    </xf>
    <xf numFmtId="0" fontId="6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66" fillId="0" borderId="0" xfId="0" applyFont="1"/>
    <xf numFmtId="172" fontId="29" fillId="16" borderId="30" xfId="0" applyNumberFormat="1" applyFont="1" applyFill="1" applyBorder="1" applyAlignment="1">
      <alignment horizontal="center" vertical="center" wrapText="1"/>
    </xf>
    <xf numFmtId="168" fontId="64" fillId="16" borderId="5" xfId="0" applyNumberFormat="1" applyFont="1" applyFill="1" applyBorder="1" applyAlignment="1">
      <alignment horizontal="right" vertical="top" wrapText="1"/>
    </xf>
    <xf numFmtId="4" fontId="64" fillId="16" borderId="5" xfId="0" applyNumberFormat="1" applyFont="1" applyFill="1" applyBorder="1" applyAlignment="1">
      <alignment horizontal="right" vertical="top" wrapText="1"/>
    </xf>
    <xf numFmtId="1" fontId="64" fillId="16" borderId="5" xfId="0" applyNumberFormat="1" applyFont="1" applyFill="1" applyBorder="1" applyAlignment="1">
      <alignment horizontal="center" vertical="top" wrapText="1"/>
    </xf>
    <xf numFmtId="0" fontId="64" fillId="0" borderId="5" xfId="0" applyFont="1" applyBorder="1" applyAlignment="1">
      <alignment horizontal="left" vertical="top" wrapText="1"/>
    </xf>
    <xf numFmtId="0" fontId="65" fillId="0" borderId="37" xfId="0" applyFont="1" applyBorder="1" applyAlignment="1">
      <alignment horizontal="center" vertical="center"/>
    </xf>
    <xf numFmtId="0" fontId="64" fillId="0" borderId="37" xfId="0" applyFont="1" applyBorder="1" applyAlignment="1">
      <alignment horizontal="center"/>
    </xf>
    <xf numFmtId="0" fontId="64" fillId="0" borderId="0" xfId="0" applyFont="1"/>
    <xf numFmtId="0" fontId="0" fillId="0" borderId="0" xfId="0" applyAlignment="1">
      <alignment horizontal="left" vertical="center"/>
    </xf>
    <xf numFmtId="0" fontId="65" fillId="16" borderId="30" xfId="0" applyFont="1" applyFill="1" applyBorder="1" applyAlignment="1">
      <alignment horizontal="center" vertical="center" wrapText="1"/>
    </xf>
    <xf numFmtId="0" fontId="65" fillId="0" borderId="7" xfId="0" applyFont="1" applyBorder="1" applyAlignment="1">
      <alignment horizontal="center" vertical="center"/>
    </xf>
    <xf numFmtId="172" fontId="65" fillId="16" borderId="30" xfId="0" applyNumberFormat="1" applyFont="1" applyFill="1" applyBorder="1" applyAlignment="1">
      <alignment horizontal="center" vertical="center" wrapText="1"/>
    </xf>
    <xf numFmtId="2" fontId="64" fillId="16" borderId="5" xfId="0" applyNumberFormat="1" applyFont="1" applyFill="1" applyBorder="1" applyAlignment="1">
      <alignment horizontal="right" vertical="top" wrapText="1"/>
    </xf>
    <xf numFmtId="0" fontId="69" fillId="0" borderId="0" xfId="34"/>
    <xf numFmtId="0" fontId="64" fillId="0" borderId="0" xfId="34" applyFont="1" applyAlignment="1">
      <alignment horizontal="right" vertical="center"/>
    </xf>
    <xf numFmtId="0" fontId="69" fillId="0" borderId="0" xfId="34" applyAlignment="1">
      <alignment horizontal="left"/>
    </xf>
    <xf numFmtId="171" fontId="65" fillId="0" borderId="25" xfId="34" applyNumberFormat="1" applyFont="1" applyBorder="1" applyAlignment="1">
      <alignment horizontal="right" vertical="center" wrapText="1"/>
    </xf>
    <xf numFmtId="40" fontId="65" fillId="0" borderId="26" xfId="34" applyNumberFormat="1" applyFont="1" applyBorder="1" applyAlignment="1">
      <alignment horizontal="right" vertical="center" wrapText="1"/>
    </xf>
    <xf numFmtId="0" fontId="65" fillId="0" borderId="27" xfId="34" applyFont="1" applyBorder="1" applyAlignment="1">
      <alignment horizontal="right" vertical="center"/>
    </xf>
    <xf numFmtId="0" fontId="69" fillId="0" borderId="27" xfId="34" applyBorder="1"/>
    <xf numFmtId="2" fontId="64" fillId="0" borderId="5" xfId="34" applyNumberFormat="1" applyFont="1" applyBorder="1" applyAlignment="1">
      <alignment horizontal="right" vertical="top" wrapText="1"/>
    </xf>
    <xf numFmtId="40" fontId="65" fillId="0" borderId="5" xfId="34" applyNumberFormat="1" applyFont="1" applyBorder="1" applyAlignment="1">
      <alignment horizontal="right" vertical="center" wrapText="1"/>
    </xf>
    <xf numFmtId="172" fontId="65" fillId="16" borderId="30" xfId="34" applyNumberFormat="1" applyFont="1" applyFill="1" applyBorder="1" applyAlignment="1">
      <alignment horizontal="center" vertical="center" wrapText="1"/>
    </xf>
    <xf numFmtId="4" fontId="64" fillId="0" borderId="5" xfId="34" applyNumberFormat="1" applyFont="1" applyBorder="1" applyAlignment="1">
      <alignment horizontal="right" vertical="top" wrapText="1"/>
    </xf>
    <xf numFmtId="2" fontId="64" fillId="16" borderId="5" xfId="34" applyNumberFormat="1" applyFont="1" applyFill="1" applyBorder="1" applyAlignment="1">
      <alignment horizontal="center" vertical="top" wrapText="1"/>
    </xf>
    <xf numFmtId="0" fontId="64" fillId="16" borderId="5" xfId="34" applyFont="1" applyFill="1" applyBorder="1" applyAlignment="1">
      <alignment horizontal="center" vertical="top" wrapText="1"/>
    </xf>
    <xf numFmtId="49" fontId="64" fillId="16" borderId="5" xfId="34" applyNumberFormat="1" applyFont="1" applyFill="1" applyBorder="1" applyAlignment="1">
      <alignment horizontal="center" vertical="top" wrapText="1"/>
    </xf>
    <xf numFmtId="0" fontId="64" fillId="0" borderId="5" xfId="34" applyFont="1" applyBorder="1" applyAlignment="1">
      <alignment horizontal="left" vertical="top" wrapText="1"/>
    </xf>
    <xf numFmtId="0" fontId="64" fillId="0" borderId="5" xfId="34" applyFont="1" applyBorder="1" applyAlignment="1">
      <alignment horizontal="center" vertical="top" wrapText="1"/>
    </xf>
    <xf numFmtId="1" fontId="64" fillId="16" borderId="5" xfId="34" applyNumberFormat="1" applyFont="1" applyFill="1" applyBorder="1" applyAlignment="1">
      <alignment horizontal="center" vertical="top" wrapText="1"/>
    </xf>
    <xf numFmtId="0" fontId="65" fillId="0" borderId="7" xfId="34" applyFont="1" applyBorder="1" applyAlignment="1">
      <alignment horizontal="center" vertical="center"/>
    </xf>
    <xf numFmtId="0" fontId="65" fillId="0" borderId="7" xfId="34" applyFont="1" applyBorder="1" applyAlignment="1">
      <alignment horizontal="center" vertical="center" wrapText="1"/>
    </xf>
    <xf numFmtId="0" fontId="69" fillId="0" borderId="0" xfId="34" applyAlignment="1">
      <alignment horizontal="right"/>
    </xf>
    <xf numFmtId="0" fontId="69" fillId="0" borderId="0" xfId="34" applyAlignment="1">
      <alignment horizontal="left" wrapText="1"/>
    </xf>
    <xf numFmtId="0" fontId="69" fillId="0" borderId="0" xfId="34" applyAlignment="1">
      <alignment horizontal="left" vertical="center" wrapText="1"/>
    </xf>
    <xf numFmtId="0" fontId="66" fillId="0" borderId="0" xfId="34" applyFont="1"/>
    <xf numFmtId="0" fontId="69" fillId="0" borderId="0" xfId="34" applyAlignment="1">
      <alignment vertical="top" wrapText="1"/>
    </xf>
    <xf numFmtId="168" fontId="64" fillId="16" borderId="5" xfId="34" applyNumberFormat="1" applyFont="1" applyFill="1" applyBorder="1" applyAlignment="1">
      <alignment horizontal="right" vertical="top" wrapText="1"/>
    </xf>
    <xf numFmtId="4" fontId="64" fillId="16" borderId="5" xfId="34" applyNumberFormat="1" applyFont="1" applyFill="1" applyBorder="1" applyAlignment="1">
      <alignment horizontal="right" vertical="top" wrapText="1"/>
    </xf>
    <xf numFmtId="0" fontId="65" fillId="0" borderId="37" xfId="34" applyFont="1" applyBorder="1" applyAlignment="1">
      <alignment horizontal="center" vertical="center"/>
    </xf>
    <xf numFmtId="0" fontId="64" fillId="0" borderId="37" xfId="34" applyFont="1" applyBorder="1" applyAlignment="1">
      <alignment horizontal="center"/>
    </xf>
    <xf numFmtId="0" fontId="64" fillId="0" borderId="0" xfId="34" applyFont="1"/>
    <xf numFmtId="0" fontId="69" fillId="0" borderId="0" xfId="34" applyAlignment="1">
      <alignment horizontal="left" vertical="center"/>
    </xf>
    <xf numFmtId="49" fontId="64" fillId="16" borderId="5" xfId="0" applyNumberFormat="1" applyFont="1" applyFill="1" applyBorder="1" applyAlignment="1">
      <alignment horizontal="center" vertical="top" wrapText="1"/>
    </xf>
    <xf numFmtId="4" fontId="64" fillId="10" borderId="5" xfId="0" applyNumberFormat="1" applyFont="1" applyFill="1" applyBorder="1" applyAlignment="1">
      <alignment horizontal="right" vertical="top" wrapText="1"/>
    </xf>
    <xf numFmtId="4" fontId="64" fillId="0" borderId="5" xfId="0" applyNumberFormat="1" applyFont="1" applyBorder="1" applyAlignment="1">
      <alignment horizontal="right" vertical="center" wrapText="1"/>
    </xf>
    <xf numFmtId="0" fontId="64" fillId="16" borderId="5" xfId="0" applyFont="1" applyFill="1" applyBorder="1" applyAlignment="1">
      <alignment horizontal="center" vertical="center" wrapText="1"/>
    </xf>
    <xf numFmtId="168" fontId="64" fillId="16" borderId="5" xfId="0" applyNumberFormat="1" applyFont="1" applyFill="1" applyBorder="1" applyAlignment="1">
      <alignment horizontal="right" vertical="center" wrapText="1"/>
    </xf>
    <xf numFmtId="4" fontId="64" fillId="16" borderId="5" xfId="0" applyNumberFormat="1" applyFont="1" applyFill="1" applyBorder="1" applyAlignment="1">
      <alignment horizontal="right" vertical="center" wrapText="1"/>
    </xf>
    <xf numFmtId="1" fontId="64" fillId="16" borderId="5" xfId="0" applyNumberFormat="1" applyFont="1" applyFill="1" applyBorder="1" applyAlignment="1">
      <alignment horizontal="center" vertical="center" wrapText="1"/>
    </xf>
    <xf numFmtId="49" fontId="65" fillId="16" borderId="30" xfId="34" applyNumberFormat="1" applyFont="1" applyFill="1" applyBorder="1" applyAlignment="1">
      <alignment horizontal="center" vertical="center" wrapText="1"/>
    </xf>
    <xf numFmtId="49" fontId="29" fillId="16" borderId="30" xfId="0" applyNumberFormat="1" applyFont="1" applyFill="1" applyBorder="1" applyAlignment="1">
      <alignment horizontal="center" vertical="center" wrapText="1"/>
    </xf>
    <xf numFmtId="4" fontId="0" fillId="0" borderId="5" xfId="0" applyNumberFormat="1" applyBorder="1" applyAlignment="1">
      <alignment horizontal="right" vertical="top" wrapText="1"/>
    </xf>
    <xf numFmtId="3" fontId="64" fillId="0" borderId="5" xfId="0" applyNumberFormat="1" applyFont="1" applyBorder="1" applyAlignment="1">
      <alignment horizontal="left" vertical="top" wrapText="1"/>
    </xf>
    <xf numFmtId="0" fontId="71" fillId="0" borderId="0" xfId="0" applyFont="1"/>
    <xf numFmtId="0" fontId="71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2" fontId="72" fillId="0" borderId="0" xfId="0" applyNumberFormat="1" applyFont="1" applyAlignment="1">
      <alignment vertical="center"/>
    </xf>
    <xf numFmtId="0" fontId="72" fillId="0" borderId="0" xfId="0" applyFont="1" applyAlignment="1">
      <alignment horizontal="right"/>
    </xf>
    <xf numFmtId="0" fontId="74" fillId="0" borderId="0" xfId="0" applyFont="1"/>
    <xf numFmtId="0" fontId="74" fillId="0" borderId="0" xfId="0" applyFont="1" applyAlignment="1">
      <alignment horizontal="center" vertical="center"/>
    </xf>
    <xf numFmtId="0" fontId="74" fillId="0" borderId="0" xfId="0" applyFont="1" applyAlignment="1">
      <alignment horizontal="center"/>
    </xf>
    <xf numFmtId="0" fontId="72" fillId="0" borderId="0" xfId="0" applyFont="1"/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/>
    </xf>
    <xf numFmtId="2" fontId="74" fillId="0" borderId="0" xfId="0" applyNumberFormat="1" applyFont="1" applyAlignment="1">
      <alignment horizontal="right" vertical="center"/>
    </xf>
    <xf numFmtId="17" fontId="72" fillId="0" borderId="6" xfId="0" applyNumberFormat="1" applyFont="1" applyBorder="1" applyAlignment="1">
      <alignment vertical="center"/>
    </xf>
    <xf numFmtId="0" fontId="72" fillId="0" borderId="6" xfId="0" applyFont="1" applyBorder="1" applyAlignment="1">
      <alignment horizontal="center" vertical="center"/>
    </xf>
    <xf numFmtId="164" fontId="72" fillId="0" borderId="6" xfId="0" applyNumberFormat="1" applyFont="1" applyBorder="1" applyAlignment="1">
      <alignment vertical="center"/>
    </xf>
    <xf numFmtId="0" fontId="72" fillId="0" borderId="6" xfId="0" applyFont="1" applyBorder="1" applyAlignment="1">
      <alignment vertical="center"/>
    </xf>
    <xf numFmtId="0" fontId="72" fillId="17" borderId="7" xfId="0" applyFont="1" applyFill="1" applyBorder="1" applyAlignment="1">
      <alignment horizontal="center" vertical="center"/>
    </xf>
    <xf numFmtId="0" fontId="73" fillId="17" borderId="7" xfId="0" applyFont="1" applyFill="1" applyBorder="1" applyAlignment="1">
      <alignment horizontal="center" vertical="center" wrapText="1"/>
    </xf>
    <xf numFmtId="1" fontId="74" fillId="0" borderId="7" xfId="0" applyNumberFormat="1" applyFont="1" applyBorder="1" applyAlignment="1">
      <alignment horizontal="center" vertical="center" wrapText="1"/>
    </xf>
    <xf numFmtId="0" fontId="75" fillId="18" borderId="2" xfId="0" quotePrefix="1" applyFont="1" applyFill="1" applyBorder="1" applyAlignment="1">
      <alignment horizontal="center" vertical="center" wrapText="1"/>
    </xf>
    <xf numFmtId="2" fontId="75" fillId="18" borderId="7" xfId="0" applyNumberFormat="1" applyFont="1" applyFill="1" applyBorder="1" applyAlignment="1">
      <alignment horizontal="center" vertical="center" wrapText="1"/>
    </xf>
    <xf numFmtId="0" fontId="75" fillId="18" borderId="7" xfId="0" applyFont="1" applyFill="1" applyBorder="1" applyAlignment="1">
      <alignment horizontal="center" vertical="center" wrapText="1"/>
    </xf>
    <xf numFmtId="1" fontId="75" fillId="18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5" fillId="18" borderId="2" xfId="0" applyFont="1" applyFill="1" applyBorder="1" applyAlignment="1">
      <alignment horizontal="center" vertical="center" wrapText="1"/>
    </xf>
    <xf numFmtId="49" fontId="75" fillId="18" borderId="7" xfId="0" applyNumberFormat="1" applyFont="1" applyFill="1" applyBorder="1" applyAlignment="1">
      <alignment horizontal="center" vertical="center" wrapText="1"/>
    </xf>
    <xf numFmtId="2" fontId="73" fillId="18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/>
    </xf>
    <xf numFmtId="164" fontId="72" fillId="0" borderId="0" xfId="0" applyNumberFormat="1" applyFont="1" applyAlignment="1">
      <alignment vertical="center"/>
    </xf>
    <xf numFmtId="0" fontId="72" fillId="0" borderId="0" xfId="0" applyFont="1" applyAlignment="1">
      <alignment vertical="center"/>
    </xf>
    <xf numFmtId="1" fontId="74" fillId="0" borderId="7" xfId="0" applyNumberFormat="1" applyFont="1" applyBorder="1" applyAlignment="1">
      <alignment horizontal="center" vertical="center"/>
    </xf>
    <xf numFmtId="1" fontId="74" fillId="0" borderId="2" xfId="0" applyNumberFormat="1" applyFont="1" applyBorder="1" applyAlignment="1">
      <alignment horizontal="center" vertical="center" wrapText="1"/>
    </xf>
    <xf numFmtId="2" fontId="75" fillId="0" borderId="7" xfId="0" applyNumberFormat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left"/>
    </xf>
    <xf numFmtId="0" fontId="76" fillId="0" borderId="0" xfId="0" applyFont="1" applyAlignment="1">
      <alignment horizontal="left" vertical="top"/>
    </xf>
    <xf numFmtId="14" fontId="76" fillId="0" borderId="0" xfId="0" applyNumberFormat="1" applyFont="1" applyAlignment="1">
      <alignment horizontal="left" vertical="top"/>
    </xf>
    <xf numFmtId="0" fontId="76" fillId="0" borderId="0" xfId="0" applyFont="1" applyAlignment="1">
      <alignment horizontal="right" vertical="top"/>
    </xf>
    <xf numFmtId="164" fontId="76" fillId="0" borderId="0" xfId="0" applyNumberFormat="1" applyFont="1" applyAlignment="1">
      <alignment horizontal="center" vertical="top"/>
    </xf>
    <xf numFmtId="0" fontId="0" fillId="0" borderId="23" xfId="0" applyBorder="1" applyAlignment="1">
      <alignment horizontal="justify" vertical="top" wrapText="1"/>
    </xf>
    <xf numFmtId="0" fontId="0" fillId="0" borderId="22" xfId="0" applyBorder="1" applyAlignment="1">
      <alignment horizontal="justify" vertical="top" wrapText="1"/>
    </xf>
    <xf numFmtId="0" fontId="0" fillId="0" borderId="21" xfId="0" applyBorder="1" applyAlignment="1">
      <alignment horizontal="justify" vertical="top" wrapText="1"/>
    </xf>
    <xf numFmtId="0" fontId="64" fillId="0" borderId="0" xfId="0" applyFont="1" applyAlignment="1">
      <alignment horizontal="left" vertical="center" wrapText="1"/>
    </xf>
    <xf numFmtId="0" fontId="64" fillId="0" borderId="0" xfId="0" applyFont="1" applyAlignment="1">
      <alignment horizontal="left" vertical="top" wrapText="1"/>
    </xf>
    <xf numFmtId="0" fontId="64" fillId="0" borderId="0" xfId="0" applyFont="1" applyAlignment="1">
      <alignment horizontal="left" vertical="center"/>
    </xf>
    <xf numFmtId="0" fontId="64" fillId="0" borderId="24" xfId="0" applyFont="1" applyBorder="1" applyAlignment="1">
      <alignment horizontal="left" vertical="top"/>
    </xf>
    <xf numFmtId="0" fontId="65" fillId="0" borderId="0" xfId="0" applyFont="1" applyAlignment="1">
      <alignment wrapText="1"/>
    </xf>
    <xf numFmtId="0" fontId="64" fillId="0" borderId="30" xfId="0" applyFont="1" applyBorder="1" applyAlignment="1">
      <alignment horizontal="left" vertical="top" wrapText="1"/>
    </xf>
    <xf numFmtId="0" fontId="64" fillId="0" borderId="39" xfId="0" applyFont="1" applyBorder="1" applyAlignment="1">
      <alignment horizontal="left" vertical="top" wrapText="1"/>
    </xf>
    <xf numFmtId="0" fontId="64" fillId="0" borderId="38" xfId="0" applyFont="1" applyBorder="1" applyAlignment="1">
      <alignment horizontal="left" vertical="top" wrapText="1"/>
    </xf>
    <xf numFmtId="0" fontId="64" fillId="0" borderId="0" xfId="0" applyFont="1" applyAlignment="1">
      <alignment wrapText="1"/>
    </xf>
    <xf numFmtId="0" fontId="65" fillId="16" borderId="29" xfId="0" applyFont="1" applyFill="1" applyBorder="1" applyAlignment="1">
      <alignment horizontal="right" vertical="center" wrapText="1"/>
    </xf>
    <xf numFmtId="0" fontId="65" fillId="16" borderId="31" xfId="0" applyFont="1" applyFill="1" applyBorder="1" applyAlignment="1">
      <alignment horizontal="right" vertical="center" wrapText="1"/>
    </xf>
    <xf numFmtId="0" fontId="65" fillId="16" borderId="28" xfId="0" applyFont="1" applyFill="1" applyBorder="1" applyAlignment="1">
      <alignment horizontal="right" vertical="center" wrapText="1"/>
    </xf>
    <xf numFmtId="0" fontId="65" fillId="0" borderId="31" xfId="0" applyFont="1" applyBorder="1" applyAlignment="1">
      <alignment horizontal="right" vertical="center"/>
    </xf>
    <xf numFmtId="0" fontId="65" fillId="0" borderId="28" xfId="0" applyFont="1" applyBorder="1" applyAlignment="1">
      <alignment horizontal="right" vertical="center"/>
    </xf>
    <xf numFmtId="0" fontId="65" fillId="0" borderId="2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0" xfId="0" applyFont="1" applyAlignment="1">
      <alignment horizontal="left" vertical="center" wrapText="1"/>
    </xf>
    <xf numFmtId="0" fontId="67" fillId="0" borderId="30" xfId="0" applyFont="1" applyBorder="1" applyAlignment="1">
      <alignment vertical="top" wrapText="1"/>
    </xf>
    <xf numFmtId="0" fontId="67" fillId="0" borderId="39" xfId="0" applyFont="1" applyBorder="1" applyAlignment="1">
      <alignment vertical="top" wrapText="1"/>
    </xf>
    <xf numFmtId="0" fontId="67" fillId="0" borderId="38" xfId="0" applyFont="1" applyBorder="1" applyAlignment="1">
      <alignment vertical="top" wrapText="1"/>
    </xf>
    <xf numFmtId="0" fontId="67" fillId="0" borderId="30" xfId="0" applyFont="1" applyBorder="1" applyAlignment="1">
      <alignment horizontal="left" vertical="center" wrapText="1"/>
    </xf>
    <xf numFmtId="0" fontId="67" fillId="0" borderId="39" xfId="0" applyFont="1" applyBorder="1" applyAlignment="1">
      <alignment horizontal="left" vertical="center" wrapText="1"/>
    </xf>
    <xf numFmtId="0" fontId="67" fillId="0" borderId="38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8" fillId="0" borderId="0" xfId="0" applyFont="1" applyAlignment="1">
      <alignment horizontal="left"/>
    </xf>
    <xf numFmtId="0" fontId="67" fillId="0" borderId="30" xfId="0" applyFont="1" applyBorder="1" applyAlignment="1">
      <alignment vertical="center" wrapText="1"/>
    </xf>
    <xf numFmtId="0" fontId="67" fillId="0" borderId="39" xfId="0" applyFont="1" applyBorder="1" applyAlignment="1">
      <alignment vertical="center" wrapText="1"/>
    </xf>
    <xf numFmtId="0" fontId="67" fillId="0" borderId="38" xfId="0" applyFont="1" applyBorder="1" applyAlignment="1">
      <alignment vertical="center" wrapText="1"/>
    </xf>
    <xf numFmtId="0" fontId="64" fillId="0" borderId="36" xfId="0" applyFont="1" applyBorder="1" applyAlignment="1">
      <alignment horizontal="left" vertical="top" wrapText="1"/>
    </xf>
    <xf numFmtId="0" fontId="64" fillId="0" borderId="3" xfId="0" applyFont="1" applyBorder="1" applyAlignment="1">
      <alignment horizontal="left" vertical="top" wrapText="1"/>
    </xf>
    <xf numFmtId="0" fontId="64" fillId="0" borderId="35" xfId="0" applyFont="1" applyBorder="1" applyAlignment="1">
      <alignment horizontal="left" vertical="top" wrapText="1"/>
    </xf>
    <xf numFmtId="0" fontId="76" fillId="0" borderId="0" xfId="0" applyFont="1" applyAlignment="1">
      <alignment horizontal="center" vertical="top"/>
    </xf>
    <xf numFmtId="14" fontId="76" fillId="0" borderId="0" xfId="0" applyNumberFormat="1" applyFont="1" applyAlignment="1">
      <alignment horizontal="right" vertical="center" wrapText="1"/>
    </xf>
    <xf numFmtId="0" fontId="74" fillId="0" borderId="0" xfId="0" applyFont="1" applyAlignment="1">
      <alignment horizontal="center" vertical="center" wrapText="1"/>
    </xf>
    <xf numFmtId="0" fontId="77" fillId="0" borderId="0" xfId="0" applyFont="1" applyAlignment="1">
      <alignment horizontal="left" vertical="center" wrapText="1"/>
    </xf>
    <xf numFmtId="0" fontId="72" fillId="0" borderId="0" xfId="0" applyFont="1" applyAlignment="1">
      <alignment horizontal="left" vertical="top" wrapText="1"/>
    </xf>
    <xf numFmtId="0" fontId="74" fillId="0" borderId="0" xfId="0" applyFont="1" applyAlignment="1">
      <alignment horizontal="left" vertical="center" wrapText="1"/>
    </xf>
    <xf numFmtId="0" fontId="74" fillId="0" borderId="0" xfId="0" applyFont="1" applyAlignment="1">
      <alignment horizontal="left" wrapText="1"/>
    </xf>
    <xf numFmtId="0" fontId="74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2" fontId="75" fillId="0" borderId="42" xfId="0" applyNumberFormat="1" applyFont="1" applyBorder="1" applyAlignment="1">
      <alignment horizontal="left" vertical="center" wrapText="1"/>
    </xf>
    <xf numFmtId="2" fontId="75" fillId="0" borderId="6" xfId="0" applyNumberFormat="1" applyFont="1" applyBorder="1" applyAlignment="1">
      <alignment horizontal="left" vertical="center" wrapText="1"/>
    </xf>
    <xf numFmtId="2" fontId="75" fillId="18" borderId="42" xfId="0" applyNumberFormat="1" applyFont="1" applyFill="1" applyBorder="1" applyAlignment="1">
      <alignment horizontal="center" vertical="center" wrapText="1"/>
    </xf>
    <xf numFmtId="2" fontId="75" fillId="18" borderId="41" xfId="0" applyNumberFormat="1" applyFont="1" applyFill="1" applyBorder="1" applyAlignment="1">
      <alignment horizontal="center" vertical="center" wrapText="1"/>
    </xf>
    <xf numFmtId="0" fontId="75" fillId="18" borderId="2" xfId="0" applyFont="1" applyFill="1" applyBorder="1" applyAlignment="1">
      <alignment horizontal="center" vertical="center" wrapText="1"/>
    </xf>
    <xf numFmtId="0" fontId="75" fillId="18" borderId="4" xfId="0" applyFont="1" applyFill="1" applyBorder="1" applyAlignment="1">
      <alignment horizontal="center" vertical="center" wrapText="1"/>
    </xf>
    <xf numFmtId="0" fontId="72" fillId="0" borderId="7" xfId="0" applyFont="1" applyBorder="1" applyAlignment="1">
      <alignment horizontal="right"/>
    </xf>
    <xf numFmtId="0" fontId="72" fillId="0" borderId="18" xfId="0" applyFont="1" applyBorder="1" applyAlignment="1">
      <alignment horizontal="right"/>
    </xf>
    <xf numFmtId="0" fontId="72" fillId="0" borderId="0" xfId="0" applyFont="1" applyAlignment="1">
      <alignment horizontal="center"/>
    </xf>
    <xf numFmtId="2" fontId="73" fillId="0" borderId="0" xfId="0" applyNumberFormat="1" applyFont="1" applyAlignment="1">
      <alignment horizontal="center"/>
    </xf>
    <xf numFmtId="2" fontId="75" fillId="0" borderId="40" xfId="0" applyNumberFormat="1" applyFont="1" applyBorder="1" applyAlignment="1">
      <alignment horizontal="left" vertical="center" wrapText="1"/>
    </xf>
    <xf numFmtId="2" fontId="75" fillId="18" borderId="40" xfId="0" applyNumberFormat="1" applyFont="1" applyFill="1" applyBorder="1" applyAlignment="1">
      <alignment horizontal="center" vertical="center" wrapText="1"/>
    </xf>
    <xf numFmtId="2" fontId="75" fillId="0" borderId="2" xfId="0" applyNumberFormat="1" applyFont="1" applyBorder="1" applyAlignment="1">
      <alignment horizontal="left" vertical="center" wrapText="1"/>
    </xf>
    <xf numFmtId="2" fontId="75" fillId="0" borderId="3" xfId="0" applyNumberFormat="1" applyFont="1" applyBorder="1" applyAlignment="1">
      <alignment horizontal="left" vertical="center" wrapText="1"/>
    </xf>
    <xf numFmtId="2" fontId="75" fillId="0" borderId="4" xfId="0" applyNumberFormat="1" applyFont="1" applyBorder="1" applyAlignment="1">
      <alignment horizontal="left" vertical="center" wrapText="1"/>
    </xf>
    <xf numFmtId="2" fontId="75" fillId="18" borderId="2" xfId="0" applyNumberFormat="1" applyFont="1" applyFill="1" applyBorder="1" applyAlignment="1">
      <alignment horizontal="center" vertical="center" wrapText="1"/>
    </xf>
    <xf numFmtId="2" fontId="75" fillId="18" borderId="4" xfId="0" applyNumberFormat="1" applyFont="1" applyFill="1" applyBorder="1" applyAlignment="1">
      <alignment horizontal="center" vertical="center" wrapText="1"/>
    </xf>
    <xf numFmtId="2" fontId="75" fillId="0" borderId="44" xfId="0" applyNumberFormat="1" applyFont="1" applyBorder="1" applyAlignment="1">
      <alignment horizontal="left" vertical="center" wrapText="1"/>
    </xf>
    <xf numFmtId="2" fontId="75" fillId="18" borderId="44" xfId="0" applyNumberFormat="1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left"/>
    </xf>
    <xf numFmtId="0" fontId="72" fillId="0" borderId="0" xfId="0" applyFont="1" applyAlignment="1">
      <alignment horizontal="right" vertical="center"/>
    </xf>
    <xf numFmtId="0" fontId="73" fillId="17" borderId="17" xfId="0" applyFont="1" applyFill="1" applyBorder="1" applyAlignment="1">
      <alignment horizontal="center" vertical="center" wrapText="1"/>
    </xf>
    <xf numFmtId="0" fontId="73" fillId="17" borderId="7" xfId="0" applyFont="1" applyFill="1" applyBorder="1" applyAlignment="1">
      <alignment horizontal="center" vertical="center" wrapText="1"/>
    </xf>
    <xf numFmtId="2" fontId="75" fillId="0" borderId="41" xfId="0" applyNumberFormat="1" applyFont="1" applyBorder="1" applyAlignment="1">
      <alignment horizontal="left" vertical="center" wrapText="1"/>
    </xf>
    <xf numFmtId="2" fontId="75" fillId="0" borderId="43" xfId="0" applyNumberFormat="1" applyFont="1" applyBorder="1" applyAlignment="1">
      <alignment horizontal="left" vertical="center" wrapText="1"/>
    </xf>
    <xf numFmtId="1" fontId="75" fillId="0" borderId="0" xfId="0" applyNumberFormat="1" applyFont="1" applyAlignment="1">
      <alignment horizontal="right" vertical="center"/>
    </xf>
    <xf numFmtId="1" fontId="74" fillId="0" borderId="0" xfId="0" applyNumberFormat="1" applyFont="1" applyAlignment="1">
      <alignment horizontal="right" vertical="center"/>
    </xf>
    <xf numFmtId="0" fontId="72" fillId="0" borderId="6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/>
    <xf numFmtId="2" fontId="75" fillId="0" borderId="0" xfId="0" applyNumberFormat="1" applyFont="1" applyAlignment="1">
      <alignment horizontal="right" vertical="center"/>
    </xf>
    <xf numFmtId="0" fontId="74" fillId="0" borderId="0" xfId="0" applyFont="1" applyAlignment="1">
      <alignment horizontal="right" vertical="center"/>
    </xf>
    <xf numFmtId="0" fontId="72" fillId="0" borderId="0" xfId="0" applyFont="1" applyAlignment="1">
      <alignment horizontal="left"/>
    </xf>
    <xf numFmtId="0" fontId="75" fillId="0" borderId="0" xfId="0" applyFont="1" applyAlignment="1">
      <alignment horizontal="right" vertical="center"/>
    </xf>
    <xf numFmtId="0" fontId="72" fillId="0" borderId="0" xfId="0" applyFont="1" applyAlignment="1">
      <alignment horizontal="left" vertical="center"/>
    </xf>
    <xf numFmtId="164" fontId="75" fillId="0" borderId="0" xfId="0" applyNumberFormat="1" applyFont="1" applyAlignment="1">
      <alignment horizontal="right" vertical="center"/>
    </xf>
    <xf numFmtId="164" fontId="74" fillId="0" borderId="0" xfId="0" applyNumberFormat="1" applyFont="1" applyAlignment="1">
      <alignment horizontal="right" vertical="center"/>
    </xf>
    <xf numFmtId="0" fontId="72" fillId="0" borderId="0" xfId="0" applyFont="1" applyAlignment="1">
      <alignment horizontal="left" wrapText="1"/>
    </xf>
    <xf numFmtId="49" fontId="74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/>
    </xf>
    <xf numFmtId="164" fontId="73" fillId="0" borderId="0" xfId="0" applyNumberFormat="1" applyFont="1" applyAlignment="1">
      <alignment horizontal="left"/>
    </xf>
    <xf numFmtId="164" fontId="72" fillId="0" borderId="0" xfId="0" applyNumberFormat="1" applyFont="1" applyAlignment="1">
      <alignment horizontal="left"/>
    </xf>
    <xf numFmtId="0" fontId="64" fillId="0" borderId="34" xfId="0" applyFont="1" applyBorder="1" applyAlignment="1">
      <alignment horizontal="left" vertical="top" wrapText="1"/>
    </xf>
    <xf numFmtId="0" fontId="64" fillId="0" borderId="33" xfId="0" applyFont="1" applyBorder="1" applyAlignment="1">
      <alignment horizontal="left" vertical="top" wrapText="1"/>
    </xf>
    <xf numFmtId="0" fontId="64" fillId="0" borderId="32" xfId="0" applyFont="1" applyBorder="1" applyAlignment="1">
      <alignment horizontal="left" vertical="top" wrapText="1"/>
    </xf>
    <xf numFmtId="0" fontId="8" fillId="0" borderId="6" xfId="3" applyBorder="1" applyAlignment="1">
      <alignment horizontal="left" vertical="top" indent="2"/>
    </xf>
    <xf numFmtId="0" fontId="8" fillId="0" borderId="1" xfId="3" applyBorder="1" applyAlignment="1">
      <alignment horizontal="right" vertical="top"/>
    </xf>
    <xf numFmtId="0" fontId="8" fillId="0" borderId="15" xfId="3" applyBorder="1" applyAlignment="1">
      <alignment horizontal="right" vertical="top"/>
    </xf>
    <xf numFmtId="0" fontId="8" fillId="0" borderId="16" xfId="3" applyBorder="1" applyAlignment="1">
      <alignment horizontal="right" vertical="top"/>
    </xf>
    <xf numFmtId="0" fontId="24" fillId="0" borderId="2" xfId="3" applyFont="1" applyBorder="1" applyAlignment="1">
      <alignment horizontal="left" vertical="top"/>
    </xf>
    <xf numFmtId="0" fontId="8" fillId="0" borderId="4" xfId="3" applyBorder="1" applyAlignment="1">
      <alignment horizontal="left" vertical="top"/>
    </xf>
    <xf numFmtId="0" fontId="23" fillId="0" borderId="6" xfId="3" applyFont="1" applyBorder="1" applyAlignment="1">
      <alignment horizontal="left" vertical="top" indent="2"/>
    </xf>
    <xf numFmtId="0" fontId="52" fillId="0" borderId="6" xfId="9" applyFont="1" applyBorder="1" applyAlignment="1">
      <alignment horizontal="left" vertical="top" wrapText="1"/>
    </xf>
    <xf numFmtId="0" fontId="23" fillId="0" borderId="6" xfId="9" applyFont="1" applyBorder="1" applyAlignment="1">
      <alignment horizontal="left" vertical="top" indent="2"/>
    </xf>
    <xf numFmtId="0" fontId="24" fillId="0" borderId="1" xfId="9" applyFont="1" applyBorder="1" applyAlignment="1">
      <alignment horizontal="right" vertical="top"/>
    </xf>
    <xf numFmtId="0" fontId="24" fillId="0" borderId="15" xfId="9" applyFont="1" applyBorder="1" applyAlignment="1">
      <alignment horizontal="right" vertical="top"/>
    </xf>
    <xf numFmtId="0" fontId="24" fillId="0" borderId="16" xfId="9" applyFont="1" applyBorder="1" applyAlignment="1">
      <alignment horizontal="right" vertical="top"/>
    </xf>
    <xf numFmtId="0" fontId="28" fillId="0" borderId="6" xfId="9" applyFont="1" applyBorder="1" applyAlignment="1">
      <alignment horizontal="left" vertical="top" indent="2"/>
    </xf>
    <xf numFmtId="0" fontId="23" fillId="0" borderId="2" xfId="9" applyFont="1" applyBorder="1" applyAlignment="1">
      <alignment horizontal="left" vertical="top"/>
    </xf>
    <xf numFmtId="0" fontId="23" fillId="0" borderId="4" xfId="9" applyFont="1" applyBorder="1" applyAlignment="1">
      <alignment horizontal="left" vertical="top"/>
    </xf>
    <xf numFmtId="0" fontId="29" fillId="0" borderId="6" xfId="9" applyFont="1" applyBorder="1" applyAlignment="1">
      <alignment horizontal="left" vertical="top" indent="3"/>
    </xf>
    <xf numFmtId="0" fontId="24" fillId="0" borderId="2" xfId="9" applyFont="1" applyBorder="1" applyAlignment="1">
      <alignment horizontal="left" vertical="top"/>
    </xf>
    <xf numFmtId="0" fontId="24" fillId="0" borderId="4" xfId="9" applyFont="1" applyBorder="1" applyAlignment="1">
      <alignment horizontal="left" vertical="top"/>
    </xf>
    <xf numFmtId="0" fontId="24" fillId="0" borderId="2" xfId="9" applyFont="1" applyBorder="1" applyAlignment="1">
      <alignment horizontal="right" vertical="top"/>
    </xf>
    <xf numFmtId="0" fontId="24" fillId="0" borderId="3" xfId="9" applyFont="1" applyBorder="1" applyAlignment="1">
      <alignment horizontal="right" vertical="top"/>
    </xf>
    <xf numFmtId="0" fontId="24" fillId="0" borderId="4" xfId="9" applyFont="1" applyBorder="1" applyAlignment="1">
      <alignment horizontal="right" vertical="top"/>
    </xf>
    <xf numFmtId="0" fontId="24" fillId="0" borderId="6" xfId="9" applyFont="1" applyBorder="1" applyAlignment="1">
      <alignment horizontal="left" vertical="top" indent="3"/>
    </xf>
    <xf numFmtId="0" fontId="52" fillId="0" borderId="6" xfId="9" applyFont="1" applyBorder="1" applyAlignment="1">
      <alignment horizontal="left" vertical="top"/>
    </xf>
    <xf numFmtId="0" fontId="29" fillId="0" borderId="3" xfId="9" applyFont="1" applyBorder="1" applyAlignment="1">
      <alignment horizontal="left" vertical="center" wrapText="1"/>
    </xf>
    <xf numFmtId="0" fontId="29" fillId="0" borderId="1" xfId="9" applyFont="1" applyBorder="1" applyAlignment="1">
      <alignment horizontal="right" wrapText="1"/>
    </xf>
    <xf numFmtId="0" fontId="29" fillId="0" borderId="6" xfId="9" applyFont="1" applyBorder="1" applyAlignment="1">
      <alignment horizontal="left" vertical="top" indent="2"/>
    </xf>
    <xf numFmtId="0" fontId="24" fillId="0" borderId="6" xfId="9" applyFont="1" applyBorder="1" applyAlignment="1">
      <alignment horizontal="left" vertical="top" indent="2"/>
    </xf>
    <xf numFmtId="1" fontId="24" fillId="0" borderId="17" xfId="9" applyNumberFormat="1" applyFont="1" applyBorder="1" applyAlignment="1">
      <alignment horizontal="left" vertical="top"/>
    </xf>
    <xf numFmtId="1" fontId="24" fillId="0" borderId="18" xfId="9" applyNumberFormat="1" applyFont="1" applyBorder="1" applyAlignment="1">
      <alignment horizontal="left" vertical="top"/>
    </xf>
    <xf numFmtId="1" fontId="24" fillId="0" borderId="17" xfId="9" applyNumberFormat="1" applyFont="1" applyBorder="1" applyAlignment="1">
      <alignment horizontal="center" vertical="top"/>
    </xf>
    <xf numFmtId="1" fontId="24" fillId="0" borderId="18" xfId="9" applyNumberFormat="1" applyFont="1" applyBorder="1" applyAlignment="1">
      <alignment horizontal="center" vertical="top"/>
    </xf>
    <xf numFmtId="0" fontId="24" fillId="0" borderId="17" xfId="9" applyFont="1" applyBorder="1" applyAlignment="1">
      <alignment horizontal="center" vertical="top"/>
    </xf>
    <xf numFmtId="0" fontId="24" fillId="0" borderId="18" xfId="9" applyFont="1" applyBorder="1" applyAlignment="1">
      <alignment horizontal="center" vertical="top"/>
    </xf>
    <xf numFmtId="2" fontId="24" fillId="0" borderId="17" xfId="9" applyNumberFormat="1" applyFont="1" applyBorder="1" applyAlignment="1">
      <alignment horizontal="center" vertical="top"/>
    </xf>
    <xf numFmtId="2" fontId="24" fillId="0" borderId="18" xfId="9" applyNumberFormat="1" applyFont="1" applyBorder="1" applyAlignment="1">
      <alignment horizontal="center" vertical="top"/>
    </xf>
    <xf numFmtId="2" fontId="24" fillId="0" borderId="17" xfId="9" applyNumberFormat="1" applyFont="1" applyBorder="1" applyAlignment="1">
      <alignment horizontal="right" vertical="top"/>
    </xf>
    <xf numFmtId="2" fontId="24" fillId="0" borderId="18" xfId="9" applyNumberFormat="1" applyFont="1" applyBorder="1" applyAlignment="1">
      <alignment horizontal="right" vertical="top"/>
    </xf>
    <xf numFmtId="167" fontId="24" fillId="0" borderId="17" xfId="9" applyNumberFormat="1" applyFont="1" applyBorder="1" applyAlignment="1">
      <alignment horizontal="right" vertical="top"/>
    </xf>
    <xf numFmtId="167" fontId="24" fillId="0" borderId="18" xfId="9" applyNumberFormat="1" applyFont="1" applyBorder="1" applyAlignment="1">
      <alignment horizontal="right" vertical="top"/>
    </xf>
    <xf numFmtId="0" fontId="64" fillId="0" borderId="0" xfId="0" applyFont="1" applyAlignment="1">
      <alignment horizontal="left" vertical="top"/>
    </xf>
    <xf numFmtId="0" fontId="0" fillId="0" borderId="37" xfId="0" applyBorder="1" applyAlignment="1">
      <alignment horizontal="justify" vertical="top" wrapText="1"/>
    </xf>
    <xf numFmtId="0" fontId="65" fillId="0" borderId="7" xfId="0" applyFont="1" applyBorder="1" applyAlignment="1">
      <alignment horizontal="center" vertical="center"/>
    </xf>
    <xf numFmtId="0" fontId="64" fillId="0" borderId="29" xfId="0" applyFont="1" applyBorder="1" applyAlignment="1">
      <alignment horizontal="left" vertical="top" wrapText="1"/>
    </xf>
    <xf numFmtId="0" fontId="67" fillId="0" borderId="5" xfId="0" applyFont="1" applyBorder="1" applyAlignment="1">
      <alignment horizontal="left" vertical="center" wrapText="1"/>
    </xf>
    <xf numFmtId="0" fontId="67" fillId="0" borderId="5" xfId="0" applyFont="1" applyBorder="1" applyAlignment="1">
      <alignment vertical="center" wrapText="1"/>
    </xf>
    <xf numFmtId="0" fontId="67" fillId="0" borderId="5" xfId="0" applyFont="1" applyBorder="1" applyAlignment="1">
      <alignment vertical="top" wrapText="1"/>
    </xf>
    <xf numFmtId="0" fontId="65" fillId="0" borderId="0" xfId="34" applyFont="1" applyAlignment="1">
      <alignment horizontal="left" vertical="center" wrapText="1"/>
    </xf>
    <xf numFmtId="0" fontId="69" fillId="0" borderId="0" xfId="34" applyAlignment="1">
      <alignment horizontal="left" vertical="center"/>
    </xf>
    <xf numFmtId="0" fontId="64" fillId="0" borderId="0" xfId="34" applyFont="1" applyAlignment="1">
      <alignment horizontal="left" vertical="top" wrapText="1"/>
    </xf>
    <xf numFmtId="0" fontId="68" fillId="0" borderId="0" xfId="34" applyFont="1" applyAlignment="1">
      <alignment horizontal="left"/>
    </xf>
    <xf numFmtId="0" fontId="67" fillId="0" borderId="5" xfId="34" applyFont="1" applyBorder="1" applyAlignment="1">
      <alignment horizontal="left" vertical="center" wrapText="1"/>
    </xf>
    <xf numFmtId="0" fontId="67" fillId="0" borderId="5" xfId="34" applyFont="1" applyBorder="1" applyAlignment="1">
      <alignment vertical="center" wrapText="1"/>
    </xf>
    <xf numFmtId="0" fontId="67" fillId="0" borderId="5" xfId="34" applyFont="1" applyBorder="1" applyAlignment="1">
      <alignment vertical="top" wrapText="1"/>
    </xf>
    <xf numFmtId="0" fontId="65" fillId="0" borderId="7" xfId="34" applyFont="1" applyBorder="1" applyAlignment="1">
      <alignment horizontal="center" vertical="center"/>
    </xf>
    <xf numFmtId="0" fontId="65" fillId="16" borderId="29" xfId="34" applyFont="1" applyFill="1" applyBorder="1" applyAlignment="1">
      <alignment horizontal="right" vertical="center" wrapText="1"/>
    </xf>
    <xf numFmtId="0" fontId="64" fillId="0" borderId="0" xfId="34" applyFont="1" applyAlignment="1">
      <alignment wrapText="1"/>
    </xf>
    <xf numFmtId="0" fontId="65" fillId="0" borderId="0" xfId="34" applyFont="1" applyAlignment="1">
      <alignment wrapText="1"/>
    </xf>
    <xf numFmtId="0" fontId="64" fillId="0" borderId="0" xfId="34" applyFont="1" applyAlignment="1">
      <alignment horizontal="left" vertical="center" wrapText="1"/>
    </xf>
    <xf numFmtId="0" fontId="64" fillId="0" borderId="34" xfId="34" applyFont="1" applyBorder="1" applyAlignment="1">
      <alignment horizontal="left" vertical="top" wrapText="1"/>
    </xf>
    <xf numFmtId="0" fontId="64" fillId="0" borderId="33" xfId="34" applyFont="1" applyBorder="1" applyAlignment="1">
      <alignment horizontal="left" vertical="top" wrapText="1"/>
    </xf>
    <xf numFmtId="0" fontId="64" fillId="0" borderId="32" xfId="34" applyFont="1" applyBorder="1" applyAlignment="1">
      <alignment horizontal="left" vertical="top" wrapText="1"/>
    </xf>
    <xf numFmtId="0" fontId="65" fillId="0" borderId="31" xfId="34" applyFont="1" applyBorder="1" applyAlignment="1">
      <alignment horizontal="right" vertical="center"/>
    </xf>
    <xf numFmtId="0" fontId="29" fillId="0" borderId="36" xfId="34" applyFont="1" applyBorder="1" applyAlignment="1">
      <alignment horizontal="left" vertical="top" wrapText="1"/>
    </xf>
    <xf numFmtId="0" fontId="29" fillId="0" borderId="3" xfId="34" applyFont="1" applyBorder="1" applyAlignment="1">
      <alignment horizontal="left" vertical="top" wrapText="1"/>
    </xf>
    <xf numFmtId="0" fontId="29" fillId="0" borderId="35" xfId="34" applyFont="1" applyBorder="1" applyAlignment="1">
      <alignment horizontal="left" vertical="top" wrapText="1"/>
    </xf>
    <xf numFmtId="0" fontId="64" fillId="0" borderId="0" xfId="34" applyFont="1" applyAlignment="1">
      <alignment horizontal="left" vertical="center"/>
    </xf>
    <xf numFmtId="0" fontId="64" fillId="0" borderId="0" xfId="34" applyFont="1" applyAlignment="1">
      <alignment horizontal="left" vertical="top"/>
    </xf>
    <xf numFmtId="0" fontId="69" fillId="0" borderId="37" xfId="34" applyBorder="1" applyAlignment="1">
      <alignment horizontal="justify" vertical="top" wrapText="1"/>
    </xf>
  </cellXfs>
  <cellStyles count="35">
    <cellStyle name="Гиперссылка 2" xfId="18" xr:uid="{CA8FF24E-9F6B-4975-9479-4E6A5F414420}"/>
    <cellStyle name="Гиперссылка 3" xfId="24" xr:uid="{372A9154-8BA0-42EB-910D-1CB0EAB5C079}"/>
    <cellStyle name="Денежный" xfId="1" builtinId="4"/>
    <cellStyle name="Обычный" xfId="0" builtinId="0"/>
    <cellStyle name="Обычный 11 3" xfId="9" xr:uid="{35303568-EA8D-4610-9277-9291F08C5250}"/>
    <cellStyle name="Обычный 17" xfId="15" xr:uid="{E66E7F78-2156-468D-AAC7-C49ED97E9C7C}"/>
    <cellStyle name="Обычный 17 2" xfId="17" xr:uid="{973D8301-2F8B-43AA-BA18-FC821A70C01C}"/>
    <cellStyle name="Обычный 17 3" xfId="27" xr:uid="{CF68B4CF-7306-451C-B70F-589905E2D3BB}"/>
    <cellStyle name="Обычный 18" xfId="19" xr:uid="{951FD2C0-8CC5-4709-8007-925C2FB97E41}"/>
    <cellStyle name="Обычный 18 2" xfId="25" xr:uid="{04975366-FABF-49E6-9670-71DB3FBFAB7A}"/>
    <cellStyle name="Обычный 18 3" xfId="26" xr:uid="{957F8D11-043B-4199-8C07-29D440B5EF8F}"/>
    <cellStyle name="Обычный 18 4" xfId="28" xr:uid="{120EE2B3-5DD4-484B-98A5-E73E46A153DB}"/>
    <cellStyle name="Обычный 2" xfId="3" xr:uid="{0DCEA94F-14B0-4FD4-B7BC-0D6A2ACCBA5B}"/>
    <cellStyle name="Обычный 2 10" xfId="14" xr:uid="{576C36F9-5F55-46D5-99DC-7263C1FA32B3}"/>
    <cellStyle name="Обычный 2 10 2" xfId="16" xr:uid="{87747E4E-3761-4B80-9088-916CE140664E}"/>
    <cellStyle name="Обычный 2 10 3" xfId="20" xr:uid="{10BA7182-2B05-4D2E-906B-13A93B3EF70D}"/>
    <cellStyle name="Обычный 2 11" xfId="21" xr:uid="{D5725A7D-99FD-4C0B-A990-F5658B9842DF}"/>
    <cellStyle name="Обычный 2 2" xfId="5" xr:uid="{0AB84B34-35FC-4195-8D25-8757AC7ADBF4}"/>
    <cellStyle name="Обычный 2 2 2" xfId="13" xr:uid="{9A286EC1-BCA2-4769-8AE8-54387C7CCD75}"/>
    <cellStyle name="Обычный 2 2 3" xfId="23" xr:uid="{DABC18A7-98CA-45EF-A423-2E6F6DE05E4C}"/>
    <cellStyle name="Обычный 2 3" xfId="22" xr:uid="{A97B9ED3-3F66-4E7E-BB10-72DA62B0BF5B}"/>
    <cellStyle name="Обычный 2 4 2" xfId="10" xr:uid="{E1B851C8-F0DF-4A8B-ABFA-05CBA04B64E7}"/>
    <cellStyle name="Обычный 2 6" xfId="7" xr:uid="{4FEBFF8F-A86C-4517-AA3E-5E9EC260D57B}"/>
    <cellStyle name="Обычный 2 7" xfId="6" xr:uid="{55BA91EE-60DD-4D00-8E8B-BA56303E8F31}"/>
    <cellStyle name="Обычный 2 8" xfId="8" xr:uid="{49956831-6433-4F6A-9811-A3001B19B5A6}"/>
    <cellStyle name="Обычный 2 9 2" xfId="12" xr:uid="{94E44B5B-838F-4DD1-B37E-C74C34A2B61E}"/>
    <cellStyle name="Обычный 3" xfId="4" xr:uid="{C52FC973-42F0-4841-8579-5B36E940954B}"/>
    <cellStyle name="Обычный 3 2" xfId="32" xr:uid="{96B35199-462E-4ED8-93BD-C8A68FF23506}"/>
    <cellStyle name="Обычный 4" xfId="11" xr:uid="{92986E68-0406-427D-B118-A61EA2095C05}"/>
    <cellStyle name="Обычный 5" xfId="29" xr:uid="{77EBDFD2-16D8-4B5B-89C4-CE241993E614}"/>
    <cellStyle name="Обычный 5 3" xfId="30" xr:uid="{B4F21B77-81F8-4438-A12C-B7B9E24C32BF}"/>
    <cellStyle name="Обычный 6" xfId="31" xr:uid="{FD3A939B-239E-4FC6-8BFA-28405BDB7F42}"/>
    <cellStyle name="Обычный 7" xfId="33" xr:uid="{D44A4B97-991C-4C4B-964E-A7F3B8F5B43C}"/>
    <cellStyle name="Обычный 8" xfId="34" xr:uid="{722E9A87-CB6C-45F6-9B14-7A7CB1354FDE}"/>
    <cellStyle name="Процентный" xfId="2" builtinId="5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rgb="FF92D050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scheme val="none"/>
      </font>
      <numFmt numFmtId="2" formatCode="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20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2D23F26-FA96-49D6-906E-68014D20BE2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7027DEC-D8E4-4B5D-BFE5-6CE7964DEB7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96086A8-931F-4904-8723-3930318A7F3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BF681E-D7ED-44BE-8885-0D2C44FD085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A7AC0F7-9505-4269-B8C1-1E4FB5E4C79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CD2C3F-65E4-4D10-BC17-1D4FEC9F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78ED4E6-705C-40CA-B778-4C17FE76A04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44E5124-B748-4FDA-80E1-A0CA76769C6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9AC9D01-148D-43C4-8D3A-65657D408E4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ED35712-CCCE-4500-8476-CA5B133A356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6BCA65A8-BD51-43F5-9079-B4B0B2B8DF0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762BF9F-AB96-4ADD-870F-2F57893D577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2186FE-468F-498F-8F83-AD1748CE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2E26B14-8304-4999-A732-F0B9D3F108B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8FCC355-F19E-479A-BE15-9E8ADEDB59C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31AA130-71AF-4FAA-9225-3EE1F7F65DF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73E99D52-36B0-4894-ABB3-95D0763CB18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37C6A34-A17E-4724-B609-389DE221CBE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758D4A71-7D11-4B64-B989-806674750B7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17D17C-A982-4C01-9CD4-CF9813CA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87D87EA-FDEB-4D7D-8464-DF4CEBEF1E5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CDEB493A-40D2-4A90-B050-04A0938582E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24C3A28-92D1-4943-BF1C-CDDD9DD6693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3CB43F1-276F-4131-9560-24CF1958260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0E94CA5-D04F-40CA-BF0C-6F44419DF10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BEB1AD4-3DC4-4D33-837B-5E5DC3359ED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36D7A5-6979-4EEF-A5CA-F3048244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0E1C1AA-0CAB-487A-AC60-5995E8E99180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C6FCC56-78FE-46E0-8111-C958B333AC5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B7EF471D-026B-4857-BE77-630E04409F1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4A2E8FE-8652-4056-9056-E4D65B9BC8D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47282C3-BC22-462D-91E2-70F267974EC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A7A8521-9CEC-4E64-B79E-B7E88F63EE5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0E93C3-7521-4D56-9E66-8735F450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A61B287-93F6-4099-8C3A-2DF375B066B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3EFFD7E-7EBB-41BB-9839-8E6C9BF2A62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93321C4-9E1C-4390-98D9-0231533C2885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58ABB684-4D11-42EE-AFD8-07660745FD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9BF8A4A7-20CB-445F-88AD-BCF2BBB553A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6705A5D4-B33F-41A7-AA9C-9969AAA7D34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46427213-8629-4DE1-B866-9267DD18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0F8B0AA9-9F96-456A-9CF6-6D7A8691CDB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820EA65-392E-48B4-AB37-412E801A722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1FDD4D5-5CBE-4DC5-9122-FC3A21E1639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9B599BCF-9718-4BA9-9363-65DE2EAEF1D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6D2E3C-DA1C-409A-B1C7-7FD5458CAD8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D9B223D-9802-4F98-923A-A5F2DF3EECE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0E69C5-3DDC-4B99-8DC1-A66ABE76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A343562-9316-4FBC-82CC-02AB8F71CA3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F91C3CD-8A21-4C10-B126-C557AEE9BFC2}"/>
            </a:ext>
          </a:extLst>
        </xdr:cNvPr>
        <xdr:cNvSpPr>
          <a:spLocks noChangeArrowheads="1"/>
        </xdr:cNvSpPr>
      </xdr:nvSpPr>
      <xdr:spPr bwMode="auto">
        <a:xfrm>
          <a:off x="590550" y="1857375"/>
          <a:ext cx="1185099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 г.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E0299C1-1392-4464-B9B3-48F3D8867A8C}"/>
            </a:ext>
          </a:extLst>
        </xdr:cNvPr>
        <xdr:cNvSpPr>
          <a:spLocks noChangeArrowheads="1"/>
        </xdr:cNvSpPr>
      </xdr:nvSpPr>
      <xdr:spPr bwMode="auto">
        <a:xfrm>
          <a:off x="1769745" y="1857375"/>
          <a:ext cx="222119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7C49B75-7661-4E0B-AD11-DBE0134C9B2F}"/>
            </a:ext>
          </a:extLst>
        </xdr:cNvPr>
        <xdr:cNvSpPr>
          <a:spLocks noChangeArrowheads="1"/>
        </xdr:cNvSpPr>
      </xdr:nvSpPr>
      <xdr:spPr bwMode="auto">
        <a:xfrm>
          <a:off x="4061460" y="1857375"/>
          <a:ext cx="605790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8B1F122-0D7C-4E44-B07F-FDE9BF1FD7AF}"/>
            </a:ext>
          </a:extLst>
        </xdr:cNvPr>
        <xdr:cNvSpPr>
          <a:spLocks noChangeArrowheads="1"/>
        </xdr:cNvSpPr>
      </xdr:nvSpPr>
      <xdr:spPr bwMode="auto">
        <a:xfrm>
          <a:off x="6878955" y="1866900"/>
          <a:ext cx="79427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DE72F00-1DAE-4CA2-9246-FE51727B0F99}"/>
            </a:ext>
          </a:extLst>
        </xdr:cNvPr>
        <xdr:cNvSpPr>
          <a:spLocks noChangeArrowheads="1"/>
        </xdr:cNvSpPr>
      </xdr:nvSpPr>
      <xdr:spPr bwMode="auto">
        <a:xfrm>
          <a:off x="4726305" y="1857375"/>
          <a:ext cx="958286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70BE15-866D-47AB-BF2F-27012F000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0965526-691A-4708-9186-0798D1BAE7ED}"/>
            </a:ext>
          </a:extLst>
        </xdr:cNvPr>
        <xdr:cNvSpPr>
          <a:spLocks noChangeArrowheads="1"/>
        </xdr:cNvSpPr>
      </xdr:nvSpPr>
      <xdr:spPr bwMode="auto">
        <a:xfrm>
          <a:off x="5755005" y="1857375"/>
          <a:ext cx="1034448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E021E974-E54A-4238-A132-585FAAB78AA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629EF035-7CB0-4FCB-9EB6-39F68D7296B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4D40321-D870-4D47-A91E-6CC0892552A3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1F85D8F8-EF9B-412D-8550-968172669C9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DBA1054C-63E5-40A0-881A-B9C5403604B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ED8230-AA3E-4B3F-BF66-7E8BF735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D492C85C-1DC1-4DAD-8DBB-E2634C61322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6A1F6860-EB74-4EE6-B7DC-B31B7C8E5D3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4EFCA5D8-E4A9-40FF-B9B9-26F05D40804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FD4002E6-34D3-475F-AA40-789C17150E5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EC6A6C29-5C7C-4B38-8D5C-1B29905C260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EC6D99EC-C534-4A9C-98C3-3EA2871BDBD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F6326B10-D737-479E-9E10-8659282AE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60F49C9D-152F-4EF4-8E38-DCE5A190AD4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74D6C1B-9EE6-4038-8590-C965F512B9F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B4D7B01-7164-44C2-9DEC-3772A278C8F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14DEF50-B0E0-4227-ACC0-B614DE6F809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5A05BD9-F924-4750-81A3-A7B6F66B35B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83057A0-F6BC-429E-A792-87E5994924F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8A5E35-EBA4-4D8C-9650-9DB82382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DE93C9E-07CB-4E2C-A7F6-FC4CF074654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F1ACFDAB-BBD0-41CC-AB35-107B0433576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695325</xdr:colOff>
      <xdr:row>13</xdr:row>
      <xdr:rowOff>28575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59F6306D-CEFE-4AD7-902D-0756BB641D59}"/>
            </a:ext>
          </a:extLst>
        </xdr:cNvPr>
        <xdr:cNvSpPr>
          <a:spLocks noChangeArrowheads="1"/>
        </xdr:cNvSpPr>
      </xdr:nvSpPr>
      <xdr:spPr bwMode="auto">
        <a:xfrm>
          <a:off x="1771650" y="2505075"/>
          <a:ext cx="2219290" cy="352425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AF0877A3-0A3C-4CF5-A23F-D242734EA84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0B054560-0404-4D7A-821E-41182232B7F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BEDCC81F-12E5-44DC-9DBF-69E1882D59B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4802CAF-ED54-401D-8582-1D479410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A86766B4-CA70-43E6-956F-E4EABE35427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A588D216-83D0-44E9-A195-40CE8273F17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1E3DEDEF-D532-4B83-A380-C3503BE78CAE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8D12943-941D-44DF-8947-D06CBEEAB68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AE172BC-B448-4E6F-BCBA-0D6C4F95A56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6EE0E76-2927-469A-987B-4F8E7E8091B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DAD408-F302-46E9-BD00-65EEC38F8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E92D4596-2BF9-41F9-AAD8-00EBA0131A6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206013C-EBC2-4ED7-8C3E-83FC9D578C3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25FDDF2-4A58-46C5-8DEC-2AB7746D26C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9A1E3B8-3E14-473D-8AA1-CA8BC7604BAD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88D84F0C-99C9-4149-9EA7-2B264242FFB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A8C0C8C3-7B47-44B5-8735-72A4B3802DB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7EE44D-0EF2-4BC0-843A-95041AB4A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DEC6AC3-48B2-48D5-A4BF-7DAB9B2245A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90643E6-AC03-402D-BE2C-24F7DB46D37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B6ED80A-8EA5-4FF4-9B34-2F782337FA1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2F74E46-7E98-4230-9278-D3DFB6CCFAA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C0CFE13-B6A1-4DF3-9D69-E462938B40D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0DCD87A-49CA-4FAC-96E5-14CD7F0F53B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AAC133-4358-4CD8-869A-819FC667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E6A24E1E-0C3A-4C96-ABCE-C7663F129FC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663B5FF0-ABFE-436D-BB10-E1A0319B364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D0ADD8AA-C386-43B2-BD02-2B39A2B293B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E50800FD-096B-45EF-BC5C-B7B5223AA2B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FF8B706A-5997-4D66-80C6-30843506538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E2AA74EA-3DEF-4B43-A88C-AB45ADD9A48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96220E3F-9334-49C9-812E-056424BD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9A355752-B14E-4E2D-A5C4-D910D35519F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DC000F1-9A49-400D-9070-1029DD02D14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A992658-0B8E-432A-96CA-637C73ACAD8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7566ED6-B4E7-4EC1-989C-AF85AED6E7A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22D2DAE-0611-4BD1-BE6E-1AA57A29955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E224EA9-90B3-48F7-8DA4-7E5A2FF8148C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AEF6AF-173E-4AD3-A754-12CF4FF7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668621B-9EB8-43A8-A4A2-7075B7C9B28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56AC0D13-18CB-4B93-8E26-FBBC60A2CB1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F65C8EC0-3979-4D2C-BBF8-1FD033CE9D9C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B2B122C7-79AC-4237-A296-485AADE64D0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3DF9CF82-F699-4B62-AEB0-9347979B67F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CE3D0752-F3E5-429E-AD4C-CB3170DFFDE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51F62CA8-FEC0-45CA-B857-0D58DF164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A92B12A8-BFD0-43EF-93C7-240FD7E1EAC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0CC620A-D4F9-4035-A775-5A24191D4EA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0B25457-8DD3-4A9E-9A67-C8E92B2736A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97FE450-5E58-48C2-A536-E462D47AD9F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A0D91574-23A5-46BF-BF2C-16CD905D98D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FC2BC942-762B-4568-8B01-2E6D62DC0DB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C500FB-DB09-4719-9C8F-F918B1E1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A879C630-B6E5-4848-A248-B200243F264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8245D7A-45D8-4EFA-B7A2-F7219A1BAAF5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8E4F88A-23BC-4E1F-B774-21F2AAB9B7A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2BEC0861-3892-485F-9210-4C4B42E9B05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CDC0FF01-C25C-4A2E-80D0-E019916764A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0867A92-27A2-4A6B-88C4-E7C67FC283D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EC4C86-DC4A-40A0-926D-9E8D6D898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822D604-4894-4B03-BFD0-45C02F2B076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5805429C-9285-4CD3-8915-EA27D667331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E2F2B79-CF6A-4D2C-8663-751F7A0CE97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940B9B91-044A-421F-B52A-5A5DB318F39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B309FE8A-2A3A-4B2E-9FBA-C078BAEF8D4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08A1D70A-CC7F-43C5-9D7E-5D21A97F403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251BDD3C-59F5-4832-B550-2AAFA75B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049FA9E6-480C-4E1A-8CD1-E10DEA8732A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3B5437A-9DC4-4F05-9C76-54C4CFC05396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08D74AB-BFE8-4736-B0F1-75BBFA0719D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89DB125E-DE07-48A5-B0A8-E30C379860A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6FDDB04-4F34-439D-8BB0-5B245FF69CB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E0B4A975-C391-4DFF-84A0-1E78A015F3E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8FFB2F-2E3E-4348-A906-D9BEAB735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21C2203-BC81-4C3F-96A6-687ED96AB0D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9DCEE5C2-1F87-45F4-98F3-2B0EA80BD51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C99AE051-F61C-45AF-8CD3-EF1FAAE23D4A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E80F8A27-1909-4181-A9FF-815FACC86E1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89A509AC-BD38-4C58-8128-48170AD52CC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5D5C9CEE-00A9-47BC-8A14-ABC8DFE1260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4513924A-D3E2-4858-94CA-F011E2FEE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17E95AB0-03F4-457D-B2F7-2576E5E88B9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5EFF431-3E07-43A8-9E6E-A3C8FA180AD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8F8C58F-7700-47A8-AD9E-D0113A9B1B0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5F05384D-5E3D-4A59-805A-5480AD7A658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7B076AD-C404-486F-81DA-5347B06AC2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EF15788D-B085-42A6-9648-A2F4A357931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B581B2-57DD-470E-92D0-9A62CBC6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405190E-485C-43CD-B413-322A1D12936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C06E728-BB2A-4C3D-A51B-C884C44904C8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.01.2026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3A5B912-483E-4C45-AA74-EDDDAD2BDDD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81E0154-60FA-4438-AA4D-9DAA5481458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2BE5885-F037-4219-AC9F-98E596657D4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32EE6DC4-EFA4-4A3E-9266-AE5837DA274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F738BC-AD98-4E23-96B7-4EE46B62A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CDA37FC-A82C-4F2A-817C-B0C19789A07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CA12DC1-CA33-41F0-9E73-22C30E49A9C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159FC21-8E58-4A2D-97E4-0E80BFD3A7E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42E50951-3F47-4895-9576-EC1108B7C41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4A79CBC-35E0-4457-93C2-0145B953C5CB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79C9DB5-3C40-4C57-937A-AC16A63B9ED7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149110-AD4D-46EB-B830-BF246C92F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539F3C1-3B17-44F9-98CD-AE193A40BFD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F2E757F6-651B-48BE-A72B-65A87A9E0A0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B1F70AB4-0E11-4FDF-B0E7-B59F3740CA9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22283E9A-4C4D-471B-9B71-75365137F59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305532BF-B282-4C3B-89CB-CA5ADDCDFEB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A15DF042-89F0-4F91-9B46-8097EB738F2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E62E934A-DD58-467C-9142-D8A946D32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CEBD9C07-F913-47AE-A239-B5C08D0D837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5066F7B7-191D-4BB3-B5EA-FD08B21BC4F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BC4D1650-62B3-4758-A1B0-4A8ACD342120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7101FB1C-03CF-44CC-AAC0-E453CAA4FF59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67C97DCF-AC4B-46F6-9594-2E90EE29AA8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5619B8C8-7641-4294-9C98-4F0FD4391E2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1B182E9D-4AC1-441E-999E-24032A583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1DDD8671-A78E-44DC-B927-50B02BFCFD7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3" name="Rectangle 1">
          <a:extLst>
            <a:ext uri="{FF2B5EF4-FFF2-40B4-BE49-F238E27FC236}">
              <a16:creationId xmlns:a16="http://schemas.microsoft.com/office/drawing/2014/main" id="{3C46A793-0902-455C-A507-91CD8D91FC8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24" name="Rectangle 2">
          <a:extLst>
            <a:ext uri="{FF2B5EF4-FFF2-40B4-BE49-F238E27FC236}">
              <a16:creationId xmlns:a16="http://schemas.microsoft.com/office/drawing/2014/main" id="{EB26BCA4-2387-4953-A224-EBA6C97C672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25" name="Rectangle 3">
          <a:extLst>
            <a:ext uri="{FF2B5EF4-FFF2-40B4-BE49-F238E27FC236}">
              <a16:creationId xmlns:a16="http://schemas.microsoft.com/office/drawing/2014/main" id="{F1FAE106-0DFA-4FA8-BDBA-FAB2AC250D9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26" name="Rectangle 4">
          <a:extLst>
            <a:ext uri="{FF2B5EF4-FFF2-40B4-BE49-F238E27FC236}">
              <a16:creationId xmlns:a16="http://schemas.microsoft.com/office/drawing/2014/main" id="{74939700-9500-48BE-ACFF-BE3FBBE904C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7" name="Rectangle 5">
          <a:extLst>
            <a:ext uri="{FF2B5EF4-FFF2-40B4-BE49-F238E27FC236}">
              <a16:creationId xmlns:a16="http://schemas.microsoft.com/office/drawing/2014/main" id="{50AA6C23-0DE8-4350-BE1C-A8A6B82F411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A5209235-0FDD-4CEB-96A8-0A3687C4E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9" name="Rectangle 7">
          <a:extLst>
            <a:ext uri="{FF2B5EF4-FFF2-40B4-BE49-F238E27FC236}">
              <a16:creationId xmlns:a16="http://schemas.microsoft.com/office/drawing/2014/main" id="{BB6CCEA5-2395-437A-85C3-04204E8CB3E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30" name="Rectangle 1">
          <a:extLst>
            <a:ext uri="{FF2B5EF4-FFF2-40B4-BE49-F238E27FC236}">
              <a16:creationId xmlns:a16="http://schemas.microsoft.com/office/drawing/2014/main" id="{C8C8719C-E918-4359-8B21-31CE7B4CB49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13.11.2025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1" name="Rectangle 2">
          <a:extLst>
            <a:ext uri="{FF2B5EF4-FFF2-40B4-BE49-F238E27FC236}">
              <a16:creationId xmlns:a16="http://schemas.microsoft.com/office/drawing/2014/main" id="{0671C789-EAD0-4170-A48C-DA7866C4349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32" name="Rectangle 3">
          <a:extLst>
            <a:ext uri="{FF2B5EF4-FFF2-40B4-BE49-F238E27FC236}">
              <a16:creationId xmlns:a16="http://schemas.microsoft.com/office/drawing/2014/main" id="{FBB4BBC7-B9B8-4E33-878C-A81DB9BF9E58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33" name="Rectangle 4">
          <a:extLst>
            <a:ext uri="{FF2B5EF4-FFF2-40B4-BE49-F238E27FC236}">
              <a16:creationId xmlns:a16="http://schemas.microsoft.com/office/drawing/2014/main" id="{983C693D-FCE3-4DA7-9C06-A50A2C236F59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34" name="Rectangle 5">
          <a:extLst>
            <a:ext uri="{FF2B5EF4-FFF2-40B4-BE49-F238E27FC236}">
              <a16:creationId xmlns:a16="http://schemas.microsoft.com/office/drawing/2014/main" id="{4966D33B-C08E-49B2-BC81-7558C58B3A02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35" name="Picture 6">
          <a:extLst>
            <a:ext uri="{FF2B5EF4-FFF2-40B4-BE49-F238E27FC236}">
              <a16:creationId xmlns:a16="http://schemas.microsoft.com/office/drawing/2014/main" id="{1FD25E00-1DA0-4F40-954E-0C2918A7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36" name="Rectangle 7">
          <a:extLst>
            <a:ext uri="{FF2B5EF4-FFF2-40B4-BE49-F238E27FC236}">
              <a16:creationId xmlns:a16="http://schemas.microsoft.com/office/drawing/2014/main" id="{A9E9AF06-E5CF-4DAF-A5C0-FCBE66C60CE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C8C88CD-A621-4D54-9DC8-529C2743099A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E7BFEE79-D259-4153-AEE5-1B1D44132FB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6A0100D-AFD3-4E02-AF8C-331C552FF6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FB303E7B-BC91-44FB-A76B-864FF5F9D55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06A237F-EF87-4CAF-8CD3-DF3C81568DA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072D62-80BC-456D-B2B6-EA9423CC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3C19C7B5-CF2E-4BD7-866B-994B614ABE2D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448FB20-F328-4B3F-A052-B8AE9054024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1D243CDD-B832-4A23-9A8B-71C283C1B68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53E867BF-EAC3-4B5F-8555-9669C5AB63D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A58769E4-B63F-473F-9571-852F55AF9EB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1C263EDB-A6C6-46FB-9810-4D98684E35A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0F58EFA-592A-4BF9-958E-0C54895F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B2F11584-3589-4690-BE73-E0C732864A62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67CCC056-6DD0-405A-BCAF-97D02D124EB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FEF5D63E-05D0-4A75-A448-4E2BE5D3E98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A74A1188-1D49-4A72-822B-501C5E3C7C1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71C16D6B-BF20-492A-A460-ECC01AA81588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0E5F06D2-F42F-43BC-B237-3844F17D4E90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32FAF409-690A-4820-9DFE-0DBC8D1B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1D1411A4-FAFA-4FB6-AA6A-3AF9645D0BEB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3" name="Rectangle 1">
          <a:extLst>
            <a:ext uri="{FF2B5EF4-FFF2-40B4-BE49-F238E27FC236}">
              <a16:creationId xmlns:a16="http://schemas.microsoft.com/office/drawing/2014/main" id="{81EDA69D-BF7B-47CB-9044-453C47C8568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12.11.2025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24" name="Rectangle 2">
          <a:extLst>
            <a:ext uri="{FF2B5EF4-FFF2-40B4-BE49-F238E27FC236}">
              <a16:creationId xmlns:a16="http://schemas.microsoft.com/office/drawing/2014/main" id="{1549A2A4-E53E-49A5-AE83-78B752D3ACD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25" name="Rectangle 3">
          <a:extLst>
            <a:ext uri="{FF2B5EF4-FFF2-40B4-BE49-F238E27FC236}">
              <a16:creationId xmlns:a16="http://schemas.microsoft.com/office/drawing/2014/main" id="{B7502B81-B665-431A-A961-5977F96F672C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26" name="Rectangle 4">
          <a:extLst>
            <a:ext uri="{FF2B5EF4-FFF2-40B4-BE49-F238E27FC236}">
              <a16:creationId xmlns:a16="http://schemas.microsoft.com/office/drawing/2014/main" id="{6F61A163-1EA4-4735-AAF1-6AE7E85DDA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7" name="Rectangle 5">
          <a:extLst>
            <a:ext uri="{FF2B5EF4-FFF2-40B4-BE49-F238E27FC236}">
              <a16:creationId xmlns:a16="http://schemas.microsoft.com/office/drawing/2014/main" id="{22DB84D1-F6F8-491A-B062-3D03DFAEBDCA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5E49ABEC-D362-4404-8963-94ABAD507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9" name="Rectangle 7">
          <a:extLst>
            <a:ext uri="{FF2B5EF4-FFF2-40B4-BE49-F238E27FC236}">
              <a16:creationId xmlns:a16="http://schemas.microsoft.com/office/drawing/2014/main" id="{00B4FE8F-73B6-4683-A27C-30FCA214F00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215E18F5-519E-42DE-A97C-1E6DE862E01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916A4E31-CF47-418D-9B56-C5BBFB263B7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FC9F5CA1-6A82-48DA-B067-7322A19643A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49937514-5365-4191-8877-52F603B96D61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E3839D7-2390-481A-BDCE-5F562291C39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E4E4E0-3EF9-4208-883C-581FC9D0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7DDD1BD2-6BC1-41E4-9886-8E95674EF18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7CCA232F-C2EC-4D19-A163-72343720132F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CC6A1C98-0583-4748-BF1F-698EBE771E89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970E8A35-4197-4735-A996-AD33D2B0636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437BCA31-AFA0-47B4-8BCA-5395684C10E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ED86D2F3-C051-4340-8656-493B7F2A9E19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2F97EF38-6F29-4778-BDA7-EA24E26C1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EF55761F-F5AC-48F7-84D1-0E01EE6284A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16" name="Rectangle 1">
          <a:extLst>
            <a:ext uri="{FF2B5EF4-FFF2-40B4-BE49-F238E27FC236}">
              <a16:creationId xmlns:a16="http://schemas.microsoft.com/office/drawing/2014/main" id="{3CECA5B2-190E-4601-BA05-7807BCAB21C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12.11.2025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7" name="Rectangle 2">
          <a:extLst>
            <a:ext uri="{FF2B5EF4-FFF2-40B4-BE49-F238E27FC236}">
              <a16:creationId xmlns:a16="http://schemas.microsoft.com/office/drawing/2014/main" id="{D2890FEF-631C-437A-AF5C-F51837745C74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8" name="Rectangle 3">
          <a:extLst>
            <a:ext uri="{FF2B5EF4-FFF2-40B4-BE49-F238E27FC236}">
              <a16:creationId xmlns:a16="http://schemas.microsoft.com/office/drawing/2014/main" id="{04079445-B8B9-40B0-B2FC-95EB61F664A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9" name="Rectangle 4">
          <a:extLst>
            <a:ext uri="{FF2B5EF4-FFF2-40B4-BE49-F238E27FC236}">
              <a16:creationId xmlns:a16="http://schemas.microsoft.com/office/drawing/2014/main" id="{74BC3B59-E06D-4A8A-A8BE-A10DE07BE3E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20" name="Rectangle 5">
          <a:extLst>
            <a:ext uri="{FF2B5EF4-FFF2-40B4-BE49-F238E27FC236}">
              <a16:creationId xmlns:a16="http://schemas.microsoft.com/office/drawing/2014/main" id="{8BE244A5-3D91-4487-A06B-291F29362D26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21" name="Picture 6">
          <a:extLst>
            <a:ext uri="{FF2B5EF4-FFF2-40B4-BE49-F238E27FC236}">
              <a16:creationId xmlns:a16="http://schemas.microsoft.com/office/drawing/2014/main" id="{3559F87D-8996-4F2D-855B-CADAC2214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22" name="Rectangle 7">
          <a:extLst>
            <a:ext uri="{FF2B5EF4-FFF2-40B4-BE49-F238E27FC236}">
              <a16:creationId xmlns:a16="http://schemas.microsoft.com/office/drawing/2014/main" id="{77713210-8CB7-4499-9A41-4FEF36E8AD93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444AB441-D74F-4FA2-A9DE-A3E1F28EEFB9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01.08.2025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22BF0D20-E969-4477-960B-E5A069B04C8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1C07BF7-B7D2-451D-AE72-880F157689B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83BDAE5-352C-4311-9E83-3945BC9B7AAC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048AC36-4EA1-4615-A7F3-082674BBD06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2022496-EF5E-4D31-BAD0-707CE685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3465657-3675-4501-AD8F-847BADB561B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A3CCBD92-F8C7-4BB6-A6BF-85043E90BB2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E22485F7-19A9-4003-A0B8-5D4A404E15A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F01C9B4D-29FC-43DA-B088-5DC622EF8B95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79039E68-254B-47A4-BF0F-09E81680BCA6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F95320F9-3C96-4AE1-8096-F5DFB9B08BED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A3CE3927-F576-44E9-AB5F-81683BFF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99BA19FA-5669-4B59-ADF6-78ABEA14306A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BB832E05-7F35-4572-9A69-1C6C09A27D4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10.11.2025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F6160A4-5EF4-4C55-8CC8-BA726FAA53C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397C3CB-09C7-40FA-9FB9-C96BCA86E1DE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258E991-46E9-4247-9800-E425D1C2688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B5431884-003C-4056-8AD5-4009A3BBC2AE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8A72C5-28B4-4EA0-8C10-0E462238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0762686-8AD2-4F50-85A6-3DDA5190E03C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13B3147-738B-49A4-93A9-673D00437372}"/>
            </a:ext>
          </a:extLst>
        </xdr:cNvPr>
        <xdr:cNvSpPr>
          <a:spLocks noChangeArrowheads="1"/>
        </xdr:cNvSpPr>
      </xdr:nvSpPr>
      <xdr:spPr bwMode="auto">
        <a:xfrm>
          <a:off x="590550" y="1857375"/>
          <a:ext cx="1185099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02.06.2026 г.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7E4D046-EC51-4134-AB61-3B01B7A380D3}"/>
            </a:ext>
          </a:extLst>
        </xdr:cNvPr>
        <xdr:cNvSpPr>
          <a:spLocks noChangeArrowheads="1"/>
        </xdr:cNvSpPr>
      </xdr:nvSpPr>
      <xdr:spPr bwMode="auto">
        <a:xfrm>
          <a:off x="1769745" y="1857375"/>
          <a:ext cx="222119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BA7F425-DABE-48FE-A770-71E43A5CE048}"/>
            </a:ext>
          </a:extLst>
        </xdr:cNvPr>
        <xdr:cNvSpPr>
          <a:spLocks noChangeArrowheads="1"/>
        </xdr:cNvSpPr>
      </xdr:nvSpPr>
      <xdr:spPr bwMode="auto">
        <a:xfrm>
          <a:off x="4061460" y="1857375"/>
          <a:ext cx="605790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D6E38185-99DD-4795-8574-0A4D900DAD08}"/>
            </a:ext>
          </a:extLst>
        </xdr:cNvPr>
        <xdr:cNvSpPr>
          <a:spLocks noChangeArrowheads="1"/>
        </xdr:cNvSpPr>
      </xdr:nvSpPr>
      <xdr:spPr bwMode="auto">
        <a:xfrm>
          <a:off x="6878955" y="1866900"/>
          <a:ext cx="794275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02EFD03-9480-4197-87BC-1FFDE2A2FA08}"/>
            </a:ext>
          </a:extLst>
        </xdr:cNvPr>
        <xdr:cNvSpPr>
          <a:spLocks noChangeArrowheads="1"/>
        </xdr:cNvSpPr>
      </xdr:nvSpPr>
      <xdr:spPr bwMode="auto">
        <a:xfrm>
          <a:off x="4726305" y="1857375"/>
          <a:ext cx="958286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005EDB-C09B-4364-8F3C-0139985E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4DA15EA9-009A-483A-A13E-8EB4C274EEE2}"/>
            </a:ext>
          </a:extLst>
        </xdr:cNvPr>
        <xdr:cNvSpPr>
          <a:spLocks noChangeArrowheads="1"/>
        </xdr:cNvSpPr>
      </xdr:nvSpPr>
      <xdr:spPr bwMode="auto">
        <a:xfrm>
          <a:off x="5755005" y="1857375"/>
          <a:ext cx="1034448" cy="28575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7D901D35-FED3-4A5F-AB1C-AE09D5E0710D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EAD8D01-D8C3-4D1C-B8B7-6653BB82405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B15B7854-456C-4A00-815F-B05BF8B0827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DFCDED5-F434-460F-BB8B-D0249908C218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77016838-7612-43EE-8B5E-F29C8F14A8E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ADA419-13A0-4290-AA02-CD402458F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26C0DF0-568D-4B7D-8DF8-9379721E90C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680274</xdr:colOff>
      <xdr:row>15</xdr:row>
      <xdr:rowOff>0</xdr:rowOff>
    </xdr:to>
    <xdr:sp macro="" textlink="" fLocksText="0">
      <xdr:nvSpPr>
        <xdr:cNvPr id="9" name="Rectangle 1">
          <a:extLst>
            <a:ext uri="{FF2B5EF4-FFF2-40B4-BE49-F238E27FC236}">
              <a16:creationId xmlns:a16="http://schemas.microsoft.com/office/drawing/2014/main" id="{CF6A8624-A048-46DB-915F-A076158E1052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03.06.2026</a:t>
          </a:r>
        </a:p>
      </xdr:txBody>
    </xdr:sp>
    <xdr:clientData/>
  </xdr:twoCellAnchor>
  <xdr:twoCellAnchor>
    <xdr:from>
      <xdr:col>2</xdr:col>
      <xdr:colOff>741045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10" name="Rectangle 2">
          <a:extLst>
            <a:ext uri="{FF2B5EF4-FFF2-40B4-BE49-F238E27FC236}">
              <a16:creationId xmlns:a16="http://schemas.microsoft.com/office/drawing/2014/main" id="{214BD10E-05AE-4DFC-854A-D51797C278D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11" name="Rectangle 3">
          <a:extLst>
            <a:ext uri="{FF2B5EF4-FFF2-40B4-BE49-F238E27FC236}">
              <a16:creationId xmlns:a16="http://schemas.microsoft.com/office/drawing/2014/main" id="{4F7BB6FA-D223-4627-90C3-3459D13846E0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767605</xdr:colOff>
      <xdr:row>15</xdr:row>
      <xdr:rowOff>9525</xdr:rowOff>
    </xdr:to>
    <xdr:sp macro="" textlink="" fLocksText="0">
      <xdr:nvSpPr>
        <xdr:cNvPr id="12" name="Rectangle 4">
          <a:extLst>
            <a:ext uri="{FF2B5EF4-FFF2-40B4-BE49-F238E27FC236}">
              <a16:creationId xmlns:a16="http://schemas.microsoft.com/office/drawing/2014/main" id="{2E6E6DFC-B847-49CC-B820-AEFBA9280D4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13" name="Rectangle 5">
          <a:extLst>
            <a:ext uri="{FF2B5EF4-FFF2-40B4-BE49-F238E27FC236}">
              <a16:creationId xmlns:a16="http://schemas.microsoft.com/office/drawing/2014/main" id="{B48F5939-5DF5-44FC-AC9B-33FD1266506F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13</xdr:col>
      <xdr:colOff>638175</xdr:colOff>
      <xdr:row>2</xdr:row>
      <xdr:rowOff>114300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9BF5D9EB-BE16-4E2B-8CE1-0ADAA46DD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15" name="Rectangle 7">
          <a:extLst>
            <a:ext uri="{FF2B5EF4-FFF2-40B4-BE49-F238E27FC236}">
              <a16:creationId xmlns:a16="http://schemas.microsoft.com/office/drawing/2014/main" id="{7F234F16-04BD-4B98-9BEB-C31733299AE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5B2D3B9-C3F3-4F72-B371-3B6CD2A0B55C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8865544-AFC4-4E68-A55A-FE05D4579641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60F0528F-9001-436B-BC64-9819605722C1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3B8A61CB-0421-48B7-AD78-29CF9DEA5492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65DE6F57-C7E8-4AC4-BA55-2DC6F5051D53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47A6E1-7C90-400F-B632-E5B3A0E2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9B974A4-AC62-486B-831C-3B37C57EA0DF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50AA0EE3-8612-4AB3-B878-61CFCDE51EE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3F9FAF3D-7417-43E5-AAAB-B7D0A75C601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DE270F72-8DF4-4842-93EB-1F2055062C1B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57E67C15-1249-4D26-B4F3-CF8F48C31E03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18DC672F-2C83-4233-8C19-5EF7DEEBC9C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666487-E036-42C3-9312-D23D2785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F085238C-0469-4ED6-A243-52C4CA98102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11687177-2DE6-4FA4-ADD5-81C95DA60840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A766A54C-ABDF-47AC-BA2D-D80025D22203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BBFC8FF-BDB0-46A9-8870-9B5C6DEE908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E8683196-8B65-4FC7-B642-414D462379C0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B1F1725-71E6-4BA3-B895-80C5BADEFF58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7E2A0D-A858-4046-B8A2-58D34B84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887537DD-7631-4B60-A547-A3AE31D448E7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FBE2308-996C-4156-AED1-5DEBC62D9111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4F6A440C-809A-46EF-A4C3-11FEDD4CAB2D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225CFD60-0340-42BE-885F-B76EB61C2271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DC38251-65B6-42DA-91D7-A5358904CC34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5573663-56A1-49CB-9FA8-7BA6DF51E5E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0759FB-FB12-4205-9760-DEBBBCB1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FB55983-651D-46C4-AFFA-AF95481302F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5FBCA5A-AB76-43BD-A231-3C275D7FC53B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DED476B3-F04E-4600-81D4-5C2544557D18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5C6971F-E264-4523-8C19-02C36B74C80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B1E7F7BD-3325-4765-8FCF-334C9D296DDE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DEF42BC-4FCB-495C-B371-9D4095BC448B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7C4F83-ACF5-458E-9E6A-AF97F2A11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51DCC2DA-5AA2-44BC-931A-EB2BBA7EB136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8ED77726-F052-427C-852E-C7E120501207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05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78733473-1A16-4698-B69A-EDBF41A2EA6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80DBE42-A8F3-4B6F-ADFE-393BD3C5DCCF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A29DB27-E442-440A-9508-11C331898007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FE21A8B-8FBE-4572-A7CE-B8D330B492F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F3F0D2-4A5A-450B-868E-36B45096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6764E9D2-D530-4BE3-A739-C034DFD472D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61C91183-6C5D-41DF-8B42-9467FCF8A4E3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CFF8CBE9-AE01-446A-9257-28F429F56002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1250E8AC-496D-433F-9221-05A9AFF4D8E2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726F0BCE-A1D5-471D-AADC-6E795E408A1A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C1E33C72-7EE6-4930-9B20-E5F809148014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124FCC-BFD4-4866-A51B-ACF4CCCF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2A9D6012-E5CC-44A3-BA2E-8CD5FD5D5521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4F40AE69-FA83-4D3D-A813-8318F37A4744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09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5630D8A0-918B-4CAB-8FAA-C85AF8C061EB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E8D9D5E8-3271-4234-96CA-C89B499E1B66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91626995-19B9-4EC5-AB48-7404C4025A2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4BAB215D-ADF4-4F49-80C1-277039A82CD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26EF20-46AC-4F20-B3C1-2FBAB53B8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D9DAF76D-436E-4A7B-8D8F-BA2284344E08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F1E7472D-69DB-4DB6-8C5C-97E21A19456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FABE8A7A-73B2-407C-8186-D77A5B7ABE76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C7B390E8-6726-4FF0-8575-36E2F944CE44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61D8E399-6F1B-4838-8315-5B4C8F5247A5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827692CD-CF02-44C0-8AEF-843968BE8DD5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AD1F08-3027-4117-A3A0-F9F42852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937A6572-352B-4692-9FC6-F8D5B61E6724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3999</xdr:colOff>
      <xdr:row>15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D7DE8192-A73E-4E9B-9632-DA8BF3BBBE2E}"/>
            </a:ext>
          </a:extLst>
        </xdr:cNvPr>
        <xdr:cNvSpPr>
          <a:spLocks noChangeArrowheads="1"/>
        </xdr:cNvSpPr>
      </xdr:nvSpPr>
      <xdr:spPr bwMode="auto">
        <a:xfrm>
          <a:off x="590550" y="2476500"/>
          <a:ext cx="1185099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08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.0</a:t>
          </a: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.2026</a:t>
          </a:r>
          <a:endParaRPr lang="ru-RU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607695</xdr:colOff>
      <xdr:row>13</xdr:row>
      <xdr:rowOff>0</xdr:rowOff>
    </xdr:from>
    <xdr:to>
      <xdr:col>6</xdr:col>
      <xdr:colOff>447640</xdr:colOff>
      <xdr:row>15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14C57BED-7B4F-459F-9950-61885D6F0E97}"/>
            </a:ext>
          </a:extLst>
        </xdr:cNvPr>
        <xdr:cNvSpPr>
          <a:spLocks noChangeArrowheads="1"/>
        </xdr:cNvSpPr>
      </xdr:nvSpPr>
      <xdr:spPr bwMode="auto">
        <a:xfrm>
          <a:off x="1769745" y="2476500"/>
          <a:ext cx="222119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Основной ремонт</a:t>
          </a:r>
        </a:p>
      </xdr:txBody>
    </xdr:sp>
    <xdr:clientData/>
  </xdr:twoCellAnchor>
  <xdr:twoCellAnchor>
    <xdr:from>
      <xdr:col>6</xdr:col>
      <xdr:colOff>518160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32BB29FA-DBE4-4807-B1F8-6E23F0AA770A}"/>
            </a:ext>
          </a:extLst>
        </xdr:cNvPr>
        <xdr:cNvSpPr>
          <a:spLocks noChangeArrowheads="1"/>
        </xdr:cNvSpPr>
      </xdr:nvSpPr>
      <xdr:spPr bwMode="auto">
        <a:xfrm>
          <a:off x="4061460" y="2476500"/>
          <a:ext cx="605790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</xdr:txBody>
    </xdr:sp>
    <xdr:clientData/>
  </xdr:twoCellAnchor>
  <xdr:twoCellAnchor>
    <xdr:from>
      <xdr:col>11</xdr:col>
      <xdr:colOff>382905</xdr:colOff>
      <xdr:row>13</xdr:row>
      <xdr:rowOff>9525</xdr:rowOff>
    </xdr:from>
    <xdr:to>
      <xdr:col>12</xdr:col>
      <xdr:colOff>605680</xdr:colOff>
      <xdr:row>15</xdr:row>
      <xdr:rowOff>9525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2C257434-87B5-46BF-B0C8-A5C657F7BB5D}"/>
            </a:ext>
          </a:extLst>
        </xdr:cNvPr>
        <xdr:cNvSpPr>
          <a:spLocks noChangeArrowheads="1"/>
        </xdr:cNvSpPr>
      </xdr:nvSpPr>
      <xdr:spPr bwMode="auto">
        <a:xfrm>
          <a:off x="6878955" y="2486025"/>
          <a:ext cx="794275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Выполнен</a:t>
          </a:r>
        </a:p>
      </xdr:txBody>
    </xdr:sp>
    <xdr:clientData/>
  </xdr:twoCellAnchor>
  <xdr:twoCellAnchor>
    <xdr:from>
      <xdr:col>7</xdr:col>
      <xdr:colOff>601980</xdr:colOff>
      <xdr:row>13</xdr:row>
      <xdr:rowOff>0</xdr:rowOff>
    </xdr:from>
    <xdr:to>
      <xdr:col>9</xdr:col>
      <xdr:colOff>369641</xdr:colOff>
      <xdr:row>15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509487BD-FE50-43EF-8374-58E88302A5F1}"/>
            </a:ext>
          </a:extLst>
        </xdr:cNvPr>
        <xdr:cNvSpPr>
          <a:spLocks noChangeArrowheads="1"/>
        </xdr:cNvSpPr>
      </xdr:nvSpPr>
      <xdr:spPr bwMode="auto">
        <a:xfrm>
          <a:off x="4726305" y="2476500"/>
          <a:ext cx="958286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Мастер:</a:t>
          </a:r>
        </a:p>
      </xdr:txBody>
    </xdr:sp>
    <xdr:clientData/>
  </xdr:twoCellAnchor>
  <xdr:twoCellAnchor>
    <xdr:from>
      <xdr:col>12</xdr:col>
      <xdr:colOff>9525</xdr:colOff>
      <xdr:row>0</xdr:row>
      <xdr:rowOff>0</xdr:rowOff>
    </xdr:from>
    <xdr:to>
      <xdr:col>14</xdr:col>
      <xdr:colOff>0</xdr:colOff>
      <xdr:row>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4801F7-7D98-4AB7-A806-D9895526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1715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440055</xdr:colOff>
      <xdr:row>13</xdr:row>
      <xdr:rowOff>0</xdr:rowOff>
    </xdr:from>
    <xdr:to>
      <xdr:col>11</xdr:col>
      <xdr:colOff>293403</xdr:colOff>
      <xdr:row>15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C99509EE-F56F-408B-B71E-51D5EE499E5E}"/>
            </a:ext>
          </a:extLst>
        </xdr:cNvPr>
        <xdr:cNvSpPr>
          <a:spLocks noChangeArrowheads="1"/>
        </xdr:cNvSpPr>
      </xdr:nvSpPr>
      <xdr:spPr bwMode="auto">
        <a:xfrm>
          <a:off x="5755005" y="2476500"/>
          <a:ext cx="1034448" cy="38100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67626-6D2E-4F7D-B7EF-886C59E58EC0}" name="Таблица6" displayName="Таблица6" ref="A2:AD524" headerRowCount="0" totalsRowShown="0" headerRowDxfId="60">
  <tableColumns count="30">
    <tableColumn id="1" xr3:uid="{777BD9D7-AD1D-43DE-9F30-F56969B8E9B1}" name="Столбец1" headerRowDxfId="59" dataDxfId="58"/>
    <tableColumn id="2" xr3:uid="{DA01DFFF-1518-45F3-AA24-4A427821FBFB}" name="Столбец2" headerRowDxfId="57" dataDxfId="56"/>
    <tableColumn id="3" xr3:uid="{EFAC0B12-31A7-407A-8C3F-2222C0D79EC4}" name="Столбец3" headerRowDxfId="55" dataDxfId="54"/>
    <tableColumn id="4" xr3:uid="{F5D8F748-8EC9-456D-A4C6-4D0182F44C06}" name="Столбец4" headerRowDxfId="53" dataDxfId="52"/>
    <tableColumn id="5" xr3:uid="{21250BE4-1A0A-4404-92C4-CF03677369B2}" name="Столбец5" headerRowDxfId="51" dataDxfId="50"/>
    <tableColumn id="6" xr3:uid="{9681A461-F2CD-43CE-AB58-883FFF2FFD24}" name="Столбец6" headerRowDxfId="49" dataDxfId="48"/>
    <tableColumn id="7" xr3:uid="{8BDF934A-E16E-42A5-8BBB-B1922840734A}" name="Столбец7" headerRowDxfId="47" dataDxfId="46"/>
    <tableColumn id="8" xr3:uid="{A95F82AC-59FF-4E6D-A47D-E2147443AE92}" name="Столбец8" headerRowDxfId="45" dataDxfId="44"/>
    <tableColumn id="9" xr3:uid="{CEB45615-7118-41B9-971F-048C1815A2C4}" name="Столбец9" headerRowDxfId="43" dataDxfId="42"/>
    <tableColumn id="10" xr3:uid="{37FBE9C9-CA44-4FEC-9312-D79DD45B80B1}" name="Столбец10" headerRowDxfId="41" dataDxfId="40"/>
    <tableColumn id="24" xr3:uid="{8164A94F-722B-4508-B0E1-418131D4F8AC}" name="Столбец24" headerRowDxfId="39" dataDxfId="38"/>
    <tableColumn id="23" xr3:uid="{4C8F828A-D7F0-475A-910F-0244BE6786DE}" name="Столбец23" headerRowDxfId="37" dataDxfId="36"/>
    <tableColumn id="25" xr3:uid="{2C5FD1F1-9DC6-4CF8-AD8E-D125258105DC}" name="Столбец25" headerRowDxfId="35" dataDxfId="34"/>
    <tableColumn id="11" xr3:uid="{A0862F1C-3A56-429B-8716-BC576A43E127}" name="Столбец11" headerRowDxfId="33" dataDxfId="32"/>
    <tableColumn id="12" xr3:uid="{F5F0AB46-F166-48BB-85BC-0B12D8477479}" name="Столбец12" headerRowDxfId="31" dataDxfId="30"/>
    <tableColumn id="13" xr3:uid="{B5470821-06FA-4C44-8E37-DB5E168FDA2A}" name="Столбец13" headerRowDxfId="29" dataDxfId="28"/>
    <tableColumn id="14" xr3:uid="{6BC4CE9F-302B-4B74-B4B3-690CEB3E60B1}" name="Столбец14" headerRowDxfId="27" dataDxfId="26"/>
    <tableColumn id="15" xr3:uid="{72797519-034E-4231-ABA0-446F28C96A5A}" name="Столбец15" headerRowDxfId="25" dataDxfId="24"/>
    <tableColumn id="16" xr3:uid="{940379CB-238E-4AFB-A391-395DFB10DF5E}" name="Столбец16" headerRowDxfId="23" dataDxfId="22" dataCellStyle="Денежный"/>
    <tableColumn id="17" xr3:uid="{B034E138-32E3-4B40-8CBE-68437C5DFAEB}" name="Столбец17" headerRowDxfId="21" dataDxfId="20"/>
    <tableColumn id="18" xr3:uid="{359A5CBB-189B-4479-A4D2-CD151D640CBF}" name="Столбец18" headerRowDxfId="19" dataDxfId="18"/>
    <tableColumn id="19" xr3:uid="{7ADC6B0B-CA75-49D5-B41F-4062C4F31EEA}" name="Столбец19" headerRowDxfId="17" dataDxfId="16"/>
    <tableColumn id="20" xr3:uid="{BC21013C-7493-45AB-9E21-D79CFB05649F}" name="Столбец20" headerRowDxfId="15" dataDxfId="14"/>
    <tableColumn id="21" xr3:uid="{2B2DB015-51FD-4C4E-8FE5-2B151813F604}" name="Столбец21" headerRowDxfId="13" dataDxfId="12"/>
    <tableColumn id="22" xr3:uid="{ED966107-EC37-4D46-B9D3-CAC83A036528}" name="Столбец22" headerRowDxfId="11" dataDxfId="10"/>
    <tableColumn id="26" xr3:uid="{2DDA1C42-B483-42E4-A51E-DAD048922244}" name="Столбец26" headerRowDxfId="9" dataDxfId="8"/>
    <tableColumn id="27" xr3:uid="{3840E0B6-CCBE-4474-A6EE-C53761F24D70}" name="Столбец27" headerRowDxfId="7" dataDxfId="6"/>
    <tableColumn id="28" xr3:uid="{DA5CFCE0-377D-48A1-A077-4B0C7F776571}" name="Столбец28" headerRowDxfId="5" dataDxfId="4"/>
    <tableColumn id="29" xr3:uid="{AD39D264-E8B5-4197-81A5-4549052316DA}" name="Столбец29" headerRowDxfId="3" dataDxfId="2"/>
    <tableColumn id="30" xr3:uid="{1D71FBF0-0CCC-4F93-982A-DC85627BAB3B}" name="Столбец30" headerRowDxfId="1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E0B8-371A-478D-98BB-904559B58E82}">
  <sheetPr codeName="Лист37">
    <pageSetUpPr fitToPage="1"/>
  </sheetPr>
  <dimension ref="B1:N52"/>
  <sheetViews>
    <sheetView workbookViewId="0">
      <selection activeCell="B12" sqref="B12:N1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1083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1082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1081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25.5" customHeight="1" thickBot="1" x14ac:dyDescent="0.3">
      <c r="B21" s="281" t="s">
        <v>449</v>
      </c>
      <c r="C21" s="292"/>
      <c r="D21" s="413" t="s">
        <v>1080</v>
      </c>
      <c r="E21" s="414"/>
      <c r="F21" s="414"/>
      <c r="G21" s="414"/>
      <c r="H21" s="415"/>
      <c r="I21" s="291">
        <v>1</v>
      </c>
      <c r="J21" s="300">
        <v>15000</v>
      </c>
      <c r="K21" s="289">
        <v>1</v>
      </c>
      <c r="L21" s="279" t="s">
        <v>11</v>
      </c>
      <c r="M21" s="277">
        <f>J21*I21</f>
        <v>15000</v>
      </c>
      <c r="N21" s="276">
        <f>M21*22/122</f>
        <v>2704.9180327868853</v>
      </c>
    </row>
    <row r="22" spans="2:14" x14ac:dyDescent="0.25">
      <c r="B22" s="396" t="s">
        <v>464</v>
      </c>
      <c r="C22" s="396"/>
      <c r="D22" s="396"/>
      <c r="E22" s="396"/>
      <c r="F22" s="396"/>
      <c r="G22" s="396"/>
      <c r="H22" s="397"/>
      <c r="I22" s="299">
        <v>1</v>
      </c>
      <c r="J22" s="393" t="s">
        <v>435</v>
      </c>
      <c r="K22" s="394"/>
      <c r="L22" s="395"/>
      <c r="M22" s="277">
        <f>M21</f>
        <v>15000</v>
      </c>
      <c r="N22" s="276">
        <f>M22*22/122</f>
        <v>2704.9180327868853</v>
      </c>
    </row>
    <row r="23" spans="2:14" ht="9" customHeight="1" x14ac:dyDescent="0.25"/>
    <row r="24" spans="2:14" ht="15" customHeight="1" x14ac:dyDescent="0.25">
      <c r="B24" s="392" t="s">
        <v>1079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7.5" customHeight="1" x14ac:dyDescent="0.25"/>
    <row r="26" spans="2:14" x14ac:dyDescent="0.25">
      <c r="C26" s="287" t="s">
        <v>1078</v>
      </c>
    </row>
    <row r="27" spans="2:14" ht="15.75" thickBot="1" x14ac:dyDescent="0.3">
      <c r="B27" s="286"/>
      <c r="C27" s="285"/>
      <c r="D27" s="285"/>
      <c r="H27" s="285"/>
      <c r="I27" s="285"/>
      <c r="M27" s="284"/>
      <c r="N27" s="284"/>
    </row>
    <row r="28" spans="2:14" ht="15.75" thickBot="1" x14ac:dyDescent="0.3">
      <c r="B28" s="298" t="s">
        <v>461</v>
      </c>
      <c r="C28" s="283" t="s">
        <v>460</v>
      </c>
      <c r="D28" s="398" t="s">
        <v>459</v>
      </c>
      <c r="E28" s="399"/>
      <c r="F28" s="399"/>
      <c r="G28" s="399"/>
      <c r="H28" s="399"/>
      <c r="I28" s="400"/>
      <c r="J28" s="298" t="s">
        <v>458</v>
      </c>
      <c r="K28" s="298" t="s">
        <v>457</v>
      </c>
      <c r="L28" s="298" t="s">
        <v>456</v>
      </c>
      <c r="M28" s="298" t="s">
        <v>455</v>
      </c>
      <c r="N28" s="298" t="s">
        <v>454</v>
      </c>
    </row>
    <row r="29" spans="2:14" ht="15.75" thickBot="1" x14ac:dyDescent="0.3">
      <c r="B29" s="298" t="s">
        <v>449</v>
      </c>
      <c r="C29" s="283" t="s">
        <v>446</v>
      </c>
      <c r="D29" s="398" t="s">
        <v>443</v>
      </c>
      <c r="E29" s="399"/>
      <c r="F29" s="399"/>
      <c r="G29" s="399"/>
      <c r="H29" s="399"/>
      <c r="I29" s="400"/>
      <c r="J29" s="298" t="s">
        <v>440</v>
      </c>
      <c r="K29" s="298" t="s">
        <v>453</v>
      </c>
      <c r="L29" s="298" t="s">
        <v>452</v>
      </c>
      <c r="M29" s="298" t="s">
        <v>451</v>
      </c>
      <c r="N29" s="298" t="s">
        <v>450</v>
      </c>
    </row>
    <row r="30" spans="2:14" s="275" customFormat="1" ht="25.5" customHeight="1" x14ac:dyDescent="0.25">
      <c r="B30" s="281" t="s">
        <v>449</v>
      </c>
      <c r="C30" s="292">
        <v>3590973</v>
      </c>
      <c r="D30" s="389" t="s">
        <v>1077</v>
      </c>
      <c r="E30" s="390"/>
      <c r="F30" s="390"/>
      <c r="G30" s="390"/>
      <c r="H30" s="390"/>
      <c r="I30" s="391"/>
      <c r="J30" s="291">
        <v>1</v>
      </c>
      <c r="K30" s="279" t="s">
        <v>437</v>
      </c>
      <c r="L30" s="278">
        <v>3000</v>
      </c>
      <c r="M30" s="277">
        <f>L30*J30</f>
        <v>3000</v>
      </c>
      <c r="N30" s="276">
        <f>M30*22/122</f>
        <v>540.98360655737702</v>
      </c>
    </row>
    <row r="31" spans="2:14" s="275" customFormat="1" ht="26.25" customHeight="1" x14ac:dyDescent="0.25">
      <c r="B31" s="281" t="s">
        <v>446</v>
      </c>
      <c r="C31" s="292">
        <v>3590970</v>
      </c>
      <c r="D31" s="389" t="s">
        <v>1076</v>
      </c>
      <c r="E31" s="390"/>
      <c r="F31" s="390"/>
      <c r="G31" s="390"/>
      <c r="H31" s="390"/>
      <c r="I31" s="391"/>
      <c r="J31" s="291">
        <v>1</v>
      </c>
      <c r="K31" s="279" t="s">
        <v>437</v>
      </c>
      <c r="L31" s="278">
        <v>800</v>
      </c>
      <c r="M31" s="277">
        <f>L31*J31</f>
        <v>800</v>
      </c>
      <c r="N31" s="276">
        <f>M31*22/122</f>
        <v>144.26229508196721</v>
      </c>
    </row>
    <row r="32" spans="2:14" x14ac:dyDescent="0.25">
      <c r="B32" s="396" t="s">
        <v>436</v>
      </c>
      <c r="C32" s="396"/>
      <c r="D32" s="396"/>
      <c r="E32" s="396"/>
      <c r="F32" s="396"/>
      <c r="G32" s="396"/>
      <c r="H32" s="396"/>
      <c r="I32" s="397"/>
      <c r="J32" s="297">
        <v>2</v>
      </c>
      <c r="K32" s="393" t="s">
        <v>435</v>
      </c>
      <c r="L32" s="395"/>
      <c r="M32" s="340">
        <f>M30+M31</f>
        <v>3800</v>
      </c>
      <c r="N32" s="276">
        <f>M32*22/122</f>
        <v>685.24590163934431</v>
      </c>
    </row>
    <row r="34" spans="2:14" ht="15" customHeight="1" x14ac:dyDescent="0.25">
      <c r="B34" s="392" t="s">
        <v>1075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</row>
    <row r="35" spans="2:14" ht="15.75" thickBot="1" x14ac:dyDescent="0.3"/>
    <row r="36" spans="2:14" ht="16.5" thickTop="1" thickBot="1" x14ac:dyDescent="0.3">
      <c r="B36" s="271"/>
      <c r="C36" s="271"/>
      <c r="D36" s="271"/>
      <c r="E36" s="271"/>
      <c r="F36" s="271"/>
      <c r="G36" s="271"/>
      <c r="H36" s="271"/>
      <c r="I36" s="271"/>
      <c r="J36" s="271"/>
      <c r="K36" s="270"/>
      <c r="L36" s="270" t="s">
        <v>433</v>
      </c>
      <c r="M36" s="269">
        <f>M22+M32</f>
        <v>18800</v>
      </c>
      <c r="N36" s="268">
        <f>M36*22/122</f>
        <v>3390.1639344262294</v>
      </c>
    </row>
    <row r="37" spans="2:14" ht="15.75" thickTop="1" x14ac:dyDescent="0.25"/>
    <row r="38" spans="2:14" ht="15" customHeight="1" x14ac:dyDescent="0.25">
      <c r="B38" s="388" t="s">
        <v>1074</v>
      </c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</row>
    <row r="41" spans="2:14" ht="15" customHeight="1" x14ac:dyDescent="0.25">
      <c r="J41" s="266" t="s">
        <v>431</v>
      </c>
      <c r="K41" s="384" t="s">
        <v>430</v>
      </c>
      <c r="L41" s="384"/>
      <c r="M41" s="384"/>
      <c r="N41" s="384"/>
    </row>
    <row r="43" spans="2:14" ht="53.25" customHeight="1" x14ac:dyDescent="0.25">
      <c r="B43" s="267"/>
      <c r="C43" s="385" t="s">
        <v>429</v>
      </c>
      <c r="D43" s="385"/>
      <c r="E43" s="385"/>
      <c r="F43" s="385"/>
      <c r="G43" s="385"/>
      <c r="H43" s="385"/>
      <c r="I43" s="385"/>
      <c r="J43" s="385"/>
      <c r="K43" s="385"/>
      <c r="L43" s="385"/>
      <c r="M43" s="385"/>
    </row>
    <row r="47" spans="2:14" ht="24" customHeight="1" x14ac:dyDescent="0.25">
      <c r="B47" s="386" t="s">
        <v>1073</v>
      </c>
      <c r="C47" s="386"/>
      <c r="J47" s="266" t="s">
        <v>427</v>
      </c>
      <c r="K47" s="384" t="s">
        <v>949</v>
      </c>
      <c r="L47" s="384"/>
      <c r="M47" s="384"/>
      <c r="N47" s="384"/>
    </row>
    <row r="49" spans="2:14" ht="26.25" customHeight="1" x14ac:dyDescent="0.25">
      <c r="J49" s="266" t="s">
        <v>426</v>
      </c>
      <c r="K49" s="384" t="s">
        <v>949</v>
      </c>
      <c r="L49" s="384"/>
      <c r="M49" s="384"/>
      <c r="N49" s="384"/>
    </row>
    <row r="51" spans="2:14" x14ac:dyDescent="0.25">
      <c r="B51" s="387" t="s">
        <v>424</v>
      </c>
      <c r="C51" s="387"/>
    </row>
    <row r="52" spans="2:14" x14ac:dyDescent="0.25">
      <c r="B52" s="381"/>
      <c r="C52" s="382"/>
      <c r="D52" s="382"/>
      <c r="E52" s="382"/>
      <c r="F52" s="382"/>
      <c r="G52" s="382"/>
      <c r="H52" s="382"/>
      <c r="I52" s="382"/>
      <c r="J52" s="382"/>
      <c r="K52" s="382"/>
      <c r="L52" s="382"/>
      <c r="M52" s="382"/>
      <c r="N52" s="383"/>
    </row>
  </sheetData>
  <mergeCells count="30">
    <mergeCell ref="D21:H21"/>
    <mergeCell ref="D20:H20"/>
    <mergeCell ref="B1:J1"/>
    <mergeCell ref="B7:N7"/>
    <mergeCell ref="B11:N11"/>
    <mergeCell ref="B12:N12"/>
    <mergeCell ref="D19:H19"/>
    <mergeCell ref="M1:N3"/>
    <mergeCell ref="B2:J2"/>
    <mergeCell ref="C4:N4"/>
    <mergeCell ref="B6:G6"/>
    <mergeCell ref="H6:N6"/>
    <mergeCell ref="B38:N38"/>
    <mergeCell ref="D31:I31"/>
    <mergeCell ref="D30:I30"/>
    <mergeCell ref="B34:N34"/>
    <mergeCell ref="J22:L22"/>
    <mergeCell ref="B24:N24"/>
    <mergeCell ref="B22:H22"/>
    <mergeCell ref="D28:I28"/>
    <mergeCell ref="D29:I29"/>
    <mergeCell ref="K32:L32"/>
    <mergeCell ref="B32:I32"/>
    <mergeCell ref="B52:N52"/>
    <mergeCell ref="K41:N41"/>
    <mergeCell ref="C43:M43"/>
    <mergeCell ref="B47:C47"/>
    <mergeCell ref="K47:N47"/>
    <mergeCell ref="K49:N49"/>
    <mergeCell ref="B51:C5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6862-3B46-43F3-91DC-221516370C2E}">
  <sheetPr>
    <pageSetUpPr fitToPage="1"/>
  </sheetPr>
  <dimension ref="A1:L324"/>
  <sheetViews>
    <sheetView topLeftCell="A20" zoomScale="80" zoomScaleNormal="80" workbookViewId="0">
      <selection activeCell="C212" sqref="C212:F212"/>
    </sheetView>
  </sheetViews>
  <sheetFormatPr defaultColWidth="9.140625" defaultRowHeight="15" outlineLevelRow="1" x14ac:dyDescent="0.25"/>
  <cols>
    <col min="1" max="1" width="5.5703125" style="237" customWidth="1"/>
    <col min="2" max="2" width="15.42578125" style="369" customWidth="1"/>
    <col min="3" max="3" width="14.7109375" style="237" customWidth="1"/>
    <col min="4" max="4" width="10.7109375" style="237" customWidth="1"/>
    <col min="5" max="5" width="10.140625" style="237" customWidth="1"/>
    <col min="6" max="6" width="14.28515625" style="237" customWidth="1"/>
    <col min="7" max="7" width="9.140625" style="24"/>
    <col min="8" max="8" width="10.7109375" style="237" customWidth="1"/>
    <col min="9" max="9" width="9.5703125" style="237" customWidth="1"/>
    <col min="10" max="10" width="11.5703125" style="237" customWidth="1"/>
    <col min="11" max="11" width="11.85546875" style="237" customWidth="1"/>
    <col min="12" max="12" width="14.7109375" style="237" customWidth="1"/>
    <col min="13" max="13" width="11.140625" style="237" customWidth="1"/>
    <col min="14" max="16384" width="9.140625" style="237"/>
  </cols>
  <sheetData>
    <row r="1" spans="1:12" ht="18.75" x14ac:dyDescent="0.3">
      <c r="A1" s="464" t="s">
        <v>1206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</row>
    <row r="2" spans="1:12" ht="18.75" x14ac:dyDescent="0.3">
      <c r="A2" s="464" t="s">
        <v>1207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</row>
    <row r="3" spans="1:12" ht="15.75" x14ac:dyDescent="0.25">
      <c r="A3" s="342"/>
      <c r="B3" s="343"/>
      <c r="C3" s="342"/>
      <c r="D3" s="342"/>
      <c r="E3" s="342"/>
      <c r="F3" s="342"/>
      <c r="G3" s="344"/>
      <c r="H3" s="342"/>
      <c r="I3" s="342"/>
      <c r="J3" s="342"/>
      <c r="K3" s="342"/>
      <c r="L3" s="342"/>
    </row>
    <row r="4" spans="1:12" ht="15.75" x14ac:dyDescent="0.25">
      <c r="A4" s="459" t="s">
        <v>1208</v>
      </c>
      <c r="B4" s="459"/>
      <c r="C4" s="459"/>
      <c r="D4" s="345" t="s">
        <v>1209</v>
      </c>
      <c r="E4" s="346" t="s">
        <v>1210</v>
      </c>
      <c r="F4" s="465">
        <v>46174</v>
      </c>
      <c r="G4" s="466"/>
      <c r="H4" s="347"/>
      <c r="I4" s="459" t="s">
        <v>1211</v>
      </c>
      <c r="J4" s="459"/>
      <c r="K4" s="460">
        <v>46174</v>
      </c>
      <c r="L4" s="461"/>
    </row>
    <row r="5" spans="1:12" ht="15.75" x14ac:dyDescent="0.25">
      <c r="A5" s="424" t="s">
        <v>1212</v>
      </c>
      <c r="B5" s="424"/>
      <c r="C5" s="424"/>
      <c r="D5" s="424"/>
      <c r="E5" s="424"/>
      <c r="F5" s="424"/>
      <c r="G5" s="348"/>
      <c r="H5" s="347"/>
      <c r="I5" s="459" t="s">
        <v>1213</v>
      </c>
      <c r="J5" s="459"/>
      <c r="K5" s="460">
        <v>46174</v>
      </c>
      <c r="L5" s="461"/>
    </row>
    <row r="6" spans="1:12" ht="15.75" x14ac:dyDescent="0.25">
      <c r="A6" s="424" t="s">
        <v>1214</v>
      </c>
      <c r="B6" s="424"/>
      <c r="C6" s="424"/>
      <c r="D6" s="424"/>
      <c r="E6" s="424"/>
      <c r="F6" s="424"/>
      <c r="G6" s="348"/>
      <c r="H6" s="347"/>
      <c r="I6" s="347"/>
      <c r="J6" s="347"/>
      <c r="K6" s="347"/>
      <c r="L6" s="347"/>
    </row>
    <row r="7" spans="1:12" ht="15.75" x14ac:dyDescent="0.25">
      <c r="A7" s="347"/>
      <c r="B7" s="349"/>
      <c r="C7" s="347"/>
      <c r="D7" s="347"/>
      <c r="E7" s="347"/>
      <c r="F7" s="347"/>
      <c r="G7" s="348"/>
      <c r="H7" s="347"/>
      <c r="I7" s="347"/>
      <c r="J7" s="347"/>
      <c r="K7" s="347"/>
      <c r="L7" s="347"/>
    </row>
    <row r="8" spans="1:12" ht="15.75" x14ac:dyDescent="0.25">
      <c r="A8" s="462" t="s">
        <v>1215</v>
      </c>
      <c r="B8" s="462"/>
      <c r="C8" s="462"/>
      <c r="D8" s="462"/>
      <c r="E8" s="462"/>
      <c r="F8" s="350"/>
      <c r="G8" s="351"/>
      <c r="H8" s="350"/>
      <c r="I8" s="350" t="s">
        <v>1216</v>
      </c>
      <c r="J8" s="455" t="s">
        <v>252</v>
      </c>
      <c r="K8" s="456"/>
      <c r="L8" s="456"/>
    </row>
    <row r="9" spans="1:12" ht="15.75" x14ac:dyDescent="0.25">
      <c r="A9" s="462"/>
      <c r="B9" s="462"/>
      <c r="C9" s="462"/>
      <c r="D9" s="462"/>
      <c r="E9" s="462"/>
      <c r="F9" s="350"/>
      <c r="G9" s="351"/>
      <c r="H9" s="350"/>
      <c r="I9" s="350" t="s">
        <v>1217</v>
      </c>
      <c r="J9" s="463"/>
      <c r="K9" s="463"/>
      <c r="L9" s="463"/>
    </row>
    <row r="10" spans="1:12" ht="15.75" x14ac:dyDescent="0.25">
      <c r="A10" s="424" t="s">
        <v>1218</v>
      </c>
      <c r="B10" s="453"/>
      <c r="C10" s="454"/>
      <c r="D10" s="454"/>
      <c r="E10" s="454"/>
      <c r="F10" s="454"/>
      <c r="G10" s="351"/>
      <c r="H10" s="350"/>
      <c r="I10" s="350" t="s">
        <v>1219</v>
      </c>
      <c r="J10" s="455" t="s">
        <v>251</v>
      </c>
      <c r="K10" s="456"/>
      <c r="L10" s="456"/>
    </row>
    <row r="11" spans="1:12" ht="15.75" x14ac:dyDescent="0.25">
      <c r="A11" s="423"/>
      <c r="B11" s="423"/>
      <c r="C11" s="423"/>
      <c r="D11" s="350"/>
      <c r="E11" s="350"/>
      <c r="F11" s="350"/>
      <c r="G11" s="351"/>
      <c r="H11" s="350"/>
      <c r="I11" s="350" t="s">
        <v>1220</v>
      </c>
      <c r="J11" s="350"/>
      <c r="K11" s="450">
        <v>2023</v>
      </c>
      <c r="L11" s="451"/>
    </row>
    <row r="12" spans="1:12" ht="15.75" x14ac:dyDescent="0.25">
      <c r="A12" s="424" t="s">
        <v>1221</v>
      </c>
      <c r="B12" s="424"/>
      <c r="C12" s="457" t="s">
        <v>1222</v>
      </c>
      <c r="D12" s="457"/>
      <c r="E12" s="350"/>
      <c r="F12" s="350"/>
      <c r="G12" s="351"/>
      <c r="H12" s="350"/>
      <c r="I12" s="457" t="s">
        <v>1223</v>
      </c>
      <c r="J12" s="457"/>
      <c r="K12" s="458" t="s">
        <v>250</v>
      </c>
      <c r="L12" s="456"/>
    </row>
    <row r="13" spans="1:12" ht="15.75" x14ac:dyDescent="0.25">
      <c r="A13" s="424" t="s">
        <v>1224</v>
      </c>
      <c r="B13" s="424"/>
      <c r="C13" s="424"/>
      <c r="D13" s="350"/>
      <c r="E13" s="350"/>
      <c r="F13" s="350"/>
      <c r="G13" s="351"/>
      <c r="H13" s="350"/>
      <c r="I13" s="350" t="s">
        <v>0</v>
      </c>
      <c r="J13" s="450">
        <v>4116</v>
      </c>
      <c r="K13" s="451"/>
      <c r="L13" s="451"/>
    </row>
    <row r="14" spans="1:12" ht="15.75" x14ac:dyDescent="0.25">
      <c r="A14" s="347"/>
      <c r="B14" s="352"/>
      <c r="C14" s="350"/>
      <c r="D14" s="350"/>
      <c r="E14" s="350"/>
      <c r="F14" s="350"/>
      <c r="G14" s="351"/>
      <c r="H14" s="350"/>
      <c r="I14" s="350" t="s">
        <v>1225</v>
      </c>
      <c r="J14" s="350"/>
      <c r="K14" s="350" t="s">
        <v>1226</v>
      </c>
      <c r="L14" s="353" t="s">
        <v>253</v>
      </c>
    </row>
    <row r="15" spans="1:12" ht="16.5" thickBot="1" x14ac:dyDescent="0.3">
      <c r="A15" s="452" t="s">
        <v>1227</v>
      </c>
      <c r="B15" s="452"/>
      <c r="C15" s="452"/>
      <c r="D15" s="452"/>
      <c r="E15" s="452"/>
      <c r="F15" s="452"/>
      <c r="G15" s="452"/>
      <c r="H15" s="354" t="s">
        <v>1209</v>
      </c>
      <c r="I15" s="355" t="s">
        <v>1210</v>
      </c>
      <c r="J15" s="356">
        <v>46174</v>
      </c>
      <c r="K15" s="357"/>
      <c r="L15" s="357"/>
    </row>
    <row r="16" spans="1:12" ht="32.25" thickBot="1" x14ac:dyDescent="0.3">
      <c r="A16" s="358" t="s">
        <v>461</v>
      </c>
      <c r="B16" s="359" t="s">
        <v>1228</v>
      </c>
      <c r="C16" s="446" t="s">
        <v>1229</v>
      </c>
      <c r="D16" s="447"/>
      <c r="E16" s="447"/>
      <c r="F16" s="447"/>
      <c r="G16" s="359" t="s">
        <v>1230</v>
      </c>
      <c r="H16" s="359" t="s">
        <v>1231</v>
      </c>
      <c r="I16" s="359" t="s">
        <v>1232</v>
      </c>
      <c r="J16" s="359" t="s">
        <v>10</v>
      </c>
      <c r="K16" s="359" t="s">
        <v>457</v>
      </c>
      <c r="L16" s="359" t="s">
        <v>1233</v>
      </c>
    </row>
    <row r="17" spans="1:12" s="365" customFormat="1" ht="17.100000000000001" customHeight="1" thickBot="1" x14ac:dyDescent="0.3">
      <c r="A17" s="360">
        <v>1</v>
      </c>
      <c r="B17" s="361" t="s">
        <v>1234</v>
      </c>
      <c r="C17" s="435" t="s">
        <v>1235</v>
      </c>
      <c r="D17" s="438"/>
      <c r="E17" s="438"/>
      <c r="F17" s="439"/>
      <c r="G17" s="362">
        <v>0.8</v>
      </c>
      <c r="H17" s="363" t="s">
        <v>1236</v>
      </c>
      <c r="I17" s="364">
        <v>1</v>
      </c>
      <c r="J17" s="362">
        <v>2433.33</v>
      </c>
      <c r="K17" s="363" t="s">
        <v>469</v>
      </c>
      <c r="L17" s="362">
        <v>1946.66</v>
      </c>
    </row>
    <row r="18" spans="1:12" s="365" customFormat="1" ht="17.100000000000001" customHeight="1" thickBot="1" x14ac:dyDescent="0.3">
      <c r="A18" s="360">
        <v>2</v>
      </c>
      <c r="B18" s="361" t="s">
        <v>1237</v>
      </c>
      <c r="C18" s="435" t="s">
        <v>1238</v>
      </c>
      <c r="D18" s="426"/>
      <c r="E18" s="426"/>
      <c r="F18" s="448"/>
      <c r="G18" s="362" t="s">
        <v>1239</v>
      </c>
      <c r="H18" s="363" t="s">
        <v>1236</v>
      </c>
      <c r="I18" s="364">
        <v>1</v>
      </c>
      <c r="J18" s="362">
        <v>2433.33</v>
      </c>
      <c r="K18" s="363" t="s">
        <v>469</v>
      </c>
      <c r="L18" s="362">
        <v>608.33000000000004</v>
      </c>
    </row>
    <row r="19" spans="1:12" s="365" customFormat="1" ht="33" customHeight="1" thickBot="1" x14ac:dyDescent="0.3">
      <c r="A19" s="360">
        <v>3</v>
      </c>
      <c r="B19" s="366">
        <v>1700001</v>
      </c>
      <c r="C19" s="435" t="s">
        <v>1240</v>
      </c>
      <c r="D19" s="426"/>
      <c r="E19" s="426"/>
      <c r="F19" s="448"/>
      <c r="G19" s="362">
        <v>8.75</v>
      </c>
      <c r="H19" s="363" t="s">
        <v>1236</v>
      </c>
      <c r="I19" s="364">
        <v>1</v>
      </c>
      <c r="J19" s="362">
        <v>2433.33</v>
      </c>
      <c r="K19" s="363" t="s">
        <v>469</v>
      </c>
      <c r="L19" s="362">
        <v>21291.64</v>
      </c>
    </row>
    <row r="20" spans="1:12" s="365" customFormat="1" ht="33" customHeight="1" thickBot="1" x14ac:dyDescent="0.3">
      <c r="A20" s="360">
        <v>4</v>
      </c>
      <c r="B20" s="366">
        <v>1700002</v>
      </c>
      <c r="C20" s="435" t="s">
        <v>1241</v>
      </c>
      <c r="D20" s="426"/>
      <c r="E20" s="426"/>
      <c r="F20" s="448"/>
      <c r="G20" s="362">
        <v>0.2</v>
      </c>
      <c r="H20" s="363" t="s">
        <v>1236</v>
      </c>
      <c r="I20" s="364">
        <v>1</v>
      </c>
      <c r="J20" s="362">
        <v>2433.33</v>
      </c>
      <c r="K20" s="363" t="s">
        <v>469</v>
      </c>
      <c r="L20" s="362">
        <v>486.67</v>
      </c>
    </row>
    <row r="21" spans="1:12" s="365" customFormat="1" ht="33" customHeight="1" thickBot="1" x14ac:dyDescent="0.3">
      <c r="A21" s="360">
        <v>5</v>
      </c>
      <c r="B21" s="366">
        <v>1700003</v>
      </c>
      <c r="C21" s="435" t="s">
        <v>1242</v>
      </c>
      <c r="D21" s="426"/>
      <c r="E21" s="426"/>
      <c r="F21" s="448"/>
      <c r="G21" s="362">
        <v>2.04</v>
      </c>
      <c r="H21" s="363" t="s">
        <v>1236</v>
      </c>
      <c r="I21" s="364">
        <v>1</v>
      </c>
      <c r="J21" s="362">
        <v>2433.33</v>
      </c>
      <c r="K21" s="363" t="s">
        <v>469</v>
      </c>
      <c r="L21" s="362">
        <v>4963.99</v>
      </c>
    </row>
    <row r="22" spans="1:12" s="365" customFormat="1" ht="33" customHeight="1" thickBot="1" x14ac:dyDescent="0.3">
      <c r="A22" s="360">
        <v>6</v>
      </c>
      <c r="B22" s="366">
        <v>1700004</v>
      </c>
      <c r="C22" s="435" t="s">
        <v>1243</v>
      </c>
      <c r="D22" s="426"/>
      <c r="E22" s="426"/>
      <c r="F22" s="448"/>
      <c r="G22" s="362">
        <v>3.9</v>
      </c>
      <c r="H22" s="363" t="s">
        <v>1236</v>
      </c>
      <c r="I22" s="364">
        <v>1</v>
      </c>
      <c r="J22" s="362">
        <v>2433.33</v>
      </c>
      <c r="K22" s="363" t="s">
        <v>469</v>
      </c>
      <c r="L22" s="362">
        <v>9489.99</v>
      </c>
    </row>
    <row r="23" spans="1:12" s="365" customFormat="1" ht="17.100000000000001" customHeight="1" thickBot="1" x14ac:dyDescent="0.3">
      <c r="A23" s="360">
        <v>7</v>
      </c>
      <c r="B23" s="366">
        <v>1700009</v>
      </c>
      <c r="C23" s="435" t="s">
        <v>1244</v>
      </c>
      <c r="D23" s="426"/>
      <c r="E23" s="426"/>
      <c r="F23" s="448"/>
      <c r="G23" s="362">
        <v>1.06</v>
      </c>
      <c r="H23" s="363" t="s">
        <v>1236</v>
      </c>
      <c r="I23" s="364">
        <v>1</v>
      </c>
      <c r="J23" s="362">
        <v>2433.33</v>
      </c>
      <c r="K23" s="363" t="s">
        <v>469</v>
      </c>
      <c r="L23" s="362">
        <v>2579.33</v>
      </c>
    </row>
    <row r="24" spans="1:12" s="365" customFormat="1" ht="33" customHeight="1" thickBot="1" x14ac:dyDescent="0.3">
      <c r="A24" s="360">
        <v>8</v>
      </c>
      <c r="B24" s="366">
        <v>1700010</v>
      </c>
      <c r="C24" s="435" t="s">
        <v>1245</v>
      </c>
      <c r="D24" s="426"/>
      <c r="E24" s="426"/>
      <c r="F24" s="448"/>
      <c r="G24" s="362">
        <v>0.65</v>
      </c>
      <c r="H24" s="363" t="s">
        <v>1236</v>
      </c>
      <c r="I24" s="364">
        <v>1</v>
      </c>
      <c r="J24" s="362">
        <v>2433.33</v>
      </c>
      <c r="K24" s="363" t="s">
        <v>469</v>
      </c>
      <c r="L24" s="362">
        <v>1581.66</v>
      </c>
    </row>
    <row r="25" spans="1:12" s="365" customFormat="1" ht="17.100000000000001" customHeight="1" thickBot="1" x14ac:dyDescent="0.3">
      <c r="A25" s="360">
        <v>9</v>
      </c>
      <c r="B25" s="366">
        <v>2800011</v>
      </c>
      <c r="C25" s="435" t="s">
        <v>1246</v>
      </c>
      <c r="D25" s="426"/>
      <c r="E25" s="426"/>
      <c r="F25" s="448"/>
      <c r="G25" s="362">
        <v>0.4</v>
      </c>
      <c r="H25" s="363" t="s">
        <v>1236</v>
      </c>
      <c r="I25" s="364">
        <v>1</v>
      </c>
      <c r="J25" s="362">
        <v>2433.33</v>
      </c>
      <c r="K25" s="363" t="s">
        <v>469</v>
      </c>
      <c r="L25" s="362">
        <v>973.33</v>
      </c>
    </row>
    <row r="26" spans="1:12" s="365" customFormat="1" ht="33" hidden="1" customHeight="1" thickBot="1" x14ac:dyDescent="0.3">
      <c r="A26" s="360">
        <v>10</v>
      </c>
      <c r="B26" s="366">
        <v>0</v>
      </c>
      <c r="C26" s="435">
        <v>0</v>
      </c>
      <c r="D26" s="426"/>
      <c r="E26" s="426"/>
      <c r="F26" s="448"/>
      <c r="G26" s="362">
        <v>0</v>
      </c>
      <c r="H26" s="363" t="s">
        <v>1236</v>
      </c>
      <c r="I26" s="364">
        <v>0</v>
      </c>
      <c r="J26" s="362">
        <v>2433.33</v>
      </c>
      <c r="K26" s="363" t="s">
        <v>469</v>
      </c>
      <c r="L26" s="362">
        <v>0</v>
      </c>
    </row>
    <row r="27" spans="1:12" s="365" customFormat="1" ht="17.100000000000001" hidden="1" customHeight="1" thickBot="1" x14ac:dyDescent="0.3">
      <c r="A27" s="360">
        <v>11</v>
      </c>
      <c r="B27" s="366">
        <v>0</v>
      </c>
      <c r="C27" s="435">
        <v>0</v>
      </c>
      <c r="D27" s="426"/>
      <c r="E27" s="426"/>
      <c r="F27" s="448"/>
      <c r="G27" s="362">
        <v>0</v>
      </c>
      <c r="H27" s="363" t="s">
        <v>1236</v>
      </c>
      <c r="I27" s="364">
        <v>0</v>
      </c>
      <c r="J27" s="362">
        <v>2433.33</v>
      </c>
      <c r="K27" s="363" t="s">
        <v>469</v>
      </c>
      <c r="L27" s="362">
        <v>0</v>
      </c>
    </row>
    <row r="28" spans="1:12" s="365" customFormat="1" ht="17.100000000000001" hidden="1" customHeight="1" thickBot="1" x14ac:dyDescent="0.3">
      <c r="A28" s="360">
        <v>12</v>
      </c>
      <c r="B28" s="366">
        <v>0</v>
      </c>
      <c r="C28" s="435">
        <v>0</v>
      </c>
      <c r="D28" s="426"/>
      <c r="E28" s="426"/>
      <c r="F28" s="448"/>
      <c r="G28" s="362">
        <v>0</v>
      </c>
      <c r="H28" s="363" t="s">
        <v>1236</v>
      </c>
      <c r="I28" s="364">
        <v>0</v>
      </c>
      <c r="J28" s="362">
        <v>2433.33</v>
      </c>
      <c r="K28" s="363" t="s">
        <v>469</v>
      </c>
      <c r="L28" s="362">
        <v>0</v>
      </c>
    </row>
    <row r="29" spans="1:12" s="365" customFormat="1" ht="17.100000000000001" hidden="1" customHeight="1" thickBot="1" x14ac:dyDescent="0.3">
      <c r="A29" s="360">
        <v>13</v>
      </c>
      <c r="B29" s="366">
        <v>0</v>
      </c>
      <c r="C29" s="435">
        <v>0</v>
      </c>
      <c r="D29" s="426"/>
      <c r="E29" s="426"/>
      <c r="F29" s="448"/>
      <c r="G29" s="362">
        <v>0</v>
      </c>
      <c r="H29" s="363" t="s">
        <v>1236</v>
      </c>
      <c r="I29" s="364">
        <v>0</v>
      </c>
      <c r="J29" s="362">
        <v>0</v>
      </c>
      <c r="K29" s="363" t="s">
        <v>469</v>
      </c>
      <c r="L29" s="362">
        <v>0</v>
      </c>
    </row>
    <row r="30" spans="1:12" s="365" customFormat="1" ht="33" hidden="1" customHeight="1" thickBot="1" x14ac:dyDescent="0.3">
      <c r="A30" s="360">
        <v>14</v>
      </c>
      <c r="B30" s="366">
        <v>0</v>
      </c>
      <c r="C30" s="435">
        <v>0</v>
      </c>
      <c r="D30" s="426"/>
      <c r="E30" s="426"/>
      <c r="F30" s="448"/>
      <c r="G30" s="362">
        <v>0</v>
      </c>
      <c r="H30" s="363" t="s">
        <v>1236</v>
      </c>
      <c r="I30" s="364">
        <v>0</v>
      </c>
      <c r="J30" s="362">
        <v>0</v>
      </c>
      <c r="K30" s="363" t="s">
        <v>469</v>
      </c>
      <c r="L30" s="362">
        <v>0</v>
      </c>
    </row>
    <row r="31" spans="1:12" s="365" customFormat="1" ht="33" hidden="1" customHeight="1" thickBot="1" x14ac:dyDescent="0.3">
      <c r="A31" s="360">
        <v>15</v>
      </c>
      <c r="B31" s="366">
        <v>0</v>
      </c>
      <c r="C31" s="435">
        <v>0</v>
      </c>
      <c r="D31" s="426"/>
      <c r="E31" s="426"/>
      <c r="F31" s="448"/>
      <c r="G31" s="362">
        <v>0</v>
      </c>
      <c r="H31" s="363" t="s">
        <v>1236</v>
      </c>
      <c r="I31" s="364">
        <v>0</v>
      </c>
      <c r="J31" s="362">
        <v>0</v>
      </c>
      <c r="K31" s="363" t="s">
        <v>469</v>
      </c>
      <c r="L31" s="362">
        <v>0</v>
      </c>
    </row>
    <row r="32" spans="1:12" s="365" customFormat="1" ht="33" hidden="1" customHeight="1" thickBot="1" x14ac:dyDescent="0.3">
      <c r="A32" s="360">
        <v>16</v>
      </c>
      <c r="B32" s="366">
        <v>0</v>
      </c>
      <c r="C32" s="435">
        <v>0</v>
      </c>
      <c r="D32" s="426"/>
      <c r="E32" s="426"/>
      <c r="F32" s="448"/>
      <c r="G32" s="362">
        <v>0</v>
      </c>
      <c r="H32" s="363" t="s">
        <v>1236</v>
      </c>
      <c r="I32" s="364">
        <v>0</v>
      </c>
      <c r="J32" s="362">
        <v>0</v>
      </c>
      <c r="K32" s="363" t="s">
        <v>469</v>
      </c>
      <c r="L32" s="362">
        <v>0</v>
      </c>
    </row>
    <row r="33" spans="1:12" s="365" customFormat="1" ht="33" hidden="1" customHeight="1" thickBot="1" x14ac:dyDescent="0.3">
      <c r="A33" s="360">
        <v>17</v>
      </c>
      <c r="B33" s="366">
        <v>0</v>
      </c>
      <c r="C33" s="435">
        <v>0</v>
      </c>
      <c r="D33" s="426"/>
      <c r="E33" s="426"/>
      <c r="F33" s="448"/>
      <c r="G33" s="362">
        <v>0</v>
      </c>
      <c r="H33" s="363" t="s">
        <v>1236</v>
      </c>
      <c r="I33" s="364">
        <v>0</v>
      </c>
      <c r="J33" s="362">
        <v>0</v>
      </c>
      <c r="K33" s="363" t="s">
        <v>469</v>
      </c>
      <c r="L33" s="362">
        <v>0</v>
      </c>
    </row>
    <row r="34" spans="1:12" s="365" customFormat="1" ht="33" hidden="1" customHeight="1" thickBot="1" x14ac:dyDescent="0.3">
      <c r="A34" s="360">
        <v>18</v>
      </c>
      <c r="B34" s="366">
        <v>0</v>
      </c>
      <c r="C34" s="435">
        <v>0</v>
      </c>
      <c r="D34" s="426"/>
      <c r="E34" s="426"/>
      <c r="F34" s="448"/>
      <c r="G34" s="362">
        <v>0</v>
      </c>
      <c r="H34" s="363" t="s">
        <v>1236</v>
      </c>
      <c r="I34" s="364">
        <v>0</v>
      </c>
      <c r="J34" s="362">
        <v>0</v>
      </c>
      <c r="K34" s="363" t="s">
        <v>469</v>
      </c>
      <c r="L34" s="362">
        <v>0</v>
      </c>
    </row>
    <row r="35" spans="1:12" s="365" customFormat="1" ht="33" hidden="1" customHeight="1" thickBot="1" x14ac:dyDescent="0.3">
      <c r="A35" s="360">
        <v>19</v>
      </c>
      <c r="B35" s="366">
        <v>0</v>
      </c>
      <c r="C35" s="435">
        <v>0</v>
      </c>
      <c r="D35" s="426"/>
      <c r="E35" s="426"/>
      <c r="F35" s="448"/>
      <c r="G35" s="362">
        <v>0</v>
      </c>
      <c r="H35" s="363" t="s">
        <v>1236</v>
      </c>
      <c r="I35" s="364">
        <v>0</v>
      </c>
      <c r="J35" s="362">
        <v>0</v>
      </c>
      <c r="K35" s="363" t="s">
        <v>469</v>
      </c>
      <c r="L35" s="362">
        <v>0</v>
      </c>
    </row>
    <row r="36" spans="1:12" s="365" customFormat="1" ht="33" hidden="1" customHeight="1" thickBot="1" x14ac:dyDescent="0.3">
      <c r="A36" s="360">
        <v>20</v>
      </c>
      <c r="B36" s="366">
        <v>0</v>
      </c>
      <c r="C36" s="435">
        <v>0</v>
      </c>
      <c r="D36" s="426"/>
      <c r="E36" s="426"/>
      <c r="F36" s="448"/>
      <c r="G36" s="362">
        <v>0</v>
      </c>
      <c r="H36" s="363" t="s">
        <v>1236</v>
      </c>
      <c r="I36" s="364">
        <v>0</v>
      </c>
      <c r="J36" s="362">
        <v>0</v>
      </c>
      <c r="K36" s="363" t="s">
        <v>469</v>
      </c>
      <c r="L36" s="362">
        <v>0</v>
      </c>
    </row>
    <row r="37" spans="1:12" s="365" customFormat="1" ht="33" hidden="1" customHeight="1" thickBot="1" x14ac:dyDescent="0.3">
      <c r="A37" s="360">
        <v>21</v>
      </c>
      <c r="B37" s="366">
        <v>0</v>
      </c>
      <c r="C37" s="435">
        <v>0</v>
      </c>
      <c r="D37" s="426"/>
      <c r="E37" s="426"/>
      <c r="F37" s="448"/>
      <c r="G37" s="362">
        <v>0</v>
      </c>
      <c r="H37" s="363" t="s">
        <v>1236</v>
      </c>
      <c r="I37" s="364">
        <v>0</v>
      </c>
      <c r="J37" s="362">
        <v>0</v>
      </c>
      <c r="K37" s="363" t="s">
        <v>469</v>
      </c>
      <c r="L37" s="362">
        <v>0</v>
      </c>
    </row>
    <row r="38" spans="1:12" s="365" customFormat="1" ht="17.100000000000001" hidden="1" customHeight="1" thickBot="1" x14ac:dyDescent="0.3">
      <c r="A38" s="360">
        <v>22</v>
      </c>
      <c r="B38" s="366">
        <v>0</v>
      </c>
      <c r="C38" s="435">
        <v>0</v>
      </c>
      <c r="D38" s="426"/>
      <c r="E38" s="426"/>
      <c r="F38" s="448"/>
      <c r="G38" s="362">
        <v>0</v>
      </c>
      <c r="H38" s="363" t="s">
        <v>1236</v>
      </c>
      <c r="I38" s="364">
        <v>0</v>
      </c>
      <c r="J38" s="362">
        <v>0</v>
      </c>
      <c r="K38" s="363" t="s">
        <v>469</v>
      </c>
      <c r="L38" s="362">
        <v>0</v>
      </c>
    </row>
    <row r="39" spans="1:12" s="365" customFormat="1" ht="33" hidden="1" customHeight="1" thickBot="1" x14ac:dyDescent="0.3">
      <c r="A39" s="360">
        <v>23</v>
      </c>
      <c r="B39" s="366">
        <v>0</v>
      </c>
      <c r="C39" s="435">
        <v>0</v>
      </c>
      <c r="D39" s="426"/>
      <c r="E39" s="426"/>
      <c r="F39" s="448"/>
      <c r="G39" s="362">
        <v>0</v>
      </c>
      <c r="H39" s="363" t="s">
        <v>1236</v>
      </c>
      <c r="I39" s="364">
        <v>0</v>
      </c>
      <c r="J39" s="362">
        <v>0</v>
      </c>
      <c r="K39" s="363" t="s">
        <v>469</v>
      </c>
      <c r="L39" s="362">
        <v>0</v>
      </c>
    </row>
    <row r="40" spans="1:12" s="365" customFormat="1" ht="33" hidden="1" customHeight="1" thickBot="1" x14ac:dyDescent="0.3">
      <c r="A40" s="360">
        <v>24</v>
      </c>
      <c r="B40" s="366">
        <v>0</v>
      </c>
      <c r="C40" s="435">
        <v>0</v>
      </c>
      <c r="D40" s="426"/>
      <c r="E40" s="426"/>
      <c r="F40" s="448"/>
      <c r="G40" s="362">
        <v>0</v>
      </c>
      <c r="H40" s="363" t="s">
        <v>1236</v>
      </c>
      <c r="I40" s="364">
        <v>0</v>
      </c>
      <c r="J40" s="362">
        <v>0</v>
      </c>
      <c r="K40" s="363" t="s">
        <v>469</v>
      </c>
      <c r="L40" s="362">
        <v>0</v>
      </c>
    </row>
    <row r="41" spans="1:12" s="365" customFormat="1" ht="33" hidden="1" customHeight="1" thickBot="1" x14ac:dyDescent="0.3">
      <c r="A41" s="360">
        <v>25</v>
      </c>
      <c r="B41" s="366">
        <v>0</v>
      </c>
      <c r="C41" s="435">
        <v>0</v>
      </c>
      <c r="D41" s="426"/>
      <c r="E41" s="426"/>
      <c r="F41" s="448"/>
      <c r="G41" s="362">
        <v>0</v>
      </c>
      <c r="H41" s="363" t="s">
        <v>1236</v>
      </c>
      <c r="I41" s="364">
        <v>0</v>
      </c>
      <c r="J41" s="362">
        <v>0</v>
      </c>
      <c r="K41" s="363" t="s">
        <v>469</v>
      </c>
      <c r="L41" s="362">
        <v>0</v>
      </c>
    </row>
    <row r="42" spans="1:12" s="365" customFormat="1" ht="17.100000000000001" hidden="1" customHeight="1" thickBot="1" x14ac:dyDescent="0.3">
      <c r="A42" s="360">
        <v>26</v>
      </c>
      <c r="B42" s="366">
        <v>0</v>
      </c>
      <c r="C42" s="435">
        <v>0</v>
      </c>
      <c r="D42" s="426"/>
      <c r="E42" s="426"/>
      <c r="F42" s="448"/>
      <c r="G42" s="362">
        <v>0</v>
      </c>
      <c r="H42" s="363" t="s">
        <v>1236</v>
      </c>
      <c r="I42" s="364">
        <v>0</v>
      </c>
      <c r="J42" s="362">
        <v>0</v>
      </c>
      <c r="K42" s="363" t="s">
        <v>469</v>
      </c>
      <c r="L42" s="362">
        <v>0</v>
      </c>
    </row>
    <row r="43" spans="1:12" s="365" customFormat="1" ht="17.100000000000001" hidden="1" customHeight="1" thickBot="1" x14ac:dyDescent="0.3">
      <c r="A43" s="360">
        <v>27</v>
      </c>
      <c r="B43" s="366">
        <v>0</v>
      </c>
      <c r="C43" s="435">
        <v>0</v>
      </c>
      <c r="D43" s="426"/>
      <c r="E43" s="426"/>
      <c r="F43" s="448"/>
      <c r="G43" s="362">
        <v>0</v>
      </c>
      <c r="H43" s="363" t="s">
        <v>1236</v>
      </c>
      <c r="I43" s="364">
        <v>0</v>
      </c>
      <c r="J43" s="362">
        <v>0</v>
      </c>
      <c r="K43" s="363" t="s">
        <v>469</v>
      </c>
      <c r="L43" s="362">
        <v>0</v>
      </c>
    </row>
    <row r="44" spans="1:12" s="365" customFormat="1" ht="17.100000000000001" hidden="1" customHeight="1" thickBot="1" x14ac:dyDescent="0.3">
      <c r="A44" s="360">
        <v>28</v>
      </c>
      <c r="B44" s="366">
        <v>0</v>
      </c>
      <c r="C44" s="435">
        <v>0</v>
      </c>
      <c r="D44" s="426"/>
      <c r="E44" s="426"/>
      <c r="F44" s="448"/>
      <c r="G44" s="362">
        <v>0</v>
      </c>
      <c r="H44" s="363" t="s">
        <v>1236</v>
      </c>
      <c r="I44" s="364">
        <v>0</v>
      </c>
      <c r="J44" s="362">
        <v>0</v>
      </c>
      <c r="K44" s="363" t="s">
        <v>469</v>
      </c>
      <c r="L44" s="362">
        <v>0</v>
      </c>
    </row>
    <row r="45" spans="1:12" s="365" customFormat="1" ht="17.100000000000001" hidden="1" customHeight="1" thickBot="1" x14ac:dyDescent="0.3">
      <c r="A45" s="360">
        <v>29</v>
      </c>
      <c r="B45" s="366">
        <v>0</v>
      </c>
      <c r="C45" s="435">
        <v>0</v>
      </c>
      <c r="D45" s="426"/>
      <c r="E45" s="426"/>
      <c r="F45" s="448"/>
      <c r="G45" s="362">
        <v>0</v>
      </c>
      <c r="H45" s="363" t="s">
        <v>1236</v>
      </c>
      <c r="I45" s="364">
        <v>0</v>
      </c>
      <c r="J45" s="362">
        <v>0</v>
      </c>
      <c r="K45" s="363" t="s">
        <v>469</v>
      </c>
      <c r="L45" s="362">
        <v>0</v>
      </c>
    </row>
    <row r="46" spans="1:12" s="365" customFormat="1" ht="17.100000000000001" hidden="1" customHeight="1" thickBot="1" x14ac:dyDescent="0.3">
      <c r="A46" s="360">
        <v>30</v>
      </c>
      <c r="B46" s="366">
        <v>0</v>
      </c>
      <c r="C46" s="435">
        <v>0</v>
      </c>
      <c r="D46" s="426"/>
      <c r="E46" s="426"/>
      <c r="F46" s="448"/>
      <c r="G46" s="362">
        <v>0</v>
      </c>
      <c r="H46" s="363" t="s">
        <v>1236</v>
      </c>
      <c r="I46" s="364">
        <v>0</v>
      </c>
      <c r="J46" s="362">
        <v>0</v>
      </c>
      <c r="K46" s="363" t="s">
        <v>469</v>
      </c>
      <c r="L46" s="362">
        <v>0</v>
      </c>
    </row>
    <row r="47" spans="1:12" s="365" customFormat="1" ht="17.100000000000001" hidden="1" customHeight="1" thickBot="1" x14ac:dyDescent="0.3">
      <c r="A47" s="360">
        <v>31</v>
      </c>
      <c r="B47" s="366">
        <v>0</v>
      </c>
      <c r="C47" s="435">
        <v>0</v>
      </c>
      <c r="D47" s="426"/>
      <c r="E47" s="426"/>
      <c r="F47" s="448"/>
      <c r="G47" s="362">
        <v>0</v>
      </c>
      <c r="H47" s="363" t="s">
        <v>1236</v>
      </c>
      <c r="I47" s="364">
        <v>0</v>
      </c>
      <c r="J47" s="362">
        <v>0</v>
      </c>
      <c r="K47" s="363" t="s">
        <v>469</v>
      </c>
      <c r="L47" s="362">
        <v>0</v>
      </c>
    </row>
    <row r="48" spans="1:12" s="365" customFormat="1" ht="17.100000000000001" hidden="1" customHeight="1" thickBot="1" x14ac:dyDescent="0.3">
      <c r="A48" s="360">
        <v>32</v>
      </c>
      <c r="B48" s="366">
        <v>0</v>
      </c>
      <c r="C48" s="435">
        <v>0</v>
      </c>
      <c r="D48" s="426"/>
      <c r="E48" s="426"/>
      <c r="F48" s="448"/>
      <c r="G48" s="362">
        <v>0</v>
      </c>
      <c r="H48" s="363" t="s">
        <v>1236</v>
      </c>
      <c r="I48" s="364">
        <v>0</v>
      </c>
      <c r="J48" s="362">
        <v>0</v>
      </c>
      <c r="K48" s="363" t="s">
        <v>469</v>
      </c>
      <c r="L48" s="362">
        <v>0</v>
      </c>
    </row>
    <row r="49" spans="1:12" s="365" customFormat="1" ht="17.100000000000001" hidden="1" customHeight="1" thickBot="1" x14ac:dyDescent="0.3">
      <c r="A49" s="360">
        <v>33</v>
      </c>
      <c r="B49" s="366">
        <v>0</v>
      </c>
      <c r="C49" s="435">
        <v>0</v>
      </c>
      <c r="D49" s="426"/>
      <c r="E49" s="426"/>
      <c r="F49" s="448"/>
      <c r="G49" s="362">
        <v>0</v>
      </c>
      <c r="H49" s="363" t="s">
        <v>1236</v>
      </c>
      <c r="I49" s="364">
        <v>0</v>
      </c>
      <c r="J49" s="362">
        <v>0</v>
      </c>
      <c r="K49" s="363" t="s">
        <v>469</v>
      </c>
      <c r="L49" s="362">
        <v>0</v>
      </c>
    </row>
    <row r="50" spans="1:12" s="365" customFormat="1" ht="33" hidden="1" customHeight="1" thickBot="1" x14ac:dyDescent="0.3">
      <c r="A50" s="360">
        <v>34</v>
      </c>
      <c r="B50" s="366">
        <v>0</v>
      </c>
      <c r="C50" s="435">
        <v>0</v>
      </c>
      <c r="D50" s="426"/>
      <c r="E50" s="426"/>
      <c r="F50" s="448"/>
      <c r="G50" s="362">
        <v>0</v>
      </c>
      <c r="H50" s="363" t="s">
        <v>1236</v>
      </c>
      <c r="I50" s="364">
        <v>0</v>
      </c>
      <c r="J50" s="362">
        <v>0</v>
      </c>
      <c r="K50" s="363" t="s">
        <v>469</v>
      </c>
      <c r="L50" s="362">
        <v>0</v>
      </c>
    </row>
    <row r="51" spans="1:12" s="365" customFormat="1" ht="33" hidden="1" customHeight="1" thickBot="1" x14ac:dyDescent="0.3">
      <c r="A51" s="360">
        <v>35</v>
      </c>
      <c r="B51" s="366">
        <v>0</v>
      </c>
      <c r="C51" s="435">
        <v>0</v>
      </c>
      <c r="D51" s="426"/>
      <c r="E51" s="426"/>
      <c r="F51" s="448"/>
      <c r="G51" s="362">
        <v>0</v>
      </c>
      <c r="H51" s="363" t="s">
        <v>1236</v>
      </c>
      <c r="I51" s="364">
        <v>0</v>
      </c>
      <c r="J51" s="362">
        <v>0</v>
      </c>
      <c r="K51" s="363" t="s">
        <v>469</v>
      </c>
      <c r="L51" s="362">
        <v>0</v>
      </c>
    </row>
    <row r="52" spans="1:12" s="365" customFormat="1" ht="33" hidden="1" customHeight="1" thickBot="1" x14ac:dyDescent="0.3">
      <c r="A52" s="360">
        <v>36</v>
      </c>
      <c r="B52" s="366">
        <v>0</v>
      </c>
      <c r="C52" s="435">
        <v>0</v>
      </c>
      <c r="D52" s="426"/>
      <c r="E52" s="426"/>
      <c r="F52" s="448"/>
      <c r="G52" s="362">
        <v>0</v>
      </c>
      <c r="H52" s="363" t="s">
        <v>1236</v>
      </c>
      <c r="I52" s="364">
        <v>0</v>
      </c>
      <c r="J52" s="362">
        <v>0</v>
      </c>
      <c r="K52" s="363" t="s">
        <v>469</v>
      </c>
      <c r="L52" s="362">
        <v>0</v>
      </c>
    </row>
    <row r="53" spans="1:12" s="365" customFormat="1" ht="17.100000000000001" hidden="1" customHeight="1" thickBot="1" x14ac:dyDescent="0.3">
      <c r="A53" s="360">
        <v>37</v>
      </c>
      <c r="B53" s="366">
        <v>0</v>
      </c>
      <c r="C53" s="435">
        <v>0</v>
      </c>
      <c r="D53" s="426"/>
      <c r="E53" s="426"/>
      <c r="F53" s="448"/>
      <c r="G53" s="362">
        <v>0</v>
      </c>
      <c r="H53" s="363" t="s">
        <v>1236</v>
      </c>
      <c r="I53" s="364">
        <v>0</v>
      </c>
      <c r="J53" s="362">
        <v>0</v>
      </c>
      <c r="K53" s="363" t="s">
        <v>469</v>
      </c>
      <c r="L53" s="362">
        <v>0</v>
      </c>
    </row>
    <row r="54" spans="1:12" s="365" customFormat="1" ht="17.100000000000001" hidden="1" customHeight="1" thickBot="1" x14ac:dyDescent="0.3">
      <c r="A54" s="360">
        <v>38</v>
      </c>
      <c r="B54" s="366">
        <v>0</v>
      </c>
      <c r="C54" s="435">
        <v>0</v>
      </c>
      <c r="D54" s="426"/>
      <c r="E54" s="426"/>
      <c r="F54" s="448"/>
      <c r="G54" s="362">
        <v>0</v>
      </c>
      <c r="H54" s="363" t="s">
        <v>1236</v>
      </c>
      <c r="I54" s="364">
        <v>0</v>
      </c>
      <c r="J54" s="362">
        <v>0</v>
      </c>
      <c r="K54" s="363" t="s">
        <v>469</v>
      </c>
      <c r="L54" s="362">
        <v>0</v>
      </c>
    </row>
    <row r="55" spans="1:12" s="365" customFormat="1" ht="17.100000000000001" hidden="1" customHeight="1" thickBot="1" x14ac:dyDescent="0.3">
      <c r="A55" s="360">
        <v>39</v>
      </c>
      <c r="B55" s="366">
        <v>0</v>
      </c>
      <c r="C55" s="435">
        <v>0</v>
      </c>
      <c r="D55" s="426"/>
      <c r="E55" s="426"/>
      <c r="F55" s="448"/>
      <c r="G55" s="362">
        <v>0</v>
      </c>
      <c r="H55" s="363" t="s">
        <v>1236</v>
      </c>
      <c r="I55" s="364">
        <v>0</v>
      </c>
      <c r="J55" s="362">
        <v>0</v>
      </c>
      <c r="K55" s="363" t="s">
        <v>469</v>
      </c>
      <c r="L55" s="362">
        <v>0</v>
      </c>
    </row>
    <row r="56" spans="1:12" s="365" customFormat="1" ht="17.100000000000001" hidden="1" customHeight="1" thickBot="1" x14ac:dyDescent="0.3">
      <c r="A56" s="360">
        <v>40</v>
      </c>
      <c r="B56" s="366">
        <v>0</v>
      </c>
      <c r="C56" s="435">
        <v>0</v>
      </c>
      <c r="D56" s="426"/>
      <c r="E56" s="426"/>
      <c r="F56" s="448"/>
      <c r="G56" s="362">
        <v>0</v>
      </c>
      <c r="H56" s="363" t="s">
        <v>1236</v>
      </c>
      <c r="I56" s="364">
        <v>0</v>
      </c>
      <c r="J56" s="362">
        <v>0</v>
      </c>
      <c r="K56" s="363" t="s">
        <v>469</v>
      </c>
      <c r="L56" s="362">
        <v>0</v>
      </c>
    </row>
    <row r="57" spans="1:12" s="365" customFormat="1" ht="33" hidden="1" customHeight="1" thickBot="1" x14ac:dyDescent="0.3">
      <c r="A57" s="360">
        <v>41</v>
      </c>
      <c r="B57" s="366">
        <v>0</v>
      </c>
      <c r="C57" s="435">
        <v>0</v>
      </c>
      <c r="D57" s="426"/>
      <c r="E57" s="426"/>
      <c r="F57" s="448"/>
      <c r="G57" s="362">
        <v>0</v>
      </c>
      <c r="H57" s="363" t="s">
        <v>1236</v>
      </c>
      <c r="I57" s="364">
        <v>0</v>
      </c>
      <c r="J57" s="362">
        <v>0</v>
      </c>
      <c r="K57" s="363" t="s">
        <v>469</v>
      </c>
      <c r="L57" s="362">
        <v>0</v>
      </c>
    </row>
    <row r="58" spans="1:12" s="365" customFormat="1" ht="33" hidden="1" customHeight="1" thickBot="1" x14ac:dyDescent="0.3">
      <c r="A58" s="360">
        <v>42</v>
      </c>
      <c r="B58" s="366">
        <v>0</v>
      </c>
      <c r="C58" s="435">
        <v>0</v>
      </c>
      <c r="D58" s="426"/>
      <c r="E58" s="426"/>
      <c r="F58" s="448"/>
      <c r="G58" s="362">
        <v>0</v>
      </c>
      <c r="H58" s="363" t="s">
        <v>1236</v>
      </c>
      <c r="I58" s="364">
        <v>0</v>
      </c>
      <c r="J58" s="362">
        <v>0</v>
      </c>
      <c r="K58" s="363" t="s">
        <v>469</v>
      </c>
      <c r="L58" s="362">
        <v>0</v>
      </c>
    </row>
    <row r="59" spans="1:12" s="365" customFormat="1" ht="33" hidden="1" customHeight="1" thickBot="1" x14ac:dyDescent="0.3">
      <c r="A59" s="360">
        <v>43</v>
      </c>
      <c r="B59" s="366">
        <v>0</v>
      </c>
      <c r="C59" s="435">
        <v>0</v>
      </c>
      <c r="D59" s="426"/>
      <c r="E59" s="426"/>
      <c r="F59" s="448"/>
      <c r="G59" s="362">
        <v>0</v>
      </c>
      <c r="H59" s="363" t="s">
        <v>1236</v>
      </c>
      <c r="I59" s="364">
        <v>0</v>
      </c>
      <c r="J59" s="362">
        <v>0</v>
      </c>
      <c r="K59" s="363" t="s">
        <v>469</v>
      </c>
      <c r="L59" s="362">
        <v>0</v>
      </c>
    </row>
    <row r="60" spans="1:12" s="365" customFormat="1" ht="33" hidden="1" customHeight="1" thickBot="1" x14ac:dyDescent="0.3">
      <c r="A60" s="360">
        <v>44</v>
      </c>
      <c r="B60" s="366">
        <v>0</v>
      </c>
      <c r="C60" s="435">
        <v>0</v>
      </c>
      <c r="D60" s="426"/>
      <c r="E60" s="426"/>
      <c r="F60" s="448"/>
      <c r="G60" s="362">
        <v>0</v>
      </c>
      <c r="H60" s="363" t="s">
        <v>1236</v>
      </c>
      <c r="I60" s="364">
        <v>0</v>
      </c>
      <c r="J60" s="362">
        <v>0</v>
      </c>
      <c r="K60" s="363" t="s">
        <v>469</v>
      </c>
      <c r="L60" s="362">
        <v>0</v>
      </c>
    </row>
    <row r="61" spans="1:12" s="365" customFormat="1" ht="17.100000000000001" hidden="1" customHeight="1" outlineLevel="1" thickBot="1" x14ac:dyDescent="0.3">
      <c r="A61" s="360">
        <v>45</v>
      </c>
      <c r="B61" s="366">
        <v>0</v>
      </c>
      <c r="C61" s="435">
        <v>0</v>
      </c>
      <c r="D61" s="426"/>
      <c r="E61" s="426"/>
      <c r="F61" s="448"/>
      <c r="G61" s="362">
        <v>0</v>
      </c>
      <c r="H61" s="363" t="s">
        <v>1236</v>
      </c>
      <c r="I61" s="364">
        <v>0</v>
      </c>
      <c r="J61" s="362">
        <v>0</v>
      </c>
      <c r="K61" s="363" t="s">
        <v>469</v>
      </c>
      <c r="L61" s="362">
        <v>0</v>
      </c>
    </row>
    <row r="62" spans="1:12" s="365" customFormat="1" ht="17.100000000000001" hidden="1" customHeight="1" outlineLevel="1" thickBot="1" x14ac:dyDescent="0.3">
      <c r="A62" s="360">
        <v>46</v>
      </c>
      <c r="B62" s="366">
        <v>0</v>
      </c>
      <c r="C62" s="435">
        <v>0</v>
      </c>
      <c r="D62" s="426"/>
      <c r="E62" s="426"/>
      <c r="F62" s="448"/>
      <c r="G62" s="362">
        <v>0</v>
      </c>
      <c r="H62" s="363" t="s">
        <v>1236</v>
      </c>
      <c r="I62" s="364">
        <v>0</v>
      </c>
      <c r="J62" s="362">
        <v>0</v>
      </c>
      <c r="K62" s="363" t="s">
        <v>469</v>
      </c>
      <c r="L62" s="362">
        <v>0</v>
      </c>
    </row>
    <row r="63" spans="1:12" s="365" customFormat="1" ht="17.100000000000001" hidden="1" customHeight="1" outlineLevel="1" thickBot="1" x14ac:dyDescent="0.3">
      <c r="A63" s="360">
        <v>47</v>
      </c>
      <c r="B63" s="366">
        <v>0</v>
      </c>
      <c r="C63" s="435">
        <v>0</v>
      </c>
      <c r="D63" s="426"/>
      <c r="E63" s="426"/>
      <c r="F63" s="448"/>
      <c r="G63" s="362">
        <v>0</v>
      </c>
      <c r="H63" s="363" t="s">
        <v>1236</v>
      </c>
      <c r="I63" s="364">
        <v>0</v>
      </c>
      <c r="J63" s="362">
        <v>0</v>
      </c>
      <c r="K63" s="363" t="s">
        <v>469</v>
      </c>
      <c r="L63" s="362">
        <v>0</v>
      </c>
    </row>
    <row r="64" spans="1:12" s="365" customFormat="1" ht="17.100000000000001" hidden="1" customHeight="1" outlineLevel="1" thickBot="1" x14ac:dyDescent="0.3">
      <c r="A64" s="360">
        <v>48</v>
      </c>
      <c r="B64" s="366">
        <v>0</v>
      </c>
      <c r="C64" s="435">
        <v>0</v>
      </c>
      <c r="D64" s="426"/>
      <c r="E64" s="426"/>
      <c r="F64" s="448"/>
      <c r="G64" s="362">
        <v>0</v>
      </c>
      <c r="H64" s="363" t="s">
        <v>1236</v>
      </c>
      <c r="I64" s="364">
        <v>0</v>
      </c>
      <c r="J64" s="362">
        <v>0</v>
      </c>
      <c r="K64" s="363" t="s">
        <v>469</v>
      </c>
      <c r="L64" s="362">
        <v>0</v>
      </c>
    </row>
    <row r="65" spans="1:12" s="365" customFormat="1" ht="17.100000000000001" hidden="1" customHeight="1" outlineLevel="1" thickBot="1" x14ac:dyDescent="0.3">
      <c r="A65" s="360">
        <v>49</v>
      </c>
      <c r="B65" s="366">
        <v>0</v>
      </c>
      <c r="C65" s="435">
        <v>0</v>
      </c>
      <c r="D65" s="426"/>
      <c r="E65" s="426"/>
      <c r="F65" s="448"/>
      <c r="G65" s="362">
        <v>0</v>
      </c>
      <c r="H65" s="363" t="s">
        <v>1236</v>
      </c>
      <c r="I65" s="364">
        <v>0</v>
      </c>
      <c r="J65" s="362">
        <v>0</v>
      </c>
      <c r="K65" s="363" t="s">
        <v>469</v>
      </c>
      <c r="L65" s="362">
        <v>0</v>
      </c>
    </row>
    <row r="66" spans="1:12" s="365" customFormat="1" ht="33" hidden="1" customHeight="1" outlineLevel="1" thickBot="1" x14ac:dyDescent="0.3">
      <c r="A66" s="360">
        <v>50</v>
      </c>
      <c r="B66" s="366">
        <v>0</v>
      </c>
      <c r="C66" s="435">
        <v>0</v>
      </c>
      <c r="D66" s="426"/>
      <c r="E66" s="426"/>
      <c r="F66" s="448"/>
      <c r="G66" s="362">
        <v>0</v>
      </c>
      <c r="H66" s="363" t="s">
        <v>1236</v>
      </c>
      <c r="I66" s="364">
        <v>0</v>
      </c>
      <c r="J66" s="362">
        <v>0</v>
      </c>
      <c r="K66" s="363" t="s">
        <v>469</v>
      </c>
      <c r="L66" s="362">
        <v>0</v>
      </c>
    </row>
    <row r="67" spans="1:12" s="365" customFormat="1" ht="33" hidden="1" customHeight="1" outlineLevel="1" thickBot="1" x14ac:dyDescent="0.3">
      <c r="A67" s="360">
        <v>51</v>
      </c>
      <c r="B67" s="366">
        <v>0</v>
      </c>
      <c r="C67" s="435">
        <v>0</v>
      </c>
      <c r="D67" s="426"/>
      <c r="E67" s="426"/>
      <c r="F67" s="448"/>
      <c r="G67" s="362">
        <v>0</v>
      </c>
      <c r="H67" s="363" t="s">
        <v>1236</v>
      </c>
      <c r="I67" s="364">
        <v>0</v>
      </c>
      <c r="J67" s="362">
        <v>0</v>
      </c>
      <c r="K67" s="363" t="s">
        <v>469</v>
      </c>
      <c r="L67" s="362">
        <v>0</v>
      </c>
    </row>
    <row r="68" spans="1:12" s="365" customFormat="1" ht="17.100000000000001" hidden="1" customHeight="1" outlineLevel="1" thickBot="1" x14ac:dyDescent="0.3">
      <c r="A68" s="360">
        <v>52</v>
      </c>
      <c r="B68" s="366">
        <v>0</v>
      </c>
      <c r="C68" s="435">
        <v>0</v>
      </c>
      <c r="D68" s="426"/>
      <c r="E68" s="426"/>
      <c r="F68" s="448"/>
      <c r="G68" s="362">
        <v>0</v>
      </c>
      <c r="H68" s="363" t="s">
        <v>1236</v>
      </c>
      <c r="I68" s="364">
        <v>0</v>
      </c>
      <c r="J68" s="362">
        <v>0</v>
      </c>
      <c r="K68" s="363" t="s">
        <v>469</v>
      </c>
      <c r="L68" s="362">
        <v>0</v>
      </c>
    </row>
    <row r="69" spans="1:12" s="365" customFormat="1" ht="33" hidden="1" customHeight="1" outlineLevel="1" thickBot="1" x14ac:dyDescent="0.3">
      <c r="A69" s="360">
        <v>53</v>
      </c>
      <c r="B69" s="366">
        <v>0</v>
      </c>
      <c r="C69" s="435">
        <v>0</v>
      </c>
      <c r="D69" s="426"/>
      <c r="E69" s="426"/>
      <c r="F69" s="448"/>
      <c r="G69" s="362">
        <v>0</v>
      </c>
      <c r="H69" s="363" t="s">
        <v>1236</v>
      </c>
      <c r="I69" s="364">
        <v>0</v>
      </c>
      <c r="J69" s="362">
        <v>0</v>
      </c>
      <c r="K69" s="363" t="s">
        <v>469</v>
      </c>
      <c r="L69" s="362">
        <v>0</v>
      </c>
    </row>
    <row r="70" spans="1:12" s="365" customFormat="1" ht="33" hidden="1" customHeight="1" outlineLevel="1" thickBot="1" x14ac:dyDescent="0.3">
      <c r="A70" s="360">
        <v>54</v>
      </c>
      <c r="B70" s="366">
        <v>0</v>
      </c>
      <c r="C70" s="435">
        <v>0</v>
      </c>
      <c r="D70" s="426"/>
      <c r="E70" s="426"/>
      <c r="F70" s="448"/>
      <c r="G70" s="362">
        <v>0</v>
      </c>
      <c r="H70" s="363" t="s">
        <v>1236</v>
      </c>
      <c r="I70" s="364">
        <v>0</v>
      </c>
      <c r="J70" s="362">
        <v>0</v>
      </c>
      <c r="K70" s="363" t="s">
        <v>469</v>
      </c>
      <c r="L70" s="362">
        <v>0</v>
      </c>
    </row>
    <row r="71" spans="1:12" s="365" customFormat="1" ht="33" hidden="1" customHeight="1" outlineLevel="1" thickBot="1" x14ac:dyDescent="0.3">
      <c r="A71" s="360">
        <v>55</v>
      </c>
      <c r="B71" s="366">
        <v>0</v>
      </c>
      <c r="C71" s="435">
        <v>0</v>
      </c>
      <c r="D71" s="426"/>
      <c r="E71" s="426"/>
      <c r="F71" s="448"/>
      <c r="G71" s="362">
        <v>0</v>
      </c>
      <c r="H71" s="363" t="s">
        <v>1236</v>
      </c>
      <c r="I71" s="364">
        <v>0</v>
      </c>
      <c r="J71" s="362">
        <v>0</v>
      </c>
      <c r="K71" s="363" t="s">
        <v>469</v>
      </c>
      <c r="L71" s="362">
        <v>0</v>
      </c>
    </row>
    <row r="72" spans="1:12" s="365" customFormat="1" ht="33" hidden="1" customHeight="1" outlineLevel="1" thickBot="1" x14ac:dyDescent="0.3">
      <c r="A72" s="360">
        <v>56</v>
      </c>
      <c r="B72" s="366">
        <v>0</v>
      </c>
      <c r="C72" s="435">
        <v>0</v>
      </c>
      <c r="D72" s="426"/>
      <c r="E72" s="426"/>
      <c r="F72" s="448"/>
      <c r="G72" s="362">
        <v>0</v>
      </c>
      <c r="H72" s="363" t="s">
        <v>1236</v>
      </c>
      <c r="I72" s="364">
        <v>0</v>
      </c>
      <c r="J72" s="362">
        <v>0</v>
      </c>
      <c r="K72" s="363" t="s">
        <v>469</v>
      </c>
      <c r="L72" s="362">
        <v>0</v>
      </c>
    </row>
    <row r="73" spans="1:12" s="365" customFormat="1" ht="17.100000000000001" hidden="1" customHeight="1" outlineLevel="1" thickBot="1" x14ac:dyDescent="0.3">
      <c r="A73" s="360">
        <v>57</v>
      </c>
      <c r="B73" s="366">
        <v>0</v>
      </c>
      <c r="C73" s="435">
        <v>0</v>
      </c>
      <c r="D73" s="426"/>
      <c r="E73" s="426"/>
      <c r="F73" s="448"/>
      <c r="G73" s="362">
        <v>0</v>
      </c>
      <c r="H73" s="363" t="s">
        <v>1236</v>
      </c>
      <c r="I73" s="364">
        <v>0</v>
      </c>
      <c r="J73" s="362">
        <v>0</v>
      </c>
      <c r="K73" s="363" t="s">
        <v>469</v>
      </c>
      <c r="L73" s="362">
        <v>0</v>
      </c>
    </row>
    <row r="74" spans="1:12" s="365" customFormat="1" ht="33" hidden="1" customHeight="1" outlineLevel="1" thickBot="1" x14ac:dyDescent="0.3">
      <c r="A74" s="360">
        <v>58</v>
      </c>
      <c r="B74" s="366">
        <v>0</v>
      </c>
      <c r="C74" s="435">
        <v>0</v>
      </c>
      <c r="D74" s="426"/>
      <c r="E74" s="426"/>
      <c r="F74" s="448"/>
      <c r="G74" s="362">
        <v>0</v>
      </c>
      <c r="H74" s="363" t="s">
        <v>1236</v>
      </c>
      <c r="I74" s="364">
        <v>0</v>
      </c>
      <c r="J74" s="362">
        <v>0</v>
      </c>
      <c r="K74" s="363" t="s">
        <v>469</v>
      </c>
      <c r="L74" s="362">
        <v>0</v>
      </c>
    </row>
    <row r="75" spans="1:12" s="365" customFormat="1" ht="17.100000000000001" hidden="1" customHeight="1" outlineLevel="1" thickBot="1" x14ac:dyDescent="0.3">
      <c r="A75" s="360">
        <v>59</v>
      </c>
      <c r="B75" s="366">
        <v>0</v>
      </c>
      <c r="C75" s="435">
        <v>0</v>
      </c>
      <c r="D75" s="426"/>
      <c r="E75" s="426"/>
      <c r="F75" s="448"/>
      <c r="G75" s="362">
        <v>0</v>
      </c>
      <c r="H75" s="363" t="s">
        <v>1236</v>
      </c>
      <c r="I75" s="364">
        <v>0</v>
      </c>
      <c r="J75" s="362">
        <v>0</v>
      </c>
      <c r="K75" s="363" t="s">
        <v>469</v>
      </c>
      <c r="L75" s="362">
        <v>0</v>
      </c>
    </row>
    <row r="76" spans="1:12" s="365" customFormat="1" ht="17.100000000000001" hidden="1" customHeight="1" outlineLevel="1" thickBot="1" x14ac:dyDescent="0.3">
      <c r="A76" s="360">
        <v>60</v>
      </c>
      <c r="B76" s="366">
        <v>0</v>
      </c>
      <c r="C76" s="435">
        <v>0</v>
      </c>
      <c r="D76" s="426"/>
      <c r="E76" s="426"/>
      <c r="F76" s="448"/>
      <c r="G76" s="362">
        <v>0</v>
      </c>
      <c r="H76" s="363" t="s">
        <v>1236</v>
      </c>
      <c r="I76" s="364">
        <v>0</v>
      </c>
      <c r="J76" s="362">
        <v>0</v>
      </c>
      <c r="K76" s="363" t="s">
        <v>469</v>
      </c>
      <c r="L76" s="362">
        <v>0</v>
      </c>
    </row>
    <row r="77" spans="1:12" s="365" customFormat="1" ht="33" hidden="1" customHeight="1" outlineLevel="1" thickBot="1" x14ac:dyDescent="0.3">
      <c r="A77" s="360">
        <v>61</v>
      </c>
      <c r="B77" s="366">
        <v>0</v>
      </c>
      <c r="C77" s="435">
        <v>0</v>
      </c>
      <c r="D77" s="426"/>
      <c r="E77" s="426"/>
      <c r="F77" s="448"/>
      <c r="G77" s="362">
        <v>0</v>
      </c>
      <c r="H77" s="363" t="s">
        <v>1236</v>
      </c>
      <c r="I77" s="364">
        <v>0</v>
      </c>
      <c r="J77" s="362">
        <v>0</v>
      </c>
      <c r="K77" s="363" t="s">
        <v>469</v>
      </c>
      <c r="L77" s="362">
        <v>0</v>
      </c>
    </row>
    <row r="78" spans="1:12" s="365" customFormat="1" ht="17.100000000000001" hidden="1" customHeight="1" outlineLevel="1" thickBot="1" x14ac:dyDescent="0.3">
      <c r="A78" s="360">
        <v>62</v>
      </c>
      <c r="B78" s="366">
        <v>0</v>
      </c>
      <c r="C78" s="435">
        <v>0</v>
      </c>
      <c r="D78" s="426"/>
      <c r="E78" s="426"/>
      <c r="F78" s="448"/>
      <c r="G78" s="362">
        <v>0</v>
      </c>
      <c r="H78" s="363" t="s">
        <v>1236</v>
      </c>
      <c r="I78" s="364">
        <v>0</v>
      </c>
      <c r="J78" s="362">
        <v>0</v>
      </c>
      <c r="K78" s="363" t="s">
        <v>469</v>
      </c>
      <c r="L78" s="362">
        <v>0</v>
      </c>
    </row>
    <row r="79" spans="1:12" s="365" customFormat="1" ht="33" hidden="1" customHeight="1" outlineLevel="1" thickBot="1" x14ac:dyDescent="0.3">
      <c r="A79" s="360">
        <v>63</v>
      </c>
      <c r="B79" s="366">
        <v>0</v>
      </c>
      <c r="C79" s="435">
        <v>0</v>
      </c>
      <c r="D79" s="426"/>
      <c r="E79" s="426"/>
      <c r="F79" s="448"/>
      <c r="G79" s="362">
        <v>0</v>
      </c>
      <c r="H79" s="363" t="s">
        <v>1236</v>
      </c>
      <c r="I79" s="364">
        <v>0</v>
      </c>
      <c r="J79" s="362">
        <v>0</v>
      </c>
      <c r="K79" s="363" t="s">
        <v>469</v>
      </c>
      <c r="L79" s="362">
        <v>0</v>
      </c>
    </row>
    <row r="80" spans="1:12" s="365" customFormat="1" ht="33" hidden="1" customHeight="1" outlineLevel="1" thickBot="1" x14ac:dyDescent="0.3">
      <c r="A80" s="360">
        <v>64</v>
      </c>
      <c r="B80" s="366"/>
      <c r="C80" s="435">
        <v>0</v>
      </c>
      <c r="D80" s="426"/>
      <c r="E80" s="426"/>
      <c r="F80" s="448"/>
      <c r="G80" s="362">
        <v>0</v>
      </c>
      <c r="H80" s="363" t="s">
        <v>1236</v>
      </c>
      <c r="I80" s="364">
        <v>0</v>
      </c>
      <c r="J80" s="362">
        <v>0</v>
      </c>
      <c r="K80" s="363" t="s">
        <v>469</v>
      </c>
      <c r="L80" s="362">
        <v>0</v>
      </c>
    </row>
    <row r="81" spans="1:12" s="365" customFormat="1" ht="33" hidden="1" customHeight="1" outlineLevel="1" thickBot="1" x14ac:dyDescent="0.3">
      <c r="A81" s="360">
        <v>65</v>
      </c>
      <c r="B81" s="366"/>
      <c r="C81" s="435">
        <v>0</v>
      </c>
      <c r="D81" s="426"/>
      <c r="E81" s="426"/>
      <c r="F81" s="448"/>
      <c r="G81" s="362"/>
      <c r="H81" s="363"/>
      <c r="I81" s="364">
        <v>0</v>
      </c>
      <c r="J81" s="362">
        <v>0</v>
      </c>
      <c r="K81" s="363"/>
      <c r="L81" s="362"/>
    </row>
    <row r="82" spans="1:12" s="365" customFormat="1" ht="33" hidden="1" customHeight="1" outlineLevel="1" thickBot="1" x14ac:dyDescent="0.3">
      <c r="A82" s="360">
        <v>66</v>
      </c>
      <c r="B82" s="366"/>
      <c r="C82" s="435">
        <v>0</v>
      </c>
      <c r="D82" s="426"/>
      <c r="E82" s="426"/>
      <c r="F82" s="448"/>
      <c r="G82" s="362"/>
      <c r="H82" s="363"/>
      <c r="I82" s="364">
        <v>0</v>
      </c>
      <c r="J82" s="362">
        <v>0</v>
      </c>
      <c r="K82" s="363"/>
      <c r="L82" s="362"/>
    </row>
    <row r="83" spans="1:12" s="365" customFormat="1" ht="33" hidden="1" customHeight="1" outlineLevel="1" thickBot="1" x14ac:dyDescent="0.3">
      <c r="A83" s="360">
        <v>67</v>
      </c>
      <c r="B83" s="366"/>
      <c r="C83" s="435">
        <v>0</v>
      </c>
      <c r="D83" s="426"/>
      <c r="E83" s="426"/>
      <c r="F83" s="448"/>
      <c r="G83" s="362"/>
      <c r="H83" s="363"/>
      <c r="I83" s="364">
        <v>0</v>
      </c>
      <c r="J83" s="362">
        <v>0</v>
      </c>
      <c r="K83" s="363"/>
      <c r="L83" s="362"/>
    </row>
    <row r="84" spans="1:12" s="365" customFormat="1" ht="33" hidden="1" customHeight="1" outlineLevel="1" thickBot="1" x14ac:dyDescent="0.3">
      <c r="A84" s="360">
        <v>68</v>
      </c>
      <c r="B84" s="366"/>
      <c r="C84" s="435">
        <v>0</v>
      </c>
      <c r="D84" s="426"/>
      <c r="E84" s="426"/>
      <c r="F84" s="448"/>
      <c r="G84" s="362"/>
      <c r="H84" s="363"/>
      <c r="I84" s="364">
        <v>0</v>
      </c>
      <c r="J84" s="362">
        <v>0</v>
      </c>
      <c r="K84" s="363"/>
      <c r="L84" s="362"/>
    </row>
    <row r="85" spans="1:12" s="365" customFormat="1" ht="33" hidden="1" customHeight="1" outlineLevel="1" thickBot="1" x14ac:dyDescent="0.3">
      <c r="A85" s="360">
        <v>69</v>
      </c>
      <c r="B85" s="366"/>
      <c r="C85" s="435">
        <v>0</v>
      </c>
      <c r="D85" s="426"/>
      <c r="E85" s="426"/>
      <c r="F85" s="448"/>
      <c r="G85" s="362"/>
      <c r="H85" s="363"/>
      <c r="I85" s="367"/>
      <c r="J85" s="362">
        <v>0</v>
      </c>
      <c r="K85" s="363"/>
      <c r="L85" s="362"/>
    </row>
    <row r="86" spans="1:12" s="365" customFormat="1" ht="17.100000000000001" hidden="1" customHeight="1" outlineLevel="1" thickBot="1" x14ac:dyDescent="0.3">
      <c r="A86" s="360">
        <v>70</v>
      </c>
      <c r="B86" s="366"/>
      <c r="C86" s="435">
        <v>0</v>
      </c>
      <c r="D86" s="426"/>
      <c r="E86" s="426"/>
      <c r="F86" s="448"/>
      <c r="G86" s="362"/>
      <c r="H86" s="363"/>
      <c r="I86" s="367"/>
      <c r="J86" s="362">
        <v>0</v>
      </c>
      <c r="K86" s="363"/>
      <c r="L86" s="362"/>
    </row>
    <row r="87" spans="1:12" s="365" customFormat="1" ht="33" hidden="1" customHeight="1" outlineLevel="1" thickBot="1" x14ac:dyDescent="0.3">
      <c r="A87" s="360">
        <v>71</v>
      </c>
      <c r="B87" s="366"/>
      <c r="C87" s="435">
        <v>0</v>
      </c>
      <c r="D87" s="426"/>
      <c r="E87" s="426"/>
      <c r="F87" s="448"/>
      <c r="G87" s="362"/>
      <c r="H87" s="363"/>
      <c r="I87" s="367"/>
      <c r="J87" s="362">
        <v>0</v>
      </c>
      <c r="K87" s="363"/>
      <c r="L87" s="362"/>
    </row>
    <row r="88" spans="1:12" s="365" customFormat="1" ht="33" hidden="1" customHeight="1" outlineLevel="1" thickBot="1" x14ac:dyDescent="0.3">
      <c r="A88" s="360">
        <v>72</v>
      </c>
      <c r="B88" s="366"/>
      <c r="C88" s="435">
        <v>0</v>
      </c>
      <c r="D88" s="426"/>
      <c r="E88" s="426"/>
      <c r="F88" s="448"/>
      <c r="G88" s="362"/>
      <c r="H88" s="363"/>
      <c r="I88" s="367"/>
      <c r="J88" s="362">
        <v>0</v>
      </c>
      <c r="K88" s="363"/>
      <c r="L88" s="362"/>
    </row>
    <row r="89" spans="1:12" s="365" customFormat="1" ht="33" hidden="1" customHeight="1" outlineLevel="1" thickBot="1" x14ac:dyDescent="0.3">
      <c r="A89" s="360">
        <v>73</v>
      </c>
      <c r="B89" s="366"/>
      <c r="C89" s="435">
        <v>0</v>
      </c>
      <c r="D89" s="426"/>
      <c r="E89" s="426"/>
      <c r="F89" s="448"/>
      <c r="G89" s="362"/>
      <c r="H89" s="363"/>
      <c r="I89" s="367"/>
      <c r="J89" s="362">
        <v>0</v>
      </c>
      <c r="K89" s="363"/>
      <c r="L89" s="362"/>
    </row>
    <row r="90" spans="1:12" s="365" customFormat="1" ht="17.100000000000001" hidden="1" customHeight="1" outlineLevel="1" thickBot="1" x14ac:dyDescent="0.3">
      <c r="A90" s="360">
        <v>74</v>
      </c>
      <c r="B90" s="366"/>
      <c r="C90" s="435">
        <v>0</v>
      </c>
      <c r="D90" s="426"/>
      <c r="E90" s="426"/>
      <c r="F90" s="448"/>
      <c r="G90" s="362"/>
      <c r="H90" s="363"/>
      <c r="I90" s="367"/>
      <c r="J90" s="362">
        <v>0</v>
      </c>
      <c r="K90" s="363"/>
      <c r="L90" s="362"/>
    </row>
    <row r="91" spans="1:12" s="365" customFormat="1" ht="33" hidden="1" customHeight="1" outlineLevel="1" thickBot="1" x14ac:dyDescent="0.3">
      <c r="A91" s="360">
        <v>75</v>
      </c>
      <c r="B91" s="366"/>
      <c r="C91" s="435">
        <v>0</v>
      </c>
      <c r="D91" s="426"/>
      <c r="E91" s="426"/>
      <c r="F91" s="448"/>
      <c r="G91" s="362"/>
      <c r="H91" s="363"/>
      <c r="I91" s="367"/>
      <c r="J91" s="362">
        <v>0</v>
      </c>
      <c r="K91" s="363"/>
      <c r="L91" s="362"/>
    </row>
    <row r="92" spans="1:12" s="365" customFormat="1" ht="33" hidden="1" customHeight="1" outlineLevel="1" thickBot="1" x14ac:dyDescent="0.3">
      <c r="A92" s="360">
        <v>76</v>
      </c>
      <c r="B92" s="366"/>
      <c r="C92" s="435">
        <v>0</v>
      </c>
      <c r="D92" s="426"/>
      <c r="E92" s="426"/>
      <c r="F92" s="448"/>
      <c r="G92" s="362"/>
      <c r="H92" s="363"/>
      <c r="I92" s="367"/>
      <c r="J92" s="362">
        <v>0</v>
      </c>
      <c r="K92" s="363"/>
      <c r="L92" s="362"/>
    </row>
    <row r="93" spans="1:12" s="365" customFormat="1" ht="17.100000000000001" hidden="1" customHeight="1" outlineLevel="1" thickBot="1" x14ac:dyDescent="0.3">
      <c r="A93" s="360">
        <v>77</v>
      </c>
      <c r="B93" s="366"/>
      <c r="C93" s="435">
        <v>0</v>
      </c>
      <c r="D93" s="426"/>
      <c r="E93" s="426"/>
      <c r="F93" s="448"/>
      <c r="G93" s="362"/>
      <c r="H93" s="363"/>
      <c r="I93" s="367"/>
      <c r="J93" s="362">
        <v>0</v>
      </c>
      <c r="K93" s="363"/>
      <c r="L93" s="362"/>
    </row>
    <row r="94" spans="1:12" s="365" customFormat="1" ht="33" hidden="1" customHeight="1" outlineLevel="1" thickBot="1" x14ac:dyDescent="0.3">
      <c r="A94" s="360">
        <v>78</v>
      </c>
      <c r="B94" s="366"/>
      <c r="C94" s="435">
        <v>0</v>
      </c>
      <c r="D94" s="426"/>
      <c r="E94" s="426"/>
      <c r="F94" s="448"/>
      <c r="G94" s="362"/>
      <c r="H94" s="363"/>
      <c r="I94" s="367"/>
      <c r="J94" s="362">
        <v>0</v>
      </c>
      <c r="K94" s="363"/>
      <c r="L94" s="362"/>
    </row>
    <row r="95" spans="1:12" s="365" customFormat="1" ht="33" hidden="1" customHeight="1" outlineLevel="1" thickBot="1" x14ac:dyDescent="0.3">
      <c r="A95" s="360">
        <v>79</v>
      </c>
      <c r="B95" s="366"/>
      <c r="C95" s="435">
        <v>0</v>
      </c>
      <c r="D95" s="426"/>
      <c r="E95" s="426"/>
      <c r="F95" s="448"/>
      <c r="G95" s="362"/>
      <c r="H95" s="363"/>
      <c r="I95" s="367"/>
      <c r="J95" s="362">
        <v>0</v>
      </c>
      <c r="K95" s="363"/>
      <c r="L95" s="362"/>
    </row>
    <row r="96" spans="1:12" s="365" customFormat="1" ht="33" hidden="1" customHeight="1" outlineLevel="1" thickBot="1" x14ac:dyDescent="0.3">
      <c r="A96" s="360">
        <v>80</v>
      </c>
      <c r="B96" s="366"/>
      <c r="C96" s="435">
        <v>0</v>
      </c>
      <c r="D96" s="426"/>
      <c r="E96" s="426"/>
      <c r="F96" s="448"/>
      <c r="G96" s="362"/>
      <c r="H96" s="363"/>
      <c r="I96" s="367"/>
      <c r="J96" s="362">
        <v>0</v>
      </c>
      <c r="K96" s="363"/>
      <c r="L96" s="362"/>
    </row>
    <row r="97" spans="1:12" s="365" customFormat="1" ht="33" hidden="1" customHeight="1" outlineLevel="1" thickBot="1" x14ac:dyDescent="0.3">
      <c r="A97" s="360">
        <v>81</v>
      </c>
      <c r="B97" s="366"/>
      <c r="C97" s="425">
        <v>0</v>
      </c>
      <c r="D97" s="426"/>
      <c r="E97" s="426"/>
      <c r="F97" s="448"/>
      <c r="G97" s="362"/>
      <c r="H97" s="363"/>
      <c r="I97" s="367"/>
      <c r="J97" s="362">
        <v>0</v>
      </c>
      <c r="K97" s="363"/>
      <c r="L97" s="362"/>
    </row>
    <row r="98" spans="1:12" s="365" customFormat="1" ht="33" hidden="1" customHeight="1" outlineLevel="1" thickBot="1" x14ac:dyDescent="0.3">
      <c r="A98" s="360">
        <v>82</v>
      </c>
      <c r="B98" s="363"/>
      <c r="C98" s="449"/>
      <c r="D98" s="438"/>
      <c r="E98" s="438"/>
      <c r="F98" s="439"/>
      <c r="G98" s="362"/>
      <c r="H98" s="363"/>
      <c r="I98" s="367"/>
      <c r="J98" s="362">
        <v>0</v>
      </c>
      <c r="K98" s="363"/>
      <c r="L98" s="362"/>
    </row>
    <row r="99" spans="1:12" s="365" customFormat="1" ht="17.100000000000001" hidden="1" customHeight="1" outlineLevel="1" thickBot="1" x14ac:dyDescent="0.3">
      <c r="A99" s="360">
        <v>83</v>
      </c>
      <c r="B99" s="363"/>
      <c r="C99" s="437"/>
      <c r="D99" s="438"/>
      <c r="E99" s="438"/>
      <c r="F99" s="439"/>
      <c r="G99" s="362"/>
      <c r="H99" s="363"/>
      <c r="I99" s="367"/>
      <c r="J99" s="362">
        <v>0</v>
      </c>
      <c r="K99" s="363"/>
      <c r="L99" s="362"/>
    </row>
    <row r="100" spans="1:12" s="365" customFormat="1" ht="17.100000000000001" hidden="1" customHeight="1" outlineLevel="1" thickBot="1" x14ac:dyDescent="0.3">
      <c r="A100" s="360">
        <v>84</v>
      </c>
      <c r="B100" s="363"/>
      <c r="C100" s="437"/>
      <c r="D100" s="438"/>
      <c r="E100" s="438"/>
      <c r="F100" s="439"/>
      <c r="G100" s="362"/>
      <c r="H100" s="363"/>
      <c r="I100" s="367"/>
      <c r="J100" s="362">
        <v>0</v>
      </c>
      <c r="K100" s="363"/>
      <c r="L100" s="362"/>
    </row>
    <row r="101" spans="1:12" s="365" customFormat="1" ht="17.100000000000001" hidden="1" customHeight="1" outlineLevel="1" thickBot="1" x14ac:dyDescent="0.3">
      <c r="A101" s="360">
        <v>85</v>
      </c>
      <c r="B101" s="363"/>
      <c r="C101" s="437"/>
      <c r="D101" s="438"/>
      <c r="E101" s="438"/>
      <c r="F101" s="439"/>
      <c r="G101" s="362"/>
      <c r="H101" s="363"/>
      <c r="I101" s="367"/>
      <c r="J101" s="362">
        <v>0</v>
      </c>
      <c r="K101" s="363"/>
      <c r="L101" s="362"/>
    </row>
    <row r="102" spans="1:12" s="365" customFormat="1" ht="33" hidden="1" customHeight="1" outlineLevel="1" thickBot="1" x14ac:dyDescent="0.3">
      <c r="A102" s="360">
        <v>86</v>
      </c>
      <c r="B102" s="363"/>
      <c r="C102" s="437"/>
      <c r="D102" s="438"/>
      <c r="E102" s="438"/>
      <c r="F102" s="439"/>
      <c r="G102" s="362"/>
      <c r="H102" s="363"/>
      <c r="I102" s="367"/>
      <c r="J102" s="362">
        <v>0</v>
      </c>
      <c r="K102" s="363"/>
      <c r="L102" s="362"/>
    </row>
    <row r="103" spans="1:12" s="365" customFormat="1" ht="33" hidden="1" customHeight="1" outlineLevel="1" thickBot="1" x14ac:dyDescent="0.3">
      <c r="A103" s="360">
        <v>87</v>
      </c>
      <c r="B103" s="363"/>
      <c r="C103" s="437"/>
      <c r="D103" s="438"/>
      <c r="E103" s="438"/>
      <c r="F103" s="439"/>
      <c r="G103" s="362"/>
      <c r="H103" s="363"/>
      <c r="I103" s="367"/>
      <c r="J103" s="362">
        <v>0</v>
      </c>
      <c r="K103" s="363"/>
      <c r="L103" s="362"/>
    </row>
    <row r="104" spans="1:12" s="365" customFormat="1" ht="17.100000000000001" hidden="1" customHeight="1" outlineLevel="1" thickBot="1" x14ac:dyDescent="0.3">
      <c r="A104" s="360">
        <v>88</v>
      </c>
      <c r="B104" s="363"/>
      <c r="C104" s="437"/>
      <c r="D104" s="438"/>
      <c r="E104" s="438"/>
      <c r="F104" s="439"/>
      <c r="G104" s="362"/>
      <c r="H104" s="363"/>
      <c r="I104" s="367"/>
      <c r="J104" s="362">
        <v>0</v>
      </c>
      <c r="K104" s="363"/>
      <c r="L104" s="362"/>
    </row>
    <row r="105" spans="1:12" s="365" customFormat="1" ht="17.100000000000001" hidden="1" customHeight="1" outlineLevel="1" thickBot="1" x14ac:dyDescent="0.3">
      <c r="A105" s="360">
        <v>89</v>
      </c>
      <c r="B105" s="363"/>
      <c r="C105" s="437"/>
      <c r="D105" s="438"/>
      <c r="E105" s="438"/>
      <c r="F105" s="439"/>
      <c r="G105" s="362"/>
      <c r="H105" s="363"/>
      <c r="I105" s="367"/>
      <c r="J105" s="362">
        <v>0</v>
      </c>
      <c r="K105" s="363"/>
      <c r="L105" s="362"/>
    </row>
    <row r="106" spans="1:12" s="365" customFormat="1" ht="17.100000000000001" hidden="1" customHeight="1" outlineLevel="1" thickBot="1" x14ac:dyDescent="0.3">
      <c r="A106" s="360">
        <v>90</v>
      </c>
      <c r="B106" s="363"/>
      <c r="C106" s="437"/>
      <c r="D106" s="438"/>
      <c r="E106" s="438"/>
      <c r="F106" s="439"/>
      <c r="G106" s="362"/>
      <c r="H106" s="363"/>
      <c r="I106" s="367"/>
      <c r="J106" s="362">
        <v>0</v>
      </c>
      <c r="K106" s="363"/>
      <c r="L106" s="362"/>
    </row>
    <row r="107" spans="1:12" s="365" customFormat="1" ht="33" hidden="1" customHeight="1" outlineLevel="1" thickBot="1" x14ac:dyDescent="0.3">
      <c r="A107" s="360">
        <v>91</v>
      </c>
      <c r="B107" s="363"/>
      <c r="C107" s="437"/>
      <c r="D107" s="438"/>
      <c r="E107" s="438"/>
      <c r="F107" s="439"/>
      <c r="G107" s="362"/>
      <c r="H107" s="363"/>
      <c r="I107" s="367"/>
      <c r="J107" s="362">
        <v>0</v>
      </c>
      <c r="K107" s="363"/>
      <c r="L107" s="362"/>
    </row>
    <row r="108" spans="1:12" s="365" customFormat="1" ht="33" hidden="1" customHeight="1" outlineLevel="1" thickBot="1" x14ac:dyDescent="0.3">
      <c r="A108" s="360">
        <v>92</v>
      </c>
      <c r="B108" s="363"/>
      <c r="C108" s="437"/>
      <c r="D108" s="438"/>
      <c r="E108" s="438"/>
      <c r="F108" s="439"/>
      <c r="G108" s="362"/>
      <c r="H108" s="363"/>
      <c r="I108" s="367"/>
      <c r="J108" s="362">
        <v>0</v>
      </c>
      <c r="K108" s="363"/>
      <c r="L108" s="362"/>
    </row>
    <row r="109" spans="1:12" s="365" customFormat="1" ht="33" hidden="1" customHeight="1" outlineLevel="1" thickBot="1" x14ac:dyDescent="0.3">
      <c r="A109" s="360">
        <v>93</v>
      </c>
      <c r="B109" s="363"/>
      <c r="C109" s="437"/>
      <c r="D109" s="438"/>
      <c r="E109" s="438"/>
      <c r="F109" s="439"/>
      <c r="G109" s="362"/>
      <c r="H109" s="363"/>
      <c r="I109" s="367"/>
      <c r="J109" s="362">
        <v>0</v>
      </c>
      <c r="K109" s="363"/>
      <c r="L109" s="362"/>
    </row>
    <row r="110" spans="1:12" s="365" customFormat="1" ht="33" hidden="1" customHeight="1" outlineLevel="1" thickBot="1" x14ac:dyDescent="0.3">
      <c r="A110" s="360">
        <v>94</v>
      </c>
      <c r="B110" s="363"/>
      <c r="C110" s="437"/>
      <c r="D110" s="438"/>
      <c r="E110" s="438"/>
      <c r="F110" s="439"/>
      <c r="G110" s="362"/>
      <c r="H110" s="363"/>
      <c r="I110" s="367"/>
      <c r="J110" s="362">
        <v>0</v>
      </c>
      <c r="K110" s="363"/>
      <c r="L110" s="362"/>
    </row>
    <row r="111" spans="1:12" s="365" customFormat="1" ht="17.100000000000001" hidden="1" customHeight="1" outlineLevel="1" thickBot="1" x14ac:dyDescent="0.3">
      <c r="A111" s="360">
        <v>95</v>
      </c>
      <c r="B111" s="363"/>
      <c r="C111" s="437"/>
      <c r="D111" s="438"/>
      <c r="E111" s="438"/>
      <c r="F111" s="439"/>
      <c r="G111" s="362"/>
      <c r="H111" s="363"/>
      <c r="I111" s="367"/>
      <c r="J111" s="362">
        <v>0</v>
      </c>
      <c r="K111" s="363"/>
      <c r="L111" s="362"/>
    </row>
    <row r="112" spans="1:12" s="365" customFormat="1" ht="17.100000000000001" hidden="1" customHeight="1" outlineLevel="1" thickBot="1" x14ac:dyDescent="0.3">
      <c r="A112" s="360">
        <v>96</v>
      </c>
      <c r="B112" s="363"/>
      <c r="C112" s="437"/>
      <c r="D112" s="438"/>
      <c r="E112" s="438"/>
      <c r="F112" s="439"/>
      <c r="G112" s="362"/>
      <c r="H112" s="363"/>
      <c r="I112" s="367"/>
      <c r="J112" s="362">
        <v>0</v>
      </c>
      <c r="K112" s="363"/>
      <c r="L112" s="362"/>
    </row>
    <row r="113" spans="1:12" s="365" customFormat="1" ht="33" hidden="1" customHeight="1" outlineLevel="1" thickBot="1" x14ac:dyDescent="0.3">
      <c r="A113" s="360">
        <v>97</v>
      </c>
      <c r="B113" s="363"/>
      <c r="C113" s="437"/>
      <c r="D113" s="438"/>
      <c r="E113" s="438"/>
      <c r="F113" s="439"/>
      <c r="G113" s="362"/>
      <c r="H113" s="363"/>
      <c r="I113" s="367"/>
      <c r="J113" s="362">
        <v>0</v>
      </c>
      <c r="K113" s="363"/>
      <c r="L113" s="362"/>
    </row>
    <row r="114" spans="1:12" s="365" customFormat="1" ht="33" hidden="1" customHeight="1" outlineLevel="1" thickBot="1" x14ac:dyDescent="0.3">
      <c r="A114" s="360">
        <v>98</v>
      </c>
      <c r="B114" s="363"/>
      <c r="C114" s="437"/>
      <c r="D114" s="438"/>
      <c r="E114" s="438"/>
      <c r="F114" s="439"/>
      <c r="G114" s="362"/>
      <c r="H114" s="363"/>
      <c r="I114" s="367"/>
      <c r="J114" s="362">
        <v>0</v>
      </c>
      <c r="K114" s="363"/>
      <c r="L114" s="362"/>
    </row>
    <row r="115" spans="1:12" s="365" customFormat="1" ht="33" hidden="1" customHeight="1" outlineLevel="1" thickBot="1" x14ac:dyDescent="0.3">
      <c r="A115" s="360">
        <v>99</v>
      </c>
      <c r="B115" s="363"/>
      <c r="C115" s="437"/>
      <c r="D115" s="438"/>
      <c r="E115" s="438"/>
      <c r="F115" s="439"/>
      <c r="G115" s="362"/>
      <c r="H115" s="363"/>
      <c r="I115" s="367"/>
      <c r="J115" s="362">
        <v>0</v>
      </c>
      <c r="K115" s="363"/>
      <c r="L115" s="362"/>
    </row>
    <row r="116" spans="1:12" s="365" customFormat="1" ht="33" hidden="1" customHeight="1" outlineLevel="1" thickBot="1" x14ac:dyDescent="0.3">
      <c r="A116" s="360">
        <v>100</v>
      </c>
      <c r="B116" s="363"/>
      <c r="C116" s="437"/>
      <c r="D116" s="438"/>
      <c r="E116" s="438"/>
      <c r="F116" s="439"/>
      <c r="G116" s="362"/>
      <c r="H116" s="363"/>
      <c r="I116" s="367"/>
      <c r="J116" s="362">
        <v>0</v>
      </c>
      <c r="K116" s="363"/>
      <c r="L116" s="362"/>
    </row>
    <row r="117" spans="1:12" s="365" customFormat="1" ht="33" hidden="1" customHeight="1" outlineLevel="1" thickBot="1" x14ac:dyDescent="0.3">
      <c r="A117" s="360">
        <v>101</v>
      </c>
      <c r="B117" s="363"/>
      <c r="C117" s="437"/>
      <c r="D117" s="438"/>
      <c r="E117" s="438"/>
      <c r="F117" s="439"/>
      <c r="G117" s="362"/>
      <c r="H117" s="363"/>
      <c r="I117" s="367"/>
      <c r="J117" s="362">
        <v>0</v>
      </c>
      <c r="K117" s="363"/>
      <c r="L117" s="362"/>
    </row>
    <row r="118" spans="1:12" s="365" customFormat="1" ht="33" hidden="1" customHeight="1" outlineLevel="1" thickBot="1" x14ac:dyDescent="0.3">
      <c r="A118" s="360">
        <v>102</v>
      </c>
      <c r="B118" s="363"/>
      <c r="C118" s="437"/>
      <c r="D118" s="438"/>
      <c r="E118" s="438"/>
      <c r="F118" s="439"/>
      <c r="G118" s="362"/>
      <c r="H118" s="363"/>
      <c r="I118" s="367"/>
      <c r="J118" s="362">
        <v>0</v>
      </c>
      <c r="K118" s="363"/>
      <c r="L118" s="362"/>
    </row>
    <row r="119" spans="1:12" s="365" customFormat="1" ht="33" hidden="1" customHeight="1" outlineLevel="1" thickBot="1" x14ac:dyDescent="0.3">
      <c r="A119" s="360">
        <v>103</v>
      </c>
      <c r="B119" s="363"/>
      <c r="C119" s="437"/>
      <c r="D119" s="438"/>
      <c r="E119" s="438"/>
      <c r="F119" s="439"/>
      <c r="G119" s="362"/>
      <c r="H119" s="363"/>
      <c r="I119" s="367"/>
      <c r="J119" s="362">
        <v>0</v>
      </c>
      <c r="K119" s="363"/>
      <c r="L119" s="362"/>
    </row>
    <row r="120" spans="1:12" s="365" customFormat="1" ht="17.100000000000001" hidden="1" customHeight="1" outlineLevel="1" thickBot="1" x14ac:dyDescent="0.3">
      <c r="A120" s="360">
        <v>104</v>
      </c>
      <c r="B120" s="363"/>
      <c r="C120" s="437"/>
      <c r="D120" s="438"/>
      <c r="E120" s="438"/>
      <c r="F120" s="439"/>
      <c r="G120" s="362"/>
      <c r="H120" s="363"/>
      <c r="I120" s="367"/>
      <c r="J120" s="362">
        <v>0</v>
      </c>
      <c r="K120" s="363"/>
      <c r="L120" s="362"/>
    </row>
    <row r="121" spans="1:12" s="365" customFormat="1" ht="33" hidden="1" customHeight="1" outlineLevel="1" thickBot="1" x14ac:dyDescent="0.3">
      <c r="A121" s="360">
        <v>105</v>
      </c>
      <c r="B121" s="363"/>
      <c r="C121" s="437"/>
      <c r="D121" s="438"/>
      <c r="E121" s="438"/>
      <c r="F121" s="439"/>
      <c r="G121" s="362"/>
      <c r="H121" s="363"/>
      <c r="I121" s="367"/>
      <c r="J121" s="362">
        <v>0</v>
      </c>
      <c r="K121" s="363"/>
      <c r="L121" s="362"/>
    </row>
    <row r="122" spans="1:12" s="365" customFormat="1" ht="17.100000000000001" hidden="1" customHeight="1" outlineLevel="1" thickBot="1" x14ac:dyDescent="0.3">
      <c r="A122" s="360">
        <v>106</v>
      </c>
      <c r="B122" s="363"/>
      <c r="C122" s="437"/>
      <c r="D122" s="438"/>
      <c r="E122" s="438"/>
      <c r="F122" s="439"/>
      <c r="G122" s="362"/>
      <c r="H122" s="363"/>
      <c r="I122" s="367"/>
      <c r="J122" s="362">
        <v>0</v>
      </c>
      <c r="K122" s="363"/>
      <c r="L122" s="362"/>
    </row>
    <row r="123" spans="1:12" s="365" customFormat="1" ht="17.100000000000001" hidden="1" customHeight="1" outlineLevel="1" thickBot="1" x14ac:dyDescent="0.3">
      <c r="A123" s="360">
        <v>107</v>
      </c>
      <c r="B123" s="363"/>
      <c r="C123" s="437"/>
      <c r="D123" s="438"/>
      <c r="E123" s="438"/>
      <c r="F123" s="439"/>
      <c r="G123" s="362"/>
      <c r="H123" s="363"/>
      <c r="I123" s="367"/>
      <c r="J123" s="362">
        <v>0</v>
      </c>
      <c r="K123" s="363"/>
      <c r="L123" s="362"/>
    </row>
    <row r="124" spans="1:12" s="365" customFormat="1" ht="17.100000000000001" hidden="1" customHeight="1" outlineLevel="1" thickBot="1" x14ac:dyDescent="0.3">
      <c r="A124" s="360">
        <v>108</v>
      </c>
      <c r="B124" s="363"/>
      <c r="C124" s="437"/>
      <c r="D124" s="438"/>
      <c r="E124" s="438"/>
      <c r="F124" s="439"/>
      <c r="G124" s="362"/>
      <c r="H124" s="363"/>
      <c r="I124" s="367"/>
      <c r="J124" s="362">
        <v>0</v>
      </c>
      <c r="K124" s="363"/>
      <c r="L124" s="362"/>
    </row>
    <row r="125" spans="1:12" s="365" customFormat="1" ht="17.100000000000001" hidden="1" customHeight="1" outlineLevel="1" thickBot="1" x14ac:dyDescent="0.3">
      <c r="A125" s="360">
        <v>109</v>
      </c>
      <c r="B125" s="363"/>
      <c r="C125" s="437"/>
      <c r="D125" s="438"/>
      <c r="E125" s="438"/>
      <c r="F125" s="439"/>
      <c r="G125" s="362"/>
      <c r="H125" s="363"/>
      <c r="I125" s="367"/>
      <c r="J125" s="362">
        <v>0</v>
      </c>
      <c r="K125" s="363"/>
      <c r="L125" s="362"/>
    </row>
    <row r="126" spans="1:12" s="365" customFormat="1" ht="33" hidden="1" customHeight="1" outlineLevel="1" thickBot="1" x14ac:dyDescent="0.3">
      <c r="A126" s="360">
        <v>110</v>
      </c>
      <c r="B126" s="363"/>
      <c r="C126" s="437"/>
      <c r="D126" s="438"/>
      <c r="E126" s="438"/>
      <c r="F126" s="439"/>
      <c r="G126" s="362"/>
      <c r="H126" s="363"/>
      <c r="I126" s="367"/>
      <c r="J126" s="362">
        <v>0</v>
      </c>
      <c r="K126" s="363"/>
      <c r="L126" s="362"/>
    </row>
    <row r="127" spans="1:12" s="365" customFormat="1" ht="33" hidden="1" customHeight="1" outlineLevel="1" thickBot="1" x14ac:dyDescent="0.3">
      <c r="A127" s="360">
        <v>111</v>
      </c>
      <c r="B127" s="363"/>
      <c r="C127" s="437"/>
      <c r="D127" s="438"/>
      <c r="E127" s="438"/>
      <c r="F127" s="439"/>
      <c r="G127" s="362"/>
      <c r="H127" s="363"/>
      <c r="I127" s="367"/>
      <c r="J127" s="362">
        <v>0</v>
      </c>
      <c r="K127" s="363"/>
      <c r="L127" s="362"/>
    </row>
    <row r="128" spans="1:12" s="365" customFormat="1" ht="17.100000000000001" hidden="1" customHeight="1" outlineLevel="1" thickBot="1" x14ac:dyDescent="0.3">
      <c r="A128" s="360">
        <v>112</v>
      </c>
      <c r="B128" s="363"/>
      <c r="C128" s="437"/>
      <c r="D128" s="438"/>
      <c r="E128" s="438"/>
      <c r="F128" s="439"/>
      <c r="G128" s="362"/>
      <c r="H128" s="363"/>
      <c r="I128" s="367"/>
      <c r="J128" s="362">
        <v>0</v>
      </c>
      <c r="K128" s="363"/>
      <c r="L128" s="362"/>
    </row>
    <row r="129" spans="1:12" s="365" customFormat="1" ht="17.100000000000001" hidden="1" customHeight="1" outlineLevel="1" thickBot="1" x14ac:dyDescent="0.3">
      <c r="A129" s="360">
        <v>113</v>
      </c>
      <c r="B129" s="363"/>
      <c r="C129" s="437"/>
      <c r="D129" s="438"/>
      <c r="E129" s="438"/>
      <c r="F129" s="439"/>
      <c r="G129" s="362"/>
      <c r="H129" s="363"/>
      <c r="I129" s="367"/>
      <c r="J129" s="362">
        <v>0</v>
      </c>
      <c r="K129" s="363"/>
      <c r="L129" s="362"/>
    </row>
    <row r="130" spans="1:12" s="365" customFormat="1" ht="17.100000000000001" hidden="1" customHeight="1" outlineLevel="1" thickBot="1" x14ac:dyDescent="0.3">
      <c r="A130" s="360">
        <v>114</v>
      </c>
      <c r="B130" s="363"/>
      <c r="C130" s="437"/>
      <c r="D130" s="438"/>
      <c r="E130" s="438"/>
      <c r="F130" s="439"/>
      <c r="G130" s="362"/>
      <c r="H130" s="363"/>
      <c r="I130" s="367"/>
      <c r="J130" s="362">
        <v>0</v>
      </c>
      <c r="K130" s="363"/>
      <c r="L130" s="362"/>
    </row>
    <row r="131" spans="1:12" s="365" customFormat="1" ht="33" hidden="1" customHeight="1" outlineLevel="1" thickBot="1" x14ac:dyDescent="0.3">
      <c r="A131" s="360">
        <v>115</v>
      </c>
      <c r="B131" s="363"/>
      <c r="C131" s="437"/>
      <c r="D131" s="438"/>
      <c r="E131" s="438"/>
      <c r="F131" s="439"/>
      <c r="G131" s="362"/>
      <c r="H131" s="363"/>
      <c r="I131" s="367"/>
      <c r="J131" s="362">
        <v>0</v>
      </c>
      <c r="K131" s="363"/>
      <c r="L131" s="362"/>
    </row>
    <row r="132" spans="1:12" s="365" customFormat="1" ht="33" hidden="1" customHeight="1" outlineLevel="1" thickBot="1" x14ac:dyDescent="0.3">
      <c r="A132" s="360">
        <v>116</v>
      </c>
      <c r="B132" s="363"/>
      <c r="C132" s="437"/>
      <c r="D132" s="438"/>
      <c r="E132" s="438"/>
      <c r="F132" s="439"/>
      <c r="G132" s="362"/>
      <c r="H132" s="363"/>
      <c r="I132" s="367"/>
      <c r="J132" s="362">
        <v>0</v>
      </c>
      <c r="K132" s="363"/>
      <c r="L132" s="362"/>
    </row>
    <row r="133" spans="1:12" s="365" customFormat="1" ht="33" hidden="1" customHeight="1" outlineLevel="1" thickBot="1" x14ac:dyDescent="0.3">
      <c r="A133" s="360">
        <v>117</v>
      </c>
      <c r="B133" s="363"/>
      <c r="C133" s="437"/>
      <c r="D133" s="438"/>
      <c r="E133" s="438"/>
      <c r="F133" s="439"/>
      <c r="G133" s="362"/>
      <c r="H133" s="363"/>
      <c r="I133" s="367"/>
      <c r="J133" s="362">
        <v>0</v>
      </c>
      <c r="K133" s="363"/>
      <c r="L133" s="362"/>
    </row>
    <row r="134" spans="1:12" s="365" customFormat="1" ht="17.100000000000001" hidden="1" customHeight="1" outlineLevel="1" thickBot="1" x14ac:dyDescent="0.3">
      <c r="A134" s="360">
        <v>118</v>
      </c>
      <c r="B134" s="363"/>
      <c r="C134" s="437"/>
      <c r="D134" s="438"/>
      <c r="E134" s="438"/>
      <c r="F134" s="439"/>
      <c r="G134" s="362"/>
      <c r="H134" s="363"/>
      <c r="I134" s="367"/>
      <c r="J134" s="362">
        <v>0</v>
      </c>
      <c r="K134" s="363"/>
      <c r="L134" s="362"/>
    </row>
    <row r="135" spans="1:12" s="365" customFormat="1" ht="17.100000000000001" hidden="1" customHeight="1" outlineLevel="1" thickBot="1" x14ac:dyDescent="0.3">
      <c r="A135" s="360">
        <v>119</v>
      </c>
      <c r="B135" s="363"/>
      <c r="C135" s="437"/>
      <c r="D135" s="438"/>
      <c r="E135" s="438"/>
      <c r="F135" s="439"/>
      <c r="G135" s="362"/>
      <c r="H135" s="363"/>
      <c r="I135" s="367"/>
      <c r="J135" s="362">
        <v>0</v>
      </c>
      <c r="K135" s="363"/>
      <c r="L135" s="362"/>
    </row>
    <row r="136" spans="1:12" s="365" customFormat="1" ht="17.100000000000001" hidden="1" customHeight="1" outlineLevel="1" thickBot="1" x14ac:dyDescent="0.3">
      <c r="A136" s="360">
        <v>120</v>
      </c>
      <c r="B136" s="363"/>
      <c r="C136" s="437"/>
      <c r="D136" s="438"/>
      <c r="E136" s="438"/>
      <c r="F136" s="439"/>
      <c r="G136" s="362"/>
      <c r="H136" s="363"/>
      <c r="I136" s="367"/>
      <c r="J136" s="362">
        <v>0</v>
      </c>
      <c r="K136" s="363"/>
      <c r="L136" s="362"/>
    </row>
    <row r="137" spans="1:12" s="365" customFormat="1" ht="17.100000000000001" hidden="1" customHeight="1" outlineLevel="1" thickBot="1" x14ac:dyDescent="0.3">
      <c r="A137" s="360">
        <v>121</v>
      </c>
      <c r="B137" s="363"/>
      <c r="C137" s="437"/>
      <c r="D137" s="438"/>
      <c r="E137" s="438"/>
      <c r="F137" s="439"/>
      <c r="G137" s="362"/>
      <c r="H137" s="363"/>
      <c r="I137" s="367"/>
      <c r="J137" s="362">
        <v>0</v>
      </c>
      <c r="K137" s="363"/>
      <c r="L137" s="362"/>
    </row>
    <row r="138" spans="1:12" s="365" customFormat="1" ht="33" hidden="1" customHeight="1" outlineLevel="1" thickBot="1" x14ac:dyDescent="0.3">
      <c r="A138" s="360">
        <v>122</v>
      </c>
      <c r="B138" s="363"/>
      <c r="C138" s="437"/>
      <c r="D138" s="438"/>
      <c r="E138" s="438"/>
      <c r="F138" s="439"/>
      <c r="G138" s="362"/>
      <c r="H138" s="363"/>
      <c r="I138" s="367"/>
      <c r="J138" s="362">
        <v>0</v>
      </c>
      <c r="K138" s="363"/>
      <c r="L138" s="362"/>
    </row>
    <row r="139" spans="1:12" s="365" customFormat="1" ht="33" hidden="1" customHeight="1" outlineLevel="1" thickBot="1" x14ac:dyDescent="0.3">
      <c r="A139" s="360">
        <v>123</v>
      </c>
      <c r="B139" s="363"/>
      <c r="C139" s="437"/>
      <c r="D139" s="438"/>
      <c r="E139" s="438"/>
      <c r="F139" s="439"/>
      <c r="G139" s="362"/>
      <c r="H139" s="363"/>
      <c r="I139" s="367"/>
      <c r="J139" s="362">
        <v>0</v>
      </c>
      <c r="K139" s="363"/>
      <c r="L139" s="362"/>
    </row>
    <row r="140" spans="1:12" s="365" customFormat="1" ht="33" hidden="1" customHeight="1" outlineLevel="1" thickBot="1" x14ac:dyDescent="0.3">
      <c r="A140" s="360">
        <v>124</v>
      </c>
      <c r="B140" s="363"/>
      <c r="C140" s="437"/>
      <c r="D140" s="438"/>
      <c r="E140" s="438"/>
      <c r="F140" s="439"/>
      <c r="G140" s="362"/>
      <c r="H140" s="363"/>
      <c r="I140" s="367"/>
      <c r="J140" s="362">
        <v>0</v>
      </c>
      <c r="K140" s="363"/>
      <c r="L140" s="362"/>
    </row>
    <row r="141" spans="1:12" s="365" customFormat="1" ht="33" hidden="1" customHeight="1" outlineLevel="1" thickBot="1" x14ac:dyDescent="0.3">
      <c r="A141" s="360">
        <v>125</v>
      </c>
      <c r="B141" s="363"/>
      <c r="C141" s="437"/>
      <c r="D141" s="438"/>
      <c r="E141" s="438"/>
      <c r="F141" s="439"/>
      <c r="G141" s="362"/>
      <c r="H141" s="363"/>
      <c r="I141" s="367"/>
      <c r="J141" s="362">
        <v>0</v>
      </c>
      <c r="K141" s="363"/>
      <c r="L141" s="362"/>
    </row>
    <row r="142" spans="1:12" s="365" customFormat="1" ht="33" hidden="1" customHeight="1" outlineLevel="1" thickBot="1" x14ac:dyDescent="0.3">
      <c r="A142" s="360">
        <v>126</v>
      </c>
      <c r="B142" s="363"/>
      <c r="C142" s="437"/>
      <c r="D142" s="438"/>
      <c r="E142" s="438"/>
      <c r="F142" s="439"/>
      <c r="G142" s="362"/>
      <c r="H142" s="363"/>
      <c r="I142" s="367"/>
      <c r="J142" s="362">
        <v>0</v>
      </c>
      <c r="K142" s="363"/>
      <c r="L142" s="362"/>
    </row>
    <row r="143" spans="1:12" s="365" customFormat="1" ht="33" hidden="1" customHeight="1" outlineLevel="1" thickBot="1" x14ac:dyDescent="0.3">
      <c r="A143" s="360">
        <v>127</v>
      </c>
      <c r="B143" s="363"/>
      <c r="C143" s="437"/>
      <c r="D143" s="438"/>
      <c r="E143" s="438"/>
      <c r="F143" s="439"/>
      <c r="G143" s="362"/>
      <c r="H143" s="363"/>
      <c r="I143" s="367"/>
      <c r="J143" s="362">
        <v>0</v>
      </c>
      <c r="K143" s="363"/>
      <c r="L143" s="362"/>
    </row>
    <row r="144" spans="1:12" s="365" customFormat="1" ht="33" hidden="1" customHeight="1" outlineLevel="1" thickBot="1" x14ac:dyDescent="0.3">
      <c r="A144" s="360">
        <v>128</v>
      </c>
      <c r="B144" s="363"/>
      <c r="C144" s="437"/>
      <c r="D144" s="438"/>
      <c r="E144" s="438"/>
      <c r="F144" s="439"/>
      <c r="G144" s="362"/>
      <c r="H144" s="363"/>
      <c r="I144" s="367"/>
      <c r="J144" s="362">
        <v>0</v>
      </c>
      <c r="K144" s="363"/>
      <c r="L144" s="362"/>
    </row>
    <row r="145" spans="1:12" s="365" customFormat="1" ht="33" hidden="1" customHeight="1" outlineLevel="1" thickBot="1" x14ac:dyDescent="0.3">
      <c r="A145" s="360">
        <v>129</v>
      </c>
      <c r="B145" s="363"/>
      <c r="C145" s="437"/>
      <c r="D145" s="438"/>
      <c r="E145" s="438"/>
      <c r="F145" s="439"/>
      <c r="G145" s="362"/>
      <c r="H145" s="363"/>
      <c r="I145" s="367"/>
      <c r="J145" s="362">
        <v>0</v>
      </c>
      <c r="K145" s="363"/>
      <c r="L145" s="362"/>
    </row>
    <row r="146" spans="1:12" s="365" customFormat="1" ht="33" hidden="1" customHeight="1" outlineLevel="1" thickBot="1" x14ac:dyDescent="0.3">
      <c r="A146" s="360">
        <v>130</v>
      </c>
      <c r="B146" s="363"/>
      <c r="C146" s="437"/>
      <c r="D146" s="438"/>
      <c r="E146" s="438"/>
      <c r="F146" s="439"/>
      <c r="G146" s="362"/>
      <c r="H146" s="363"/>
      <c r="I146" s="367"/>
      <c r="J146" s="362">
        <v>0</v>
      </c>
      <c r="K146" s="363"/>
      <c r="L146" s="362"/>
    </row>
    <row r="147" spans="1:12" s="365" customFormat="1" ht="33" hidden="1" customHeight="1" outlineLevel="1" thickBot="1" x14ac:dyDescent="0.3">
      <c r="A147" s="360">
        <v>131</v>
      </c>
      <c r="B147" s="363"/>
      <c r="C147" s="437"/>
      <c r="D147" s="438"/>
      <c r="E147" s="438"/>
      <c r="F147" s="439"/>
      <c r="G147" s="362"/>
      <c r="H147" s="363"/>
      <c r="I147" s="367"/>
      <c r="J147" s="362">
        <v>0</v>
      </c>
      <c r="K147" s="363"/>
      <c r="L147" s="362"/>
    </row>
    <row r="148" spans="1:12" s="365" customFormat="1" ht="33" hidden="1" customHeight="1" outlineLevel="1" thickBot="1" x14ac:dyDescent="0.3">
      <c r="A148" s="360">
        <v>132</v>
      </c>
      <c r="B148" s="363"/>
      <c r="C148" s="437"/>
      <c r="D148" s="438"/>
      <c r="E148" s="438"/>
      <c r="F148" s="439"/>
      <c r="G148" s="362"/>
      <c r="H148" s="363"/>
      <c r="I148" s="367"/>
      <c r="J148" s="362">
        <v>0</v>
      </c>
      <c r="K148" s="363"/>
      <c r="L148" s="362"/>
    </row>
    <row r="149" spans="1:12" s="365" customFormat="1" ht="33" hidden="1" customHeight="1" outlineLevel="1" thickBot="1" x14ac:dyDescent="0.3">
      <c r="A149" s="360">
        <v>133</v>
      </c>
      <c r="B149" s="363"/>
      <c r="C149" s="437"/>
      <c r="D149" s="438"/>
      <c r="E149" s="438"/>
      <c r="F149" s="439"/>
      <c r="G149" s="362"/>
      <c r="H149" s="363"/>
      <c r="I149" s="367"/>
      <c r="J149" s="362">
        <v>0</v>
      </c>
      <c r="K149" s="363"/>
      <c r="L149" s="362"/>
    </row>
    <row r="150" spans="1:12" s="365" customFormat="1" ht="33" hidden="1" customHeight="1" outlineLevel="1" thickBot="1" x14ac:dyDescent="0.3">
      <c r="A150" s="360">
        <v>134</v>
      </c>
      <c r="B150" s="363"/>
      <c r="C150" s="437"/>
      <c r="D150" s="438"/>
      <c r="E150" s="438"/>
      <c r="F150" s="439"/>
      <c r="G150" s="362"/>
      <c r="H150" s="363"/>
      <c r="I150" s="367"/>
      <c r="J150" s="362">
        <v>0</v>
      </c>
      <c r="K150" s="363"/>
      <c r="L150" s="362"/>
    </row>
    <row r="151" spans="1:12" s="365" customFormat="1" ht="33" hidden="1" customHeight="1" outlineLevel="1" thickBot="1" x14ac:dyDescent="0.3">
      <c r="A151" s="360">
        <v>135</v>
      </c>
      <c r="B151" s="363"/>
      <c r="C151" s="437"/>
      <c r="D151" s="438"/>
      <c r="E151" s="438"/>
      <c r="F151" s="439"/>
      <c r="G151" s="362"/>
      <c r="H151" s="363"/>
      <c r="I151" s="367"/>
      <c r="J151" s="362">
        <v>0</v>
      </c>
      <c r="K151" s="363"/>
      <c r="L151" s="362"/>
    </row>
    <row r="152" spans="1:12" s="365" customFormat="1" ht="33" hidden="1" customHeight="1" outlineLevel="1" thickBot="1" x14ac:dyDescent="0.3">
      <c r="A152" s="360">
        <v>136</v>
      </c>
      <c r="B152" s="363"/>
      <c r="C152" s="437"/>
      <c r="D152" s="438"/>
      <c r="E152" s="438"/>
      <c r="F152" s="439"/>
      <c r="G152" s="362"/>
      <c r="H152" s="363"/>
      <c r="I152" s="367"/>
      <c r="J152" s="362">
        <v>0</v>
      </c>
      <c r="K152" s="363"/>
      <c r="L152" s="362"/>
    </row>
    <row r="153" spans="1:12" s="365" customFormat="1" ht="33" hidden="1" customHeight="1" outlineLevel="1" thickBot="1" x14ac:dyDescent="0.3">
      <c r="A153" s="360">
        <v>137</v>
      </c>
      <c r="B153" s="363"/>
      <c r="C153" s="437"/>
      <c r="D153" s="438"/>
      <c r="E153" s="438"/>
      <c r="F153" s="439"/>
      <c r="G153" s="362"/>
      <c r="H153" s="363"/>
      <c r="I153" s="367"/>
      <c r="J153" s="362">
        <v>0</v>
      </c>
      <c r="K153" s="363"/>
      <c r="L153" s="362"/>
    </row>
    <row r="154" spans="1:12" s="365" customFormat="1" ht="17.100000000000001" hidden="1" customHeight="1" outlineLevel="1" thickBot="1" x14ac:dyDescent="0.3">
      <c r="A154" s="360">
        <v>138</v>
      </c>
      <c r="B154" s="363"/>
      <c r="C154" s="437"/>
      <c r="D154" s="438"/>
      <c r="E154" s="438"/>
      <c r="F154" s="439"/>
      <c r="G154" s="362"/>
      <c r="H154" s="363"/>
      <c r="I154" s="367"/>
      <c r="J154" s="362">
        <v>0</v>
      </c>
      <c r="K154" s="363"/>
      <c r="L154" s="362"/>
    </row>
    <row r="155" spans="1:12" s="365" customFormat="1" ht="17.100000000000001" hidden="1" customHeight="1" outlineLevel="1" thickBot="1" x14ac:dyDescent="0.3">
      <c r="A155" s="360">
        <v>139</v>
      </c>
      <c r="B155" s="363"/>
      <c r="C155" s="437"/>
      <c r="D155" s="438"/>
      <c r="E155" s="438"/>
      <c r="F155" s="439"/>
      <c r="G155" s="362"/>
      <c r="H155" s="363"/>
      <c r="I155" s="367"/>
      <c r="J155" s="362">
        <v>0</v>
      </c>
      <c r="K155" s="363"/>
      <c r="L155" s="362"/>
    </row>
    <row r="156" spans="1:12" s="365" customFormat="1" ht="33" hidden="1" customHeight="1" outlineLevel="1" thickBot="1" x14ac:dyDescent="0.3">
      <c r="A156" s="360">
        <v>140</v>
      </c>
      <c r="B156" s="363"/>
      <c r="C156" s="437"/>
      <c r="D156" s="438"/>
      <c r="E156" s="438"/>
      <c r="F156" s="439"/>
      <c r="G156" s="362"/>
      <c r="H156" s="363"/>
      <c r="I156" s="367"/>
      <c r="J156" s="362">
        <v>0</v>
      </c>
      <c r="K156" s="363"/>
      <c r="L156" s="362"/>
    </row>
    <row r="157" spans="1:12" s="365" customFormat="1" ht="33" hidden="1" customHeight="1" outlineLevel="1" thickBot="1" x14ac:dyDescent="0.3">
      <c r="A157" s="360">
        <v>141</v>
      </c>
      <c r="B157" s="363"/>
      <c r="C157" s="437"/>
      <c r="D157" s="438"/>
      <c r="E157" s="438"/>
      <c r="F157" s="439"/>
      <c r="G157" s="362"/>
      <c r="H157" s="363"/>
      <c r="I157" s="367"/>
      <c r="J157" s="362">
        <v>0</v>
      </c>
      <c r="K157" s="363"/>
      <c r="L157" s="362"/>
    </row>
    <row r="158" spans="1:12" s="365" customFormat="1" ht="33" hidden="1" customHeight="1" outlineLevel="1" thickBot="1" x14ac:dyDescent="0.3">
      <c r="A158" s="360">
        <v>142</v>
      </c>
      <c r="B158" s="363"/>
      <c r="C158" s="437"/>
      <c r="D158" s="438"/>
      <c r="E158" s="438"/>
      <c r="F158" s="439"/>
      <c r="G158" s="362"/>
      <c r="H158" s="363"/>
      <c r="I158" s="367"/>
      <c r="J158" s="362">
        <v>0</v>
      </c>
      <c r="K158" s="363"/>
      <c r="L158" s="362"/>
    </row>
    <row r="159" spans="1:12" s="365" customFormat="1" ht="33" hidden="1" customHeight="1" outlineLevel="1" thickBot="1" x14ac:dyDescent="0.3">
      <c r="A159" s="360">
        <v>143</v>
      </c>
      <c r="B159" s="363"/>
      <c r="C159" s="437"/>
      <c r="D159" s="438"/>
      <c r="E159" s="438"/>
      <c r="F159" s="439"/>
      <c r="G159" s="362"/>
      <c r="H159" s="363"/>
      <c r="I159" s="367"/>
      <c r="J159" s="362">
        <v>0</v>
      </c>
      <c r="K159" s="363"/>
      <c r="L159" s="362"/>
    </row>
    <row r="160" spans="1:12" s="365" customFormat="1" ht="33" hidden="1" customHeight="1" outlineLevel="1" thickBot="1" x14ac:dyDescent="0.3">
      <c r="A160" s="360">
        <v>144</v>
      </c>
      <c r="B160" s="363"/>
      <c r="C160" s="437"/>
      <c r="D160" s="438"/>
      <c r="E160" s="438"/>
      <c r="F160" s="439"/>
      <c r="G160" s="362"/>
      <c r="H160" s="363"/>
      <c r="I160" s="367"/>
      <c r="J160" s="362">
        <v>0</v>
      </c>
      <c r="K160" s="363"/>
      <c r="L160" s="362"/>
    </row>
    <row r="161" spans="1:12" s="365" customFormat="1" ht="33" hidden="1" customHeight="1" outlineLevel="1" thickBot="1" x14ac:dyDescent="0.3">
      <c r="A161" s="360">
        <v>145</v>
      </c>
      <c r="B161" s="363"/>
      <c r="C161" s="437"/>
      <c r="D161" s="438"/>
      <c r="E161" s="438"/>
      <c r="F161" s="439"/>
      <c r="G161" s="362"/>
      <c r="H161" s="363"/>
      <c r="I161" s="367"/>
      <c r="J161" s="362">
        <v>0</v>
      </c>
      <c r="K161" s="363"/>
      <c r="L161" s="362"/>
    </row>
    <row r="162" spans="1:12" s="365" customFormat="1" ht="33" hidden="1" customHeight="1" outlineLevel="1" thickBot="1" x14ac:dyDescent="0.3">
      <c r="A162" s="360">
        <v>146</v>
      </c>
      <c r="B162" s="363"/>
      <c r="C162" s="437"/>
      <c r="D162" s="438"/>
      <c r="E162" s="438"/>
      <c r="F162" s="439"/>
      <c r="G162" s="362"/>
      <c r="H162" s="363"/>
      <c r="I162" s="367"/>
      <c r="J162" s="362">
        <v>0</v>
      </c>
      <c r="K162" s="363"/>
      <c r="L162" s="362"/>
    </row>
    <row r="163" spans="1:12" s="365" customFormat="1" ht="33" hidden="1" customHeight="1" outlineLevel="1" thickBot="1" x14ac:dyDescent="0.3">
      <c r="A163" s="360">
        <v>147</v>
      </c>
      <c r="B163" s="363"/>
      <c r="C163" s="437"/>
      <c r="D163" s="438"/>
      <c r="E163" s="438"/>
      <c r="F163" s="439"/>
      <c r="G163" s="362"/>
      <c r="H163" s="363"/>
      <c r="I163" s="367"/>
      <c r="J163" s="362">
        <v>0</v>
      </c>
      <c r="K163" s="363"/>
      <c r="L163" s="362"/>
    </row>
    <row r="164" spans="1:12" s="365" customFormat="1" ht="17.100000000000001" hidden="1" customHeight="1" outlineLevel="1" thickBot="1" x14ac:dyDescent="0.3">
      <c r="A164" s="360">
        <v>148</v>
      </c>
      <c r="B164" s="363"/>
      <c r="C164" s="437"/>
      <c r="D164" s="438"/>
      <c r="E164" s="438"/>
      <c r="F164" s="439"/>
      <c r="G164" s="362"/>
      <c r="H164" s="363"/>
      <c r="I164" s="367"/>
      <c r="J164" s="362">
        <v>0</v>
      </c>
      <c r="K164" s="363"/>
      <c r="L164" s="362"/>
    </row>
    <row r="165" spans="1:12" s="365" customFormat="1" ht="17.100000000000001" hidden="1" customHeight="1" outlineLevel="1" thickBot="1" x14ac:dyDescent="0.3">
      <c r="A165" s="360">
        <v>149</v>
      </c>
      <c r="B165" s="363"/>
      <c r="C165" s="437"/>
      <c r="D165" s="438"/>
      <c r="E165" s="438"/>
      <c r="F165" s="439"/>
      <c r="G165" s="362"/>
      <c r="H165" s="363"/>
      <c r="I165" s="367"/>
      <c r="J165" s="362">
        <v>0</v>
      </c>
      <c r="K165" s="363"/>
      <c r="L165" s="362"/>
    </row>
    <row r="166" spans="1:12" s="365" customFormat="1" ht="33" hidden="1" customHeight="1" outlineLevel="1" thickBot="1" x14ac:dyDescent="0.3">
      <c r="A166" s="360">
        <v>150</v>
      </c>
      <c r="B166" s="363"/>
      <c r="C166" s="437"/>
      <c r="D166" s="438"/>
      <c r="E166" s="438"/>
      <c r="F166" s="439"/>
      <c r="G166" s="362"/>
      <c r="H166" s="363"/>
      <c r="I166" s="367"/>
      <c r="J166" s="362">
        <v>0</v>
      </c>
      <c r="K166" s="363"/>
      <c r="L166" s="362"/>
    </row>
    <row r="167" spans="1:12" s="365" customFormat="1" ht="17.100000000000001" hidden="1" customHeight="1" outlineLevel="1" thickBot="1" x14ac:dyDescent="0.3">
      <c r="A167" s="360">
        <v>151</v>
      </c>
      <c r="B167" s="363"/>
      <c r="C167" s="437"/>
      <c r="D167" s="438"/>
      <c r="E167" s="438"/>
      <c r="F167" s="439"/>
      <c r="G167" s="362"/>
      <c r="H167" s="363"/>
      <c r="I167" s="367"/>
      <c r="J167" s="362">
        <v>0</v>
      </c>
      <c r="K167" s="363"/>
      <c r="L167" s="362"/>
    </row>
    <row r="168" spans="1:12" s="365" customFormat="1" ht="33" hidden="1" customHeight="1" outlineLevel="1" thickBot="1" x14ac:dyDescent="0.3">
      <c r="A168" s="360">
        <v>152</v>
      </c>
      <c r="B168" s="363"/>
      <c r="C168" s="437"/>
      <c r="D168" s="438"/>
      <c r="E168" s="438"/>
      <c r="F168" s="439"/>
      <c r="G168" s="362"/>
      <c r="H168" s="363"/>
      <c r="I168" s="367"/>
      <c r="J168" s="362">
        <v>0</v>
      </c>
      <c r="K168" s="363"/>
      <c r="L168" s="362"/>
    </row>
    <row r="169" spans="1:12" s="365" customFormat="1" ht="33" hidden="1" customHeight="1" outlineLevel="1" thickBot="1" x14ac:dyDescent="0.3">
      <c r="A169" s="360">
        <v>153</v>
      </c>
      <c r="B169" s="363"/>
      <c r="C169" s="437"/>
      <c r="D169" s="438"/>
      <c r="E169" s="438"/>
      <c r="F169" s="439"/>
      <c r="G169" s="362"/>
      <c r="H169" s="363"/>
      <c r="I169" s="367"/>
      <c r="J169" s="362">
        <v>0</v>
      </c>
      <c r="K169" s="363"/>
      <c r="L169" s="362"/>
    </row>
    <row r="170" spans="1:12" s="365" customFormat="1" ht="33" hidden="1" customHeight="1" outlineLevel="1" thickBot="1" x14ac:dyDescent="0.3">
      <c r="A170" s="360">
        <v>154</v>
      </c>
      <c r="B170" s="363"/>
      <c r="C170" s="437"/>
      <c r="D170" s="438"/>
      <c r="E170" s="438"/>
      <c r="F170" s="439"/>
      <c r="G170" s="362"/>
      <c r="H170" s="363"/>
      <c r="I170" s="367"/>
      <c r="J170" s="362">
        <v>0</v>
      </c>
      <c r="K170" s="363"/>
      <c r="L170" s="362"/>
    </row>
    <row r="171" spans="1:12" s="365" customFormat="1" ht="17.100000000000001" hidden="1" customHeight="1" outlineLevel="1" thickBot="1" x14ac:dyDescent="0.3">
      <c r="A171" s="360">
        <v>155</v>
      </c>
      <c r="B171" s="363"/>
      <c r="C171" s="437"/>
      <c r="D171" s="438"/>
      <c r="E171" s="438"/>
      <c r="F171" s="439"/>
      <c r="G171" s="362"/>
      <c r="H171" s="363"/>
      <c r="I171" s="367"/>
      <c r="J171" s="362">
        <v>0</v>
      </c>
      <c r="K171" s="363"/>
      <c r="L171" s="362"/>
    </row>
    <row r="172" spans="1:12" s="365" customFormat="1" ht="17.100000000000001" hidden="1" customHeight="1" outlineLevel="1" thickBot="1" x14ac:dyDescent="0.3">
      <c r="A172" s="360">
        <v>156</v>
      </c>
      <c r="B172" s="363"/>
      <c r="C172" s="437"/>
      <c r="D172" s="438"/>
      <c r="E172" s="438"/>
      <c r="F172" s="439"/>
      <c r="G172" s="362"/>
      <c r="H172" s="363"/>
      <c r="I172" s="367"/>
      <c r="J172" s="362">
        <v>0</v>
      </c>
      <c r="K172" s="363"/>
      <c r="L172" s="362"/>
    </row>
    <row r="173" spans="1:12" s="365" customFormat="1" ht="33" hidden="1" customHeight="1" outlineLevel="1" thickBot="1" x14ac:dyDescent="0.3">
      <c r="A173" s="360">
        <v>157</v>
      </c>
      <c r="B173" s="363"/>
      <c r="C173" s="437"/>
      <c r="D173" s="438"/>
      <c r="E173" s="438"/>
      <c r="F173" s="439"/>
      <c r="G173" s="362"/>
      <c r="H173" s="363"/>
      <c r="I173" s="367"/>
      <c r="J173" s="362">
        <v>0</v>
      </c>
      <c r="K173" s="363"/>
      <c r="L173" s="362"/>
    </row>
    <row r="174" spans="1:12" s="365" customFormat="1" ht="33" hidden="1" customHeight="1" outlineLevel="1" thickBot="1" x14ac:dyDescent="0.3">
      <c r="A174" s="360">
        <v>158</v>
      </c>
      <c r="B174" s="363"/>
      <c r="C174" s="437"/>
      <c r="D174" s="438"/>
      <c r="E174" s="438"/>
      <c r="F174" s="439"/>
      <c r="G174" s="362"/>
      <c r="H174" s="363"/>
      <c r="I174" s="367"/>
      <c r="J174" s="362">
        <v>0</v>
      </c>
      <c r="K174" s="363"/>
      <c r="L174" s="362"/>
    </row>
    <row r="175" spans="1:12" s="365" customFormat="1" ht="17.100000000000001" hidden="1" customHeight="1" outlineLevel="1" thickBot="1" x14ac:dyDescent="0.3">
      <c r="A175" s="360">
        <v>159</v>
      </c>
      <c r="B175" s="363"/>
      <c r="C175" s="437"/>
      <c r="D175" s="438"/>
      <c r="E175" s="438"/>
      <c r="F175" s="439"/>
      <c r="G175" s="362"/>
      <c r="H175" s="363"/>
      <c r="I175" s="367"/>
      <c r="J175" s="362"/>
      <c r="K175" s="363"/>
      <c r="L175" s="362"/>
    </row>
    <row r="176" spans="1:12" s="365" customFormat="1" ht="17.100000000000001" hidden="1" customHeight="1" outlineLevel="1" thickBot="1" x14ac:dyDescent="0.3">
      <c r="A176" s="360">
        <v>160</v>
      </c>
      <c r="B176" s="363"/>
      <c r="C176" s="437"/>
      <c r="D176" s="438"/>
      <c r="E176" s="438"/>
      <c r="F176" s="439"/>
      <c r="G176" s="362"/>
      <c r="H176" s="363"/>
      <c r="I176" s="367"/>
      <c r="J176" s="362"/>
      <c r="K176" s="363"/>
      <c r="L176" s="362"/>
    </row>
    <row r="177" spans="1:12" s="365" customFormat="1" ht="33" hidden="1" customHeight="1" outlineLevel="1" thickBot="1" x14ac:dyDescent="0.3">
      <c r="A177" s="360">
        <v>161</v>
      </c>
      <c r="B177" s="363"/>
      <c r="C177" s="437"/>
      <c r="D177" s="438"/>
      <c r="E177" s="438"/>
      <c r="F177" s="439"/>
      <c r="G177" s="362"/>
      <c r="H177" s="363"/>
      <c r="I177" s="367"/>
      <c r="J177" s="362"/>
      <c r="K177" s="363"/>
      <c r="L177" s="362"/>
    </row>
    <row r="178" spans="1:12" s="365" customFormat="1" ht="33" hidden="1" customHeight="1" outlineLevel="1" thickBot="1" x14ac:dyDescent="0.3">
      <c r="A178" s="360">
        <v>162</v>
      </c>
      <c r="B178" s="363"/>
      <c r="C178" s="437"/>
      <c r="D178" s="438"/>
      <c r="E178" s="438"/>
      <c r="F178" s="439"/>
      <c r="G178" s="362"/>
      <c r="H178" s="363"/>
      <c r="I178" s="367"/>
      <c r="J178" s="362"/>
      <c r="K178" s="363"/>
      <c r="L178" s="362"/>
    </row>
    <row r="179" spans="1:12" s="365" customFormat="1" ht="33" hidden="1" customHeight="1" outlineLevel="1" thickBot="1" x14ac:dyDescent="0.3">
      <c r="A179" s="360">
        <v>163</v>
      </c>
      <c r="B179" s="363"/>
      <c r="C179" s="437"/>
      <c r="D179" s="438"/>
      <c r="E179" s="438"/>
      <c r="F179" s="439"/>
      <c r="G179" s="362"/>
      <c r="H179" s="363"/>
      <c r="I179" s="367"/>
      <c r="J179" s="362"/>
      <c r="K179" s="363"/>
      <c r="L179" s="362"/>
    </row>
    <row r="180" spans="1:12" s="365" customFormat="1" ht="33" hidden="1" customHeight="1" outlineLevel="1" thickBot="1" x14ac:dyDescent="0.3">
      <c r="A180" s="360">
        <v>164</v>
      </c>
      <c r="B180" s="363"/>
      <c r="C180" s="437"/>
      <c r="D180" s="438"/>
      <c r="E180" s="438"/>
      <c r="F180" s="439"/>
      <c r="G180" s="362"/>
      <c r="H180" s="363"/>
      <c r="I180" s="367"/>
      <c r="J180" s="362"/>
      <c r="K180" s="363"/>
      <c r="L180" s="362"/>
    </row>
    <row r="181" spans="1:12" s="365" customFormat="1" ht="33" hidden="1" customHeight="1" outlineLevel="1" thickBot="1" x14ac:dyDescent="0.3">
      <c r="A181" s="360">
        <v>165</v>
      </c>
      <c r="B181" s="363"/>
      <c r="C181" s="437"/>
      <c r="D181" s="438"/>
      <c r="E181" s="438"/>
      <c r="F181" s="439"/>
      <c r="G181" s="362"/>
      <c r="H181" s="363"/>
      <c r="I181" s="367"/>
      <c r="J181" s="362"/>
      <c r="K181" s="363"/>
      <c r="L181" s="362"/>
    </row>
    <row r="182" spans="1:12" s="365" customFormat="1" ht="33" hidden="1" customHeight="1" outlineLevel="1" thickBot="1" x14ac:dyDescent="0.3">
      <c r="A182" s="360">
        <v>166</v>
      </c>
      <c r="B182" s="363"/>
      <c r="C182" s="437"/>
      <c r="D182" s="438"/>
      <c r="E182" s="438"/>
      <c r="F182" s="439"/>
      <c r="G182" s="362"/>
      <c r="H182" s="363"/>
      <c r="I182" s="367"/>
      <c r="J182" s="362"/>
      <c r="K182" s="363"/>
      <c r="L182" s="362"/>
    </row>
    <row r="183" spans="1:12" s="365" customFormat="1" ht="17.100000000000001" hidden="1" customHeight="1" outlineLevel="1" thickBot="1" x14ac:dyDescent="0.3">
      <c r="A183" s="360">
        <v>167</v>
      </c>
      <c r="B183" s="363"/>
      <c r="C183" s="437"/>
      <c r="D183" s="438"/>
      <c r="E183" s="438"/>
      <c r="F183" s="439"/>
      <c r="G183" s="362"/>
      <c r="H183" s="363"/>
      <c r="I183" s="367"/>
      <c r="J183" s="362"/>
      <c r="K183" s="363"/>
      <c r="L183" s="362"/>
    </row>
    <row r="184" spans="1:12" s="365" customFormat="1" ht="17.100000000000001" hidden="1" customHeight="1" outlineLevel="1" thickBot="1" x14ac:dyDescent="0.3">
      <c r="A184" s="360">
        <v>168</v>
      </c>
      <c r="B184" s="363"/>
      <c r="C184" s="437"/>
      <c r="D184" s="438"/>
      <c r="E184" s="438"/>
      <c r="F184" s="439"/>
      <c r="G184" s="362"/>
      <c r="H184" s="363"/>
      <c r="I184" s="367"/>
      <c r="J184" s="362"/>
      <c r="K184" s="363"/>
      <c r="L184" s="362"/>
    </row>
    <row r="185" spans="1:12" s="365" customFormat="1" ht="17.100000000000001" hidden="1" customHeight="1" outlineLevel="1" thickBot="1" x14ac:dyDescent="0.3">
      <c r="A185" s="360">
        <v>169</v>
      </c>
      <c r="B185" s="363"/>
      <c r="C185" s="437"/>
      <c r="D185" s="438"/>
      <c r="E185" s="438"/>
      <c r="F185" s="439"/>
      <c r="G185" s="362"/>
      <c r="H185" s="363"/>
      <c r="I185" s="367"/>
      <c r="J185" s="362"/>
      <c r="K185" s="363"/>
      <c r="L185" s="362"/>
    </row>
    <row r="186" spans="1:12" s="365" customFormat="1" ht="17.100000000000001" hidden="1" customHeight="1" outlineLevel="1" thickBot="1" x14ac:dyDescent="0.3">
      <c r="A186" s="360">
        <v>170</v>
      </c>
      <c r="B186" s="363"/>
      <c r="C186" s="437"/>
      <c r="D186" s="438"/>
      <c r="E186" s="438"/>
      <c r="F186" s="439"/>
      <c r="G186" s="362"/>
      <c r="H186" s="363"/>
      <c r="I186" s="367"/>
      <c r="J186" s="362"/>
      <c r="K186" s="363"/>
      <c r="L186" s="362"/>
    </row>
    <row r="187" spans="1:12" s="365" customFormat="1" ht="33" hidden="1" customHeight="1" outlineLevel="1" thickBot="1" x14ac:dyDescent="0.3">
      <c r="A187" s="360">
        <v>171</v>
      </c>
      <c r="B187" s="363"/>
      <c r="C187" s="437"/>
      <c r="D187" s="438"/>
      <c r="E187" s="438"/>
      <c r="F187" s="439"/>
      <c r="G187" s="362"/>
      <c r="H187" s="363"/>
      <c r="I187" s="367"/>
      <c r="J187" s="362"/>
      <c r="K187" s="363"/>
      <c r="L187" s="362"/>
    </row>
    <row r="188" spans="1:12" s="365" customFormat="1" ht="33" hidden="1" customHeight="1" outlineLevel="1" thickBot="1" x14ac:dyDescent="0.3">
      <c r="A188" s="360">
        <v>172</v>
      </c>
      <c r="B188" s="363"/>
      <c r="C188" s="437"/>
      <c r="D188" s="438"/>
      <c r="E188" s="438"/>
      <c r="F188" s="439"/>
      <c r="G188" s="362"/>
      <c r="H188" s="363"/>
      <c r="I188" s="367"/>
      <c r="J188" s="362"/>
      <c r="K188" s="363"/>
      <c r="L188" s="362"/>
    </row>
    <row r="189" spans="1:12" s="365" customFormat="1" ht="33" hidden="1" customHeight="1" outlineLevel="1" thickBot="1" x14ac:dyDescent="0.3">
      <c r="A189" s="360">
        <v>173</v>
      </c>
      <c r="B189" s="363"/>
      <c r="C189" s="437"/>
      <c r="D189" s="438"/>
      <c r="E189" s="438"/>
      <c r="F189" s="439"/>
      <c r="G189" s="362"/>
      <c r="H189" s="363"/>
      <c r="I189" s="367"/>
      <c r="J189" s="362"/>
      <c r="K189" s="363"/>
      <c r="L189" s="362"/>
    </row>
    <row r="190" spans="1:12" s="365" customFormat="1" ht="33" hidden="1" customHeight="1" outlineLevel="1" thickBot="1" x14ac:dyDescent="0.3">
      <c r="A190" s="360">
        <v>174</v>
      </c>
      <c r="B190" s="363"/>
      <c r="C190" s="437"/>
      <c r="D190" s="438"/>
      <c r="E190" s="438"/>
      <c r="F190" s="439"/>
      <c r="G190" s="362"/>
      <c r="H190" s="363"/>
      <c r="I190" s="367"/>
      <c r="J190" s="362"/>
      <c r="K190" s="363"/>
      <c r="L190" s="362"/>
    </row>
    <row r="191" spans="1:12" s="365" customFormat="1" ht="33" hidden="1" customHeight="1" outlineLevel="1" thickBot="1" x14ac:dyDescent="0.3">
      <c r="A191" s="360">
        <v>175</v>
      </c>
      <c r="B191" s="363"/>
      <c r="C191" s="437"/>
      <c r="D191" s="438"/>
      <c r="E191" s="438"/>
      <c r="F191" s="439"/>
      <c r="G191" s="362"/>
      <c r="H191" s="363"/>
      <c r="I191" s="367"/>
      <c r="J191" s="362"/>
      <c r="K191" s="363"/>
      <c r="L191" s="362"/>
    </row>
    <row r="192" spans="1:12" s="365" customFormat="1" ht="33" hidden="1" customHeight="1" outlineLevel="1" thickBot="1" x14ac:dyDescent="0.3">
      <c r="A192" s="360">
        <v>176</v>
      </c>
      <c r="B192" s="363"/>
      <c r="C192" s="437"/>
      <c r="D192" s="438"/>
      <c r="E192" s="438"/>
      <c r="F192" s="439"/>
      <c r="G192" s="362"/>
      <c r="H192" s="363"/>
      <c r="I192" s="367"/>
      <c r="J192" s="362"/>
      <c r="K192" s="363"/>
      <c r="L192" s="362"/>
    </row>
    <row r="193" spans="1:12" s="365" customFormat="1" ht="33" hidden="1" customHeight="1" outlineLevel="1" thickBot="1" x14ac:dyDescent="0.3">
      <c r="A193" s="360">
        <v>177</v>
      </c>
      <c r="B193" s="363"/>
      <c r="C193" s="437"/>
      <c r="D193" s="438"/>
      <c r="E193" s="438"/>
      <c r="F193" s="439"/>
      <c r="G193" s="362"/>
      <c r="H193" s="363"/>
      <c r="I193" s="367"/>
      <c r="J193" s="362"/>
      <c r="K193" s="363"/>
      <c r="L193" s="362"/>
    </row>
    <row r="194" spans="1:12" s="365" customFormat="1" ht="33" hidden="1" customHeight="1" outlineLevel="1" thickBot="1" x14ac:dyDescent="0.3">
      <c r="A194" s="360">
        <v>178</v>
      </c>
      <c r="B194" s="363"/>
      <c r="C194" s="437"/>
      <c r="D194" s="438"/>
      <c r="E194" s="438"/>
      <c r="F194" s="439"/>
      <c r="G194" s="362"/>
      <c r="H194" s="363"/>
      <c r="I194" s="367"/>
      <c r="J194" s="362"/>
      <c r="K194" s="363"/>
      <c r="L194" s="362"/>
    </row>
    <row r="195" spans="1:12" s="365" customFormat="1" ht="33" hidden="1" customHeight="1" outlineLevel="1" thickBot="1" x14ac:dyDescent="0.3">
      <c r="A195" s="360">
        <v>179</v>
      </c>
      <c r="B195" s="363"/>
      <c r="C195" s="437"/>
      <c r="D195" s="438"/>
      <c r="E195" s="438"/>
      <c r="F195" s="439"/>
      <c r="G195" s="362"/>
      <c r="H195" s="363"/>
      <c r="I195" s="367"/>
      <c r="J195" s="362"/>
      <c r="K195" s="363"/>
      <c r="L195" s="362"/>
    </row>
    <row r="196" spans="1:12" s="365" customFormat="1" ht="33" hidden="1" customHeight="1" outlineLevel="1" thickBot="1" x14ac:dyDescent="0.3">
      <c r="A196" s="360">
        <v>180</v>
      </c>
      <c r="B196" s="363"/>
      <c r="C196" s="437"/>
      <c r="D196" s="438"/>
      <c r="E196" s="438"/>
      <c r="F196" s="439"/>
      <c r="G196" s="362"/>
      <c r="H196" s="363"/>
      <c r="I196" s="367"/>
      <c r="J196" s="362"/>
      <c r="K196" s="363"/>
      <c r="L196" s="362"/>
    </row>
    <row r="197" spans="1:12" s="365" customFormat="1" ht="33" hidden="1" customHeight="1" outlineLevel="1" thickBot="1" x14ac:dyDescent="0.3">
      <c r="A197" s="360">
        <v>181</v>
      </c>
      <c r="B197" s="363"/>
      <c r="C197" s="437"/>
      <c r="D197" s="438"/>
      <c r="E197" s="438"/>
      <c r="F197" s="439"/>
      <c r="G197" s="362"/>
      <c r="H197" s="363"/>
      <c r="I197" s="367"/>
      <c r="J197" s="362"/>
      <c r="K197" s="363"/>
      <c r="L197" s="362"/>
    </row>
    <row r="198" spans="1:12" s="365" customFormat="1" ht="33" hidden="1" customHeight="1" outlineLevel="1" thickBot="1" x14ac:dyDescent="0.3">
      <c r="A198" s="360">
        <v>182</v>
      </c>
      <c r="B198" s="363"/>
      <c r="C198" s="437"/>
      <c r="D198" s="438"/>
      <c r="E198" s="438"/>
      <c r="F198" s="439"/>
      <c r="G198" s="362"/>
      <c r="H198" s="363"/>
      <c r="I198" s="367"/>
      <c r="J198" s="362"/>
      <c r="K198" s="363"/>
      <c r="L198" s="362"/>
    </row>
    <row r="199" spans="1:12" s="365" customFormat="1" ht="33" hidden="1" customHeight="1" outlineLevel="1" thickBot="1" x14ac:dyDescent="0.3">
      <c r="A199" s="360">
        <v>183</v>
      </c>
      <c r="B199" s="363"/>
      <c r="C199" s="437"/>
      <c r="D199" s="438"/>
      <c r="E199" s="438"/>
      <c r="F199" s="439"/>
      <c r="G199" s="362"/>
      <c r="H199" s="363"/>
      <c r="I199" s="367"/>
      <c r="J199" s="362"/>
      <c r="K199" s="363"/>
      <c r="L199" s="362"/>
    </row>
    <row r="200" spans="1:12" s="365" customFormat="1" ht="33" hidden="1" customHeight="1" outlineLevel="1" thickBot="1" x14ac:dyDescent="0.3">
      <c r="A200" s="360">
        <v>184</v>
      </c>
      <c r="B200" s="363"/>
      <c r="C200" s="437"/>
      <c r="D200" s="438"/>
      <c r="E200" s="438"/>
      <c r="F200" s="439"/>
      <c r="G200" s="362"/>
      <c r="H200" s="363"/>
      <c r="I200" s="367"/>
      <c r="J200" s="362"/>
      <c r="K200" s="363"/>
      <c r="L200" s="362"/>
    </row>
    <row r="201" spans="1:12" s="365" customFormat="1" ht="33" hidden="1" customHeight="1" outlineLevel="1" thickBot="1" x14ac:dyDescent="0.3">
      <c r="A201" s="360">
        <v>185</v>
      </c>
      <c r="B201" s="363"/>
      <c r="C201" s="437"/>
      <c r="D201" s="438"/>
      <c r="E201" s="438"/>
      <c r="F201" s="439"/>
      <c r="G201" s="362"/>
      <c r="H201" s="363"/>
      <c r="I201" s="367"/>
      <c r="J201" s="362"/>
      <c r="K201" s="363"/>
      <c r="L201" s="362"/>
    </row>
    <row r="202" spans="1:12" s="365" customFormat="1" ht="33" hidden="1" customHeight="1" outlineLevel="1" thickBot="1" x14ac:dyDescent="0.3">
      <c r="A202" s="360">
        <v>186</v>
      </c>
      <c r="B202" s="363"/>
      <c r="C202" s="437"/>
      <c r="D202" s="438"/>
      <c r="E202" s="438"/>
      <c r="F202" s="439"/>
      <c r="G202" s="362"/>
      <c r="H202" s="363"/>
      <c r="I202" s="367"/>
      <c r="J202" s="362"/>
      <c r="K202" s="363"/>
      <c r="L202" s="362"/>
    </row>
    <row r="203" spans="1:12" s="365" customFormat="1" ht="33" hidden="1" customHeight="1" outlineLevel="1" thickBot="1" x14ac:dyDescent="0.3">
      <c r="A203" s="360">
        <v>187</v>
      </c>
      <c r="B203" s="363"/>
      <c r="C203" s="437"/>
      <c r="D203" s="438"/>
      <c r="E203" s="438"/>
      <c r="F203" s="439"/>
      <c r="G203" s="362"/>
      <c r="H203" s="363"/>
      <c r="I203" s="367"/>
      <c r="J203" s="362"/>
      <c r="K203" s="363"/>
      <c r="L203" s="362"/>
    </row>
    <row r="204" spans="1:12" ht="16.5" collapsed="1" thickBot="1" x14ac:dyDescent="0.3">
      <c r="A204" s="431" t="s">
        <v>1247</v>
      </c>
      <c r="B204" s="431"/>
      <c r="C204" s="431"/>
      <c r="D204" s="431"/>
      <c r="E204" s="431"/>
      <c r="F204" s="431"/>
      <c r="G204" s="431"/>
      <c r="H204" s="431"/>
      <c r="I204" s="431"/>
      <c r="J204" s="431"/>
      <c r="K204" s="431"/>
      <c r="L204" s="368">
        <v>43921.600000000006</v>
      </c>
    </row>
    <row r="205" spans="1:12" ht="16.5" customHeight="1" x14ac:dyDescent="0.25">
      <c r="A205" s="444"/>
      <c r="B205" s="444"/>
      <c r="C205" s="444"/>
      <c r="D205" s="444"/>
      <c r="E205" s="444"/>
      <c r="F205" s="444"/>
      <c r="G205" s="444"/>
      <c r="H205" s="444"/>
      <c r="I205" s="444"/>
      <c r="J205" s="444"/>
      <c r="K205" s="444"/>
      <c r="L205" s="444"/>
    </row>
    <row r="206" spans="1:12" ht="19.899999999999999" customHeight="1" x14ac:dyDescent="0.25">
      <c r="E206" s="370"/>
    </row>
    <row r="207" spans="1:12" ht="16.5" thickBot="1" x14ac:dyDescent="0.3">
      <c r="A207" s="445" t="s">
        <v>1248</v>
      </c>
      <c r="B207" s="445"/>
      <c r="C207" s="445"/>
      <c r="D207" s="445"/>
      <c r="E207" s="445"/>
      <c r="F207" s="445"/>
      <c r="G207" s="445"/>
      <c r="H207" s="345" t="s">
        <v>1209</v>
      </c>
      <c r="I207" s="351" t="s">
        <v>1210</v>
      </c>
      <c r="J207" s="371">
        <v>46174</v>
      </c>
      <c r="K207" s="372"/>
      <c r="L207" s="372"/>
    </row>
    <row r="208" spans="1:12" ht="33" customHeight="1" thickBot="1" x14ac:dyDescent="0.3">
      <c r="A208" s="358" t="s">
        <v>461</v>
      </c>
      <c r="B208" s="359" t="s">
        <v>1249</v>
      </c>
      <c r="C208" s="446" t="s">
        <v>459</v>
      </c>
      <c r="D208" s="447"/>
      <c r="E208" s="447"/>
      <c r="F208" s="447"/>
      <c r="G208" s="446" t="s">
        <v>456</v>
      </c>
      <c r="H208" s="447"/>
      <c r="I208" s="359" t="s">
        <v>1250</v>
      </c>
      <c r="J208" s="447" t="s">
        <v>1251</v>
      </c>
      <c r="K208" s="447"/>
      <c r="L208" s="359" t="s">
        <v>1233</v>
      </c>
    </row>
    <row r="209" spans="1:12" ht="33" customHeight="1" thickBot="1" x14ac:dyDescent="0.3">
      <c r="A209" s="373">
        <v>1</v>
      </c>
      <c r="B209" s="374">
        <v>53351</v>
      </c>
      <c r="C209" s="437" t="s">
        <v>1252</v>
      </c>
      <c r="D209" s="438"/>
      <c r="E209" s="438"/>
      <c r="F209" s="439"/>
      <c r="G209" s="440">
        <v>1535.59</v>
      </c>
      <c r="H209" s="441"/>
      <c r="I209" s="363">
        <v>1</v>
      </c>
      <c r="J209" s="429" t="s">
        <v>437</v>
      </c>
      <c r="K209" s="430"/>
      <c r="L209" s="375">
        <v>1535.59</v>
      </c>
    </row>
    <row r="210" spans="1:12" ht="33" customHeight="1" thickBot="1" x14ac:dyDescent="0.3">
      <c r="A210" s="373">
        <v>2</v>
      </c>
      <c r="B210" s="374">
        <v>53352</v>
      </c>
      <c r="C210" s="437" t="s">
        <v>1253</v>
      </c>
      <c r="D210" s="438"/>
      <c r="E210" s="438"/>
      <c r="F210" s="439"/>
      <c r="G210" s="440">
        <v>5147.5200000000004</v>
      </c>
      <c r="H210" s="441"/>
      <c r="I210" s="363">
        <v>1</v>
      </c>
      <c r="J210" s="429" t="s">
        <v>437</v>
      </c>
      <c r="K210" s="430"/>
      <c r="L210" s="375">
        <v>5147.5200000000004</v>
      </c>
    </row>
    <row r="211" spans="1:12" ht="51" hidden="1" customHeight="1" thickBot="1" x14ac:dyDescent="0.3">
      <c r="A211" s="373">
        <v>3</v>
      </c>
      <c r="B211" s="374">
        <v>0</v>
      </c>
      <c r="C211" s="442">
        <v>0</v>
      </c>
      <c r="D211" s="426"/>
      <c r="E211" s="426"/>
      <c r="F211" s="426"/>
      <c r="G211" s="443">
        <v>0</v>
      </c>
      <c r="H211" s="428"/>
      <c r="I211" s="363">
        <v>0</v>
      </c>
      <c r="J211" s="429" t="s">
        <v>437</v>
      </c>
      <c r="K211" s="430"/>
      <c r="L211" s="375">
        <v>0</v>
      </c>
    </row>
    <row r="212" spans="1:12" ht="17.100000000000001" hidden="1" customHeight="1" thickBot="1" x14ac:dyDescent="0.3">
      <c r="A212" s="373">
        <v>4</v>
      </c>
      <c r="B212" s="374">
        <v>0</v>
      </c>
      <c r="C212" s="435">
        <v>0</v>
      </c>
      <c r="D212" s="426"/>
      <c r="E212" s="426"/>
      <c r="F212" s="426"/>
      <c r="G212" s="436">
        <v>0</v>
      </c>
      <c r="H212" s="428"/>
      <c r="I212" s="363">
        <v>0</v>
      </c>
      <c r="J212" s="429" t="s">
        <v>437</v>
      </c>
      <c r="K212" s="430"/>
      <c r="L212" s="375">
        <v>0</v>
      </c>
    </row>
    <row r="213" spans="1:12" ht="17.100000000000001" hidden="1" customHeight="1" thickBot="1" x14ac:dyDescent="0.3">
      <c r="A213" s="373">
        <v>5</v>
      </c>
      <c r="B213" s="374">
        <v>0</v>
      </c>
      <c r="C213" s="435">
        <v>0</v>
      </c>
      <c r="D213" s="426"/>
      <c r="E213" s="426"/>
      <c r="F213" s="426"/>
      <c r="G213" s="436">
        <v>0</v>
      </c>
      <c r="H213" s="428"/>
      <c r="I213" s="363">
        <v>0</v>
      </c>
      <c r="J213" s="429" t="s">
        <v>437</v>
      </c>
      <c r="K213" s="430"/>
      <c r="L213" s="375">
        <v>0</v>
      </c>
    </row>
    <row r="214" spans="1:12" ht="17.100000000000001" hidden="1" customHeight="1" thickBot="1" x14ac:dyDescent="0.3">
      <c r="A214" s="373">
        <v>6</v>
      </c>
      <c r="B214" s="374">
        <v>0</v>
      </c>
      <c r="C214" s="435">
        <v>0</v>
      </c>
      <c r="D214" s="426"/>
      <c r="E214" s="426"/>
      <c r="F214" s="426"/>
      <c r="G214" s="436">
        <v>0</v>
      </c>
      <c r="H214" s="428"/>
      <c r="I214" s="363">
        <v>0</v>
      </c>
      <c r="J214" s="429" t="s">
        <v>437</v>
      </c>
      <c r="K214" s="430"/>
      <c r="L214" s="375">
        <v>0</v>
      </c>
    </row>
    <row r="215" spans="1:12" ht="17.100000000000001" hidden="1" customHeight="1" thickBot="1" x14ac:dyDescent="0.3">
      <c r="A215" s="373">
        <v>7</v>
      </c>
      <c r="B215" s="374">
        <v>0</v>
      </c>
      <c r="C215" s="435">
        <v>0</v>
      </c>
      <c r="D215" s="426"/>
      <c r="E215" s="426"/>
      <c r="F215" s="426"/>
      <c r="G215" s="436">
        <v>0</v>
      </c>
      <c r="H215" s="428"/>
      <c r="I215" s="363">
        <v>0</v>
      </c>
      <c r="J215" s="429" t="s">
        <v>437</v>
      </c>
      <c r="K215" s="430"/>
      <c r="L215" s="375">
        <v>0</v>
      </c>
    </row>
    <row r="216" spans="1:12" ht="17.100000000000001" hidden="1" customHeight="1" thickBot="1" x14ac:dyDescent="0.3">
      <c r="A216" s="373">
        <v>8</v>
      </c>
      <c r="B216" s="374">
        <v>0</v>
      </c>
      <c r="C216" s="435">
        <v>0</v>
      </c>
      <c r="D216" s="426"/>
      <c r="E216" s="426"/>
      <c r="F216" s="426"/>
      <c r="G216" s="436">
        <v>0</v>
      </c>
      <c r="H216" s="428"/>
      <c r="I216" s="363">
        <v>0</v>
      </c>
      <c r="J216" s="429" t="s">
        <v>437</v>
      </c>
      <c r="K216" s="430"/>
      <c r="L216" s="375">
        <v>0</v>
      </c>
    </row>
    <row r="217" spans="1:12" ht="17.100000000000001" hidden="1" customHeight="1" thickBot="1" x14ac:dyDescent="0.3">
      <c r="A217" s="373">
        <v>9</v>
      </c>
      <c r="B217" s="374">
        <v>0</v>
      </c>
      <c r="C217" s="435">
        <v>0</v>
      </c>
      <c r="D217" s="426"/>
      <c r="E217" s="426"/>
      <c r="F217" s="426"/>
      <c r="G217" s="436">
        <v>0</v>
      </c>
      <c r="H217" s="428"/>
      <c r="I217" s="363">
        <v>0</v>
      </c>
      <c r="J217" s="429" t="s">
        <v>437</v>
      </c>
      <c r="K217" s="430"/>
      <c r="L217" s="375">
        <v>0</v>
      </c>
    </row>
    <row r="218" spans="1:12" ht="17.100000000000001" hidden="1" customHeight="1" thickBot="1" x14ac:dyDescent="0.3">
      <c r="A218" s="373">
        <v>10</v>
      </c>
      <c r="B218" s="374">
        <v>0</v>
      </c>
      <c r="C218" s="435">
        <v>0</v>
      </c>
      <c r="D218" s="426"/>
      <c r="E218" s="426"/>
      <c r="F218" s="426"/>
      <c r="G218" s="436">
        <v>0</v>
      </c>
      <c r="H218" s="428"/>
      <c r="I218" s="363">
        <v>0</v>
      </c>
      <c r="J218" s="429" t="s">
        <v>437</v>
      </c>
      <c r="K218" s="430"/>
      <c r="L218" s="375">
        <v>0</v>
      </c>
    </row>
    <row r="219" spans="1:12" ht="17.100000000000001" hidden="1" customHeight="1" thickBot="1" x14ac:dyDescent="0.3">
      <c r="A219" s="373">
        <v>11</v>
      </c>
      <c r="B219" s="374">
        <v>0</v>
      </c>
      <c r="C219" s="435">
        <v>0</v>
      </c>
      <c r="D219" s="426"/>
      <c r="E219" s="426"/>
      <c r="F219" s="426"/>
      <c r="G219" s="436">
        <v>0</v>
      </c>
      <c r="H219" s="428"/>
      <c r="I219" s="363">
        <v>0</v>
      </c>
      <c r="J219" s="429" t="s">
        <v>437</v>
      </c>
      <c r="K219" s="430"/>
      <c r="L219" s="375">
        <v>0</v>
      </c>
    </row>
    <row r="220" spans="1:12" ht="17.100000000000001" hidden="1" customHeight="1" thickBot="1" x14ac:dyDescent="0.3">
      <c r="A220" s="373">
        <v>12</v>
      </c>
      <c r="B220" s="374">
        <v>0</v>
      </c>
      <c r="C220" s="435">
        <v>0</v>
      </c>
      <c r="D220" s="426"/>
      <c r="E220" s="426"/>
      <c r="F220" s="426"/>
      <c r="G220" s="436">
        <v>0</v>
      </c>
      <c r="H220" s="428"/>
      <c r="I220" s="363">
        <v>0</v>
      </c>
      <c r="J220" s="429" t="s">
        <v>437</v>
      </c>
      <c r="K220" s="430"/>
      <c r="L220" s="375">
        <v>0</v>
      </c>
    </row>
    <row r="221" spans="1:12" ht="17.100000000000001" hidden="1" customHeight="1" thickBot="1" x14ac:dyDescent="0.3">
      <c r="A221" s="373">
        <v>13</v>
      </c>
      <c r="B221" s="374">
        <v>0</v>
      </c>
      <c r="C221" s="435">
        <v>0</v>
      </c>
      <c r="D221" s="426"/>
      <c r="E221" s="426"/>
      <c r="F221" s="426"/>
      <c r="G221" s="436">
        <v>0</v>
      </c>
      <c r="H221" s="428"/>
      <c r="I221" s="363">
        <v>0</v>
      </c>
      <c r="J221" s="429" t="s">
        <v>437</v>
      </c>
      <c r="K221" s="430"/>
      <c r="L221" s="375">
        <v>0</v>
      </c>
    </row>
    <row r="222" spans="1:12" ht="17.100000000000001" hidden="1" customHeight="1" thickBot="1" x14ac:dyDescent="0.3">
      <c r="A222" s="373">
        <v>14</v>
      </c>
      <c r="B222" s="374">
        <v>0</v>
      </c>
      <c r="C222" s="435">
        <v>0</v>
      </c>
      <c r="D222" s="426"/>
      <c r="E222" s="426"/>
      <c r="F222" s="426"/>
      <c r="G222" s="436">
        <v>0</v>
      </c>
      <c r="H222" s="428"/>
      <c r="I222" s="363">
        <v>0</v>
      </c>
      <c r="J222" s="429" t="s">
        <v>437</v>
      </c>
      <c r="K222" s="430"/>
      <c r="L222" s="375">
        <v>0</v>
      </c>
    </row>
    <row r="223" spans="1:12" ht="17.100000000000001" hidden="1" customHeight="1" thickBot="1" x14ac:dyDescent="0.3">
      <c r="A223" s="373">
        <v>15</v>
      </c>
      <c r="B223" s="374">
        <v>0</v>
      </c>
      <c r="C223" s="435">
        <v>0</v>
      </c>
      <c r="D223" s="426"/>
      <c r="E223" s="426"/>
      <c r="F223" s="426"/>
      <c r="G223" s="436">
        <v>0</v>
      </c>
      <c r="H223" s="428"/>
      <c r="I223" s="363">
        <v>0</v>
      </c>
      <c r="J223" s="429" t="s">
        <v>437</v>
      </c>
      <c r="K223" s="430"/>
      <c r="L223" s="375">
        <v>0</v>
      </c>
    </row>
    <row r="224" spans="1:12" ht="17.100000000000001" hidden="1" customHeight="1" thickBot="1" x14ac:dyDescent="0.3">
      <c r="A224" s="373">
        <v>16</v>
      </c>
      <c r="B224" s="374">
        <v>0</v>
      </c>
      <c r="C224" s="435">
        <v>0</v>
      </c>
      <c r="D224" s="426"/>
      <c r="E224" s="426"/>
      <c r="F224" s="426"/>
      <c r="G224" s="436">
        <v>0</v>
      </c>
      <c r="H224" s="428"/>
      <c r="I224" s="363">
        <v>0</v>
      </c>
      <c r="J224" s="429" t="s">
        <v>437</v>
      </c>
      <c r="K224" s="430"/>
      <c r="L224" s="375">
        <v>0</v>
      </c>
    </row>
    <row r="225" spans="1:12" ht="17.100000000000001" hidden="1" customHeight="1" thickBot="1" x14ac:dyDescent="0.3">
      <c r="A225" s="373">
        <v>17</v>
      </c>
      <c r="B225" s="374">
        <v>0</v>
      </c>
      <c r="C225" s="435">
        <v>0</v>
      </c>
      <c r="D225" s="426"/>
      <c r="E225" s="426"/>
      <c r="F225" s="426"/>
      <c r="G225" s="436">
        <v>0</v>
      </c>
      <c r="H225" s="428"/>
      <c r="I225" s="363">
        <v>0</v>
      </c>
      <c r="J225" s="429" t="s">
        <v>437</v>
      </c>
      <c r="K225" s="430"/>
      <c r="L225" s="375">
        <v>0</v>
      </c>
    </row>
    <row r="226" spans="1:12" ht="17.100000000000001" hidden="1" customHeight="1" thickBot="1" x14ac:dyDescent="0.3">
      <c r="A226" s="373">
        <v>18</v>
      </c>
      <c r="B226" s="374">
        <v>0</v>
      </c>
      <c r="C226" s="435">
        <v>0</v>
      </c>
      <c r="D226" s="426"/>
      <c r="E226" s="426"/>
      <c r="F226" s="426"/>
      <c r="G226" s="436">
        <v>0</v>
      </c>
      <c r="H226" s="428"/>
      <c r="I226" s="363">
        <v>0</v>
      </c>
      <c r="J226" s="429" t="s">
        <v>437</v>
      </c>
      <c r="K226" s="430"/>
      <c r="L226" s="375">
        <v>0</v>
      </c>
    </row>
    <row r="227" spans="1:12" ht="17.100000000000001" hidden="1" customHeight="1" thickBot="1" x14ac:dyDescent="0.3">
      <c r="A227" s="373">
        <v>19</v>
      </c>
      <c r="B227" s="374">
        <v>0</v>
      </c>
      <c r="C227" s="435">
        <v>0</v>
      </c>
      <c r="D227" s="426"/>
      <c r="E227" s="426"/>
      <c r="F227" s="426"/>
      <c r="G227" s="436">
        <v>0</v>
      </c>
      <c r="H227" s="428"/>
      <c r="I227" s="363">
        <v>0</v>
      </c>
      <c r="J227" s="429" t="s">
        <v>437</v>
      </c>
      <c r="K227" s="430"/>
      <c r="L227" s="375">
        <v>0</v>
      </c>
    </row>
    <row r="228" spans="1:12" ht="17.100000000000001" hidden="1" customHeight="1" thickBot="1" x14ac:dyDescent="0.3">
      <c r="A228" s="373">
        <v>20</v>
      </c>
      <c r="B228" s="374">
        <v>0</v>
      </c>
      <c r="C228" s="435">
        <v>0</v>
      </c>
      <c r="D228" s="426"/>
      <c r="E228" s="426"/>
      <c r="F228" s="426"/>
      <c r="G228" s="436">
        <v>0</v>
      </c>
      <c r="H228" s="428"/>
      <c r="I228" s="363">
        <v>0</v>
      </c>
      <c r="J228" s="429" t="s">
        <v>437</v>
      </c>
      <c r="K228" s="430"/>
      <c r="L228" s="375">
        <v>0</v>
      </c>
    </row>
    <row r="229" spans="1:12" ht="17.100000000000001" hidden="1" customHeight="1" thickBot="1" x14ac:dyDescent="0.3">
      <c r="A229" s="373">
        <v>21</v>
      </c>
      <c r="B229" s="374">
        <v>0</v>
      </c>
      <c r="C229" s="435">
        <v>0</v>
      </c>
      <c r="D229" s="426"/>
      <c r="E229" s="426"/>
      <c r="F229" s="426"/>
      <c r="G229" s="436">
        <v>0</v>
      </c>
      <c r="H229" s="428"/>
      <c r="I229" s="363">
        <v>0</v>
      </c>
      <c r="J229" s="429" t="s">
        <v>437</v>
      </c>
      <c r="K229" s="430"/>
      <c r="L229" s="375">
        <v>0</v>
      </c>
    </row>
    <row r="230" spans="1:12" ht="17.100000000000001" hidden="1" customHeight="1" thickBot="1" x14ac:dyDescent="0.3">
      <c r="A230" s="373">
        <v>22</v>
      </c>
      <c r="B230" s="374">
        <v>0</v>
      </c>
      <c r="C230" s="435">
        <v>0</v>
      </c>
      <c r="D230" s="426"/>
      <c r="E230" s="426"/>
      <c r="F230" s="426"/>
      <c r="G230" s="436">
        <v>0</v>
      </c>
      <c r="H230" s="428"/>
      <c r="I230" s="363">
        <v>0</v>
      </c>
      <c r="J230" s="429" t="s">
        <v>437</v>
      </c>
      <c r="K230" s="430"/>
      <c r="L230" s="375">
        <v>0</v>
      </c>
    </row>
    <row r="231" spans="1:12" ht="17.100000000000001" hidden="1" customHeight="1" thickBot="1" x14ac:dyDescent="0.3">
      <c r="A231" s="373">
        <v>23</v>
      </c>
      <c r="B231" s="374">
        <v>0</v>
      </c>
      <c r="C231" s="435">
        <v>0</v>
      </c>
      <c r="D231" s="426"/>
      <c r="E231" s="426"/>
      <c r="F231" s="426"/>
      <c r="G231" s="436">
        <v>0</v>
      </c>
      <c r="H231" s="428"/>
      <c r="I231" s="363">
        <v>0</v>
      </c>
      <c r="J231" s="429" t="s">
        <v>437</v>
      </c>
      <c r="K231" s="430"/>
      <c r="L231" s="375">
        <v>0</v>
      </c>
    </row>
    <row r="232" spans="1:12" ht="33" hidden="1" customHeight="1" thickBot="1" x14ac:dyDescent="0.3">
      <c r="A232" s="373">
        <v>24</v>
      </c>
      <c r="B232" s="374">
        <v>0</v>
      </c>
      <c r="C232" s="435">
        <v>0</v>
      </c>
      <c r="D232" s="426"/>
      <c r="E232" s="426"/>
      <c r="F232" s="426"/>
      <c r="G232" s="436">
        <v>0</v>
      </c>
      <c r="H232" s="428"/>
      <c r="I232" s="363">
        <v>0</v>
      </c>
      <c r="J232" s="429" t="s">
        <v>437</v>
      </c>
      <c r="K232" s="430"/>
      <c r="L232" s="375">
        <v>0</v>
      </c>
    </row>
    <row r="233" spans="1:12" ht="17.100000000000001" hidden="1" customHeight="1" thickBot="1" x14ac:dyDescent="0.3">
      <c r="A233" s="373">
        <v>25</v>
      </c>
      <c r="B233" s="374">
        <v>0</v>
      </c>
      <c r="C233" s="435">
        <v>0</v>
      </c>
      <c r="D233" s="426"/>
      <c r="E233" s="426"/>
      <c r="F233" s="426"/>
      <c r="G233" s="436">
        <v>0</v>
      </c>
      <c r="H233" s="428"/>
      <c r="I233" s="363">
        <v>0</v>
      </c>
      <c r="J233" s="429" t="s">
        <v>437</v>
      </c>
      <c r="K233" s="430"/>
      <c r="L233" s="375">
        <v>0</v>
      </c>
    </row>
    <row r="234" spans="1:12" ht="33" hidden="1" customHeight="1" thickBot="1" x14ac:dyDescent="0.3">
      <c r="A234" s="373">
        <v>26</v>
      </c>
      <c r="B234" s="374">
        <v>0</v>
      </c>
      <c r="C234" s="435">
        <v>0</v>
      </c>
      <c r="D234" s="426"/>
      <c r="E234" s="426"/>
      <c r="F234" s="426"/>
      <c r="G234" s="436">
        <v>0</v>
      </c>
      <c r="H234" s="428"/>
      <c r="I234" s="363">
        <v>0</v>
      </c>
      <c r="J234" s="429" t="s">
        <v>437</v>
      </c>
      <c r="K234" s="430"/>
      <c r="L234" s="375">
        <v>0</v>
      </c>
    </row>
    <row r="235" spans="1:12" ht="48.95" hidden="1" customHeight="1" thickBot="1" x14ac:dyDescent="0.3">
      <c r="A235" s="373">
        <v>27</v>
      </c>
      <c r="B235" s="374">
        <v>0</v>
      </c>
      <c r="C235" s="435">
        <v>0</v>
      </c>
      <c r="D235" s="426"/>
      <c r="E235" s="426"/>
      <c r="F235" s="426"/>
      <c r="G235" s="436">
        <v>0</v>
      </c>
      <c r="H235" s="428"/>
      <c r="I235" s="363">
        <v>0</v>
      </c>
      <c r="J235" s="429" t="s">
        <v>437</v>
      </c>
      <c r="K235" s="430"/>
      <c r="L235" s="375">
        <v>0</v>
      </c>
    </row>
    <row r="236" spans="1:12" ht="33" hidden="1" customHeight="1" thickBot="1" x14ac:dyDescent="0.3">
      <c r="A236" s="373">
        <v>28</v>
      </c>
      <c r="B236" s="374">
        <v>0</v>
      </c>
      <c r="C236" s="435">
        <v>0</v>
      </c>
      <c r="D236" s="426"/>
      <c r="E236" s="426"/>
      <c r="F236" s="426"/>
      <c r="G236" s="436">
        <v>0</v>
      </c>
      <c r="H236" s="428"/>
      <c r="I236" s="363">
        <v>0</v>
      </c>
      <c r="J236" s="429" t="s">
        <v>437</v>
      </c>
      <c r="K236" s="430"/>
      <c r="L236" s="375">
        <v>0</v>
      </c>
    </row>
    <row r="237" spans="1:12" ht="17.100000000000001" hidden="1" customHeight="1" thickBot="1" x14ac:dyDescent="0.3">
      <c r="A237" s="373">
        <v>29</v>
      </c>
      <c r="B237" s="374">
        <v>0</v>
      </c>
      <c r="C237" s="435">
        <v>0</v>
      </c>
      <c r="D237" s="426"/>
      <c r="E237" s="426"/>
      <c r="F237" s="426"/>
      <c r="G237" s="436">
        <v>0</v>
      </c>
      <c r="H237" s="428"/>
      <c r="I237" s="363">
        <v>0</v>
      </c>
      <c r="J237" s="429" t="s">
        <v>437</v>
      </c>
      <c r="K237" s="430"/>
      <c r="L237" s="375">
        <v>0</v>
      </c>
    </row>
    <row r="238" spans="1:12" ht="17.100000000000001" hidden="1" customHeight="1" thickBot="1" x14ac:dyDescent="0.3">
      <c r="A238" s="373">
        <v>30</v>
      </c>
      <c r="B238" s="374">
        <v>0</v>
      </c>
      <c r="C238" s="435">
        <v>0</v>
      </c>
      <c r="D238" s="426"/>
      <c r="E238" s="426"/>
      <c r="F238" s="426"/>
      <c r="G238" s="436">
        <v>0</v>
      </c>
      <c r="H238" s="428"/>
      <c r="I238" s="363">
        <v>0</v>
      </c>
      <c r="J238" s="429" t="s">
        <v>437</v>
      </c>
      <c r="K238" s="430"/>
      <c r="L238" s="375">
        <v>0</v>
      </c>
    </row>
    <row r="239" spans="1:12" ht="51" hidden="1" customHeight="1" outlineLevel="1" thickBot="1" x14ac:dyDescent="0.3">
      <c r="A239" s="373">
        <v>31</v>
      </c>
      <c r="B239" s="374">
        <v>0</v>
      </c>
      <c r="C239" s="435">
        <v>0</v>
      </c>
      <c r="D239" s="426"/>
      <c r="E239" s="426"/>
      <c r="F239" s="426"/>
      <c r="G239" s="436">
        <v>0</v>
      </c>
      <c r="H239" s="428"/>
      <c r="I239" s="363">
        <v>0</v>
      </c>
      <c r="J239" s="429" t="s">
        <v>437</v>
      </c>
      <c r="K239" s="430"/>
      <c r="L239" s="375">
        <v>0</v>
      </c>
    </row>
    <row r="240" spans="1:12" ht="51" hidden="1" customHeight="1" outlineLevel="1" thickBot="1" x14ac:dyDescent="0.3">
      <c r="A240" s="373">
        <v>32</v>
      </c>
      <c r="B240" s="374">
        <v>0</v>
      </c>
      <c r="C240" s="435">
        <v>0</v>
      </c>
      <c r="D240" s="426"/>
      <c r="E240" s="426"/>
      <c r="F240" s="426"/>
      <c r="G240" s="436">
        <v>0</v>
      </c>
      <c r="H240" s="428"/>
      <c r="I240" s="363">
        <v>0</v>
      </c>
      <c r="J240" s="429" t="s">
        <v>437</v>
      </c>
      <c r="K240" s="430"/>
      <c r="L240" s="375">
        <v>0</v>
      </c>
    </row>
    <row r="241" spans="1:12" ht="51" hidden="1" customHeight="1" outlineLevel="1" thickBot="1" x14ac:dyDescent="0.3">
      <c r="A241" s="373">
        <v>33</v>
      </c>
      <c r="B241" s="374">
        <v>0</v>
      </c>
      <c r="C241" s="435">
        <v>0</v>
      </c>
      <c r="D241" s="426"/>
      <c r="E241" s="426"/>
      <c r="F241" s="426"/>
      <c r="G241" s="436">
        <v>0</v>
      </c>
      <c r="H241" s="428"/>
      <c r="I241" s="363">
        <v>0</v>
      </c>
      <c r="J241" s="429" t="s">
        <v>437</v>
      </c>
      <c r="K241" s="430"/>
      <c r="L241" s="375">
        <v>0</v>
      </c>
    </row>
    <row r="242" spans="1:12" ht="51" hidden="1" customHeight="1" outlineLevel="1" thickBot="1" x14ac:dyDescent="0.3">
      <c r="A242" s="373">
        <v>34</v>
      </c>
      <c r="B242" s="374">
        <v>0</v>
      </c>
      <c r="C242" s="435">
        <v>0</v>
      </c>
      <c r="D242" s="426"/>
      <c r="E242" s="426"/>
      <c r="F242" s="426"/>
      <c r="G242" s="436">
        <v>0</v>
      </c>
      <c r="H242" s="428"/>
      <c r="I242" s="363">
        <v>0</v>
      </c>
      <c r="J242" s="429" t="s">
        <v>437</v>
      </c>
      <c r="K242" s="430"/>
      <c r="L242" s="375">
        <v>0</v>
      </c>
    </row>
    <row r="243" spans="1:12" ht="51" hidden="1" customHeight="1" outlineLevel="1" thickBot="1" x14ac:dyDescent="0.3">
      <c r="A243" s="373">
        <v>35</v>
      </c>
      <c r="B243" s="374">
        <v>0</v>
      </c>
      <c r="C243" s="435">
        <v>0</v>
      </c>
      <c r="D243" s="426"/>
      <c r="E243" s="426"/>
      <c r="F243" s="426"/>
      <c r="G243" s="436">
        <v>0</v>
      </c>
      <c r="H243" s="428"/>
      <c r="I243" s="363">
        <v>0</v>
      </c>
      <c r="J243" s="429" t="s">
        <v>437</v>
      </c>
      <c r="K243" s="430"/>
      <c r="L243" s="375">
        <v>0</v>
      </c>
    </row>
    <row r="244" spans="1:12" ht="51" hidden="1" customHeight="1" outlineLevel="1" thickBot="1" x14ac:dyDescent="0.3">
      <c r="A244" s="373">
        <v>36</v>
      </c>
      <c r="B244" s="374">
        <v>0</v>
      </c>
      <c r="C244" s="435">
        <v>0</v>
      </c>
      <c r="D244" s="426"/>
      <c r="E244" s="426"/>
      <c r="F244" s="426"/>
      <c r="G244" s="436">
        <v>0</v>
      </c>
      <c r="H244" s="428"/>
      <c r="I244" s="363">
        <v>0</v>
      </c>
      <c r="J244" s="429" t="s">
        <v>437</v>
      </c>
      <c r="K244" s="430"/>
      <c r="L244" s="375">
        <v>0</v>
      </c>
    </row>
    <row r="245" spans="1:12" ht="51" hidden="1" customHeight="1" outlineLevel="1" thickBot="1" x14ac:dyDescent="0.3">
      <c r="A245" s="373">
        <v>37</v>
      </c>
      <c r="B245" s="374">
        <v>0</v>
      </c>
      <c r="C245" s="435">
        <v>0</v>
      </c>
      <c r="D245" s="426"/>
      <c r="E245" s="426"/>
      <c r="F245" s="426"/>
      <c r="G245" s="436">
        <v>0</v>
      </c>
      <c r="H245" s="428"/>
      <c r="I245" s="363">
        <v>0</v>
      </c>
      <c r="J245" s="429" t="s">
        <v>437</v>
      </c>
      <c r="K245" s="430"/>
      <c r="L245" s="375">
        <v>0</v>
      </c>
    </row>
    <row r="246" spans="1:12" ht="51" hidden="1" customHeight="1" outlineLevel="1" thickBot="1" x14ac:dyDescent="0.3">
      <c r="A246" s="373">
        <v>38</v>
      </c>
      <c r="B246" s="374">
        <v>0</v>
      </c>
      <c r="C246" s="435">
        <v>0</v>
      </c>
      <c r="D246" s="426"/>
      <c r="E246" s="426"/>
      <c r="F246" s="426"/>
      <c r="G246" s="436">
        <v>0</v>
      </c>
      <c r="H246" s="428"/>
      <c r="I246" s="363">
        <v>0</v>
      </c>
      <c r="J246" s="429" t="s">
        <v>437</v>
      </c>
      <c r="K246" s="430"/>
      <c r="L246" s="375">
        <v>0</v>
      </c>
    </row>
    <row r="247" spans="1:12" ht="51" hidden="1" customHeight="1" outlineLevel="1" thickBot="1" x14ac:dyDescent="0.3">
      <c r="A247" s="373">
        <v>39</v>
      </c>
      <c r="B247" s="374">
        <v>0</v>
      </c>
      <c r="C247" s="435">
        <v>0</v>
      </c>
      <c r="D247" s="426"/>
      <c r="E247" s="426"/>
      <c r="F247" s="426"/>
      <c r="G247" s="436">
        <v>0</v>
      </c>
      <c r="H247" s="428"/>
      <c r="I247" s="363">
        <v>0</v>
      </c>
      <c r="J247" s="429" t="s">
        <v>437</v>
      </c>
      <c r="K247" s="430"/>
      <c r="L247" s="375">
        <v>0</v>
      </c>
    </row>
    <row r="248" spans="1:12" ht="51" hidden="1" customHeight="1" outlineLevel="1" thickBot="1" x14ac:dyDescent="0.3">
      <c r="A248" s="373">
        <v>40</v>
      </c>
      <c r="B248" s="374">
        <v>0</v>
      </c>
      <c r="C248" s="435">
        <v>0</v>
      </c>
      <c r="D248" s="426"/>
      <c r="E248" s="426"/>
      <c r="F248" s="426"/>
      <c r="G248" s="436">
        <v>0</v>
      </c>
      <c r="H248" s="428"/>
      <c r="I248" s="363">
        <v>0</v>
      </c>
      <c r="J248" s="429" t="s">
        <v>437</v>
      </c>
      <c r="K248" s="430"/>
      <c r="L248" s="375">
        <v>0</v>
      </c>
    </row>
    <row r="249" spans="1:12" ht="51" hidden="1" customHeight="1" outlineLevel="1" thickBot="1" x14ac:dyDescent="0.3">
      <c r="A249" s="373">
        <v>41</v>
      </c>
      <c r="B249" s="374">
        <v>0</v>
      </c>
      <c r="C249" s="435">
        <v>0</v>
      </c>
      <c r="D249" s="426"/>
      <c r="E249" s="426"/>
      <c r="F249" s="426"/>
      <c r="G249" s="436">
        <v>0</v>
      </c>
      <c r="H249" s="428"/>
      <c r="I249" s="363">
        <v>0</v>
      </c>
      <c r="J249" s="429" t="s">
        <v>437</v>
      </c>
      <c r="K249" s="430"/>
      <c r="L249" s="375">
        <v>0</v>
      </c>
    </row>
    <row r="250" spans="1:12" ht="51" hidden="1" customHeight="1" outlineLevel="1" thickBot="1" x14ac:dyDescent="0.3">
      <c r="A250" s="373">
        <v>42</v>
      </c>
      <c r="B250" s="374">
        <v>0</v>
      </c>
      <c r="C250" s="435">
        <v>0</v>
      </c>
      <c r="D250" s="426"/>
      <c r="E250" s="426"/>
      <c r="F250" s="426"/>
      <c r="G250" s="436">
        <v>0</v>
      </c>
      <c r="H250" s="428"/>
      <c r="I250" s="363">
        <v>0</v>
      </c>
      <c r="J250" s="429" t="s">
        <v>437</v>
      </c>
      <c r="K250" s="430"/>
      <c r="L250" s="375">
        <v>0</v>
      </c>
    </row>
    <row r="251" spans="1:12" ht="51" hidden="1" customHeight="1" outlineLevel="1" thickBot="1" x14ac:dyDescent="0.3">
      <c r="A251" s="373">
        <v>43</v>
      </c>
      <c r="B251" s="374">
        <v>0</v>
      </c>
      <c r="C251" s="435">
        <v>0</v>
      </c>
      <c r="D251" s="426"/>
      <c r="E251" s="426"/>
      <c r="F251" s="426"/>
      <c r="G251" s="436">
        <v>0</v>
      </c>
      <c r="H251" s="428"/>
      <c r="I251" s="363">
        <v>0</v>
      </c>
      <c r="J251" s="429" t="s">
        <v>437</v>
      </c>
      <c r="K251" s="430"/>
      <c r="L251" s="375">
        <v>0</v>
      </c>
    </row>
    <row r="252" spans="1:12" ht="51" hidden="1" customHeight="1" outlineLevel="1" thickBot="1" x14ac:dyDescent="0.3">
      <c r="A252" s="373">
        <v>44</v>
      </c>
      <c r="B252" s="374">
        <v>0</v>
      </c>
      <c r="C252" s="435">
        <v>0</v>
      </c>
      <c r="D252" s="426"/>
      <c r="E252" s="426"/>
      <c r="F252" s="426"/>
      <c r="G252" s="436">
        <v>0</v>
      </c>
      <c r="H252" s="428"/>
      <c r="I252" s="363">
        <v>0</v>
      </c>
      <c r="J252" s="429" t="s">
        <v>437</v>
      </c>
      <c r="K252" s="430"/>
      <c r="L252" s="375">
        <v>0</v>
      </c>
    </row>
    <row r="253" spans="1:12" ht="51" hidden="1" customHeight="1" outlineLevel="1" thickBot="1" x14ac:dyDescent="0.3">
      <c r="A253" s="373">
        <v>45</v>
      </c>
      <c r="B253" s="374">
        <v>0</v>
      </c>
      <c r="C253" s="435">
        <v>0</v>
      </c>
      <c r="D253" s="426"/>
      <c r="E253" s="426"/>
      <c r="F253" s="426"/>
      <c r="G253" s="436">
        <v>0</v>
      </c>
      <c r="H253" s="428"/>
      <c r="I253" s="363">
        <v>0</v>
      </c>
      <c r="J253" s="429" t="s">
        <v>437</v>
      </c>
      <c r="K253" s="430"/>
      <c r="L253" s="375">
        <v>0</v>
      </c>
    </row>
    <row r="254" spans="1:12" ht="51" hidden="1" customHeight="1" outlineLevel="1" thickBot="1" x14ac:dyDescent="0.3">
      <c r="A254" s="373">
        <v>46</v>
      </c>
      <c r="B254" s="374">
        <v>0</v>
      </c>
      <c r="C254" s="435">
        <v>0</v>
      </c>
      <c r="D254" s="426"/>
      <c r="E254" s="426"/>
      <c r="F254" s="426"/>
      <c r="G254" s="436">
        <v>0</v>
      </c>
      <c r="H254" s="428"/>
      <c r="I254" s="363"/>
      <c r="J254" s="429" t="s">
        <v>437</v>
      </c>
      <c r="K254" s="430"/>
      <c r="L254" s="375">
        <v>0</v>
      </c>
    </row>
    <row r="255" spans="1:12" ht="51" hidden="1" customHeight="1" outlineLevel="1" thickBot="1" x14ac:dyDescent="0.3">
      <c r="A255" s="373">
        <v>47</v>
      </c>
      <c r="B255" s="374">
        <v>0</v>
      </c>
      <c r="C255" s="435">
        <v>0</v>
      </c>
      <c r="D255" s="426"/>
      <c r="E255" s="426"/>
      <c r="F255" s="426"/>
      <c r="G255" s="436">
        <v>0</v>
      </c>
      <c r="H255" s="428"/>
      <c r="I255" s="363"/>
      <c r="J255" s="429" t="s">
        <v>437</v>
      </c>
      <c r="K255" s="430"/>
      <c r="L255" s="375">
        <v>0</v>
      </c>
    </row>
    <row r="256" spans="1:12" ht="51" hidden="1" customHeight="1" outlineLevel="1" thickBot="1" x14ac:dyDescent="0.3">
      <c r="A256" s="373">
        <v>48</v>
      </c>
      <c r="B256" s="374">
        <v>0</v>
      </c>
      <c r="C256" s="435">
        <v>0</v>
      </c>
      <c r="D256" s="426"/>
      <c r="E256" s="426"/>
      <c r="F256" s="426"/>
      <c r="G256" s="436">
        <v>0</v>
      </c>
      <c r="H256" s="428"/>
      <c r="I256" s="363"/>
      <c r="J256" s="429" t="s">
        <v>437</v>
      </c>
      <c r="K256" s="430"/>
      <c r="L256" s="375">
        <v>0</v>
      </c>
    </row>
    <row r="257" spans="1:12" ht="51" hidden="1" customHeight="1" outlineLevel="1" thickBot="1" x14ac:dyDescent="0.3">
      <c r="A257" s="373">
        <v>49</v>
      </c>
      <c r="B257" s="374">
        <v>0</v>
      </c>
      <c r="C257" s="435">
        <v>0</v>
      </c>
      <c r="D257" s="426"/>
      <c r="E257" s="426"/>
      <c r="F257" s="426"/>
      <c r="G257" s="436">
        <v>0</v>
      </c>
      <c r="H257" s="428"/>
      <c r="I257" s="363"/>
      <c r="J257" s="429" t="s">
        <v>437</v>
      </c>
      <c r="K257" s="430"/>
      <c r="L257" s="375">
        <v>0</v>
      </c>
    </row>
    <row r="258" spans="1:12" ht="51" hidden="1" customHeight="1" outlineLevel="1" thickBot="1" x14ac:dyDescent="0.3">
      <c r="A258" s="373">
        <v>50</v>
      </c>
      <c r="B258" s="374"/>
      <c r="C258" s="435">
        <v>0</v>
      </c>
      <c r="D258" s="426"/>
      <c r="E258" s="426"/>
      <c r="F258" s="426"/>
      <c r="G258" s="436">
        <v>0</v>
      </c>
      <c r="H258" s="428"/>
      <c r="I258" s="363"/>
      <c r="J258" s="429" t="s">
        <v>437</v>
      </c>
      <c r="K258" s="430"/>
      <c r="L258" s="375">
        <v>0</v>
      </c>
    </row>
    <row r="259" spans="1:12" ht="51" hidden="1" customHeight="1" outlineLevel="1" thickBot="1" x14ac:dyDescent="0.3">
      <c r="A259" s="373">
        <v>51</v>
      </c>
      <c r="B259" s="374"/>
      <c r="C259" s="435">
        <v>0</v>
      </c>
      <c r="D259" s="426"/>
      <c r="E259" s="426"/>
      <c r="F259" s="426"/>
      <c r="G259" s="436">
        <v>0</v>
      </c>
      <c r="H259" s="428"/>
      <c r="I259" s="363"/>
      <c r="J259" s="429" t="s">
        <v>437</v>
      </c>
      <c r="K259" s="430"/>
      <c r="L259" s="375">
        <v>0</v>
      </c>
    </row>
    <row r="260" spans="1:12" ht="51" hidden="1" customHeight="1" outlineLevel="1" thickBot="1" x14ac:dyDescent="0.3">
      <c r="A260" s="373">
        <v>52</v>
      </c>
      <c r="B260" s="374"/>
      <c r="C260" s="435">
        <v>0</v>
      </c>
      <c r="D260" s="426"/>
      <c r="E260" s="426"/>
      <c r="F260" s="426"/>
      <c r="G260" s="436">
        <v>0</v>
      </c>
      <c r="H260" s="428"/>
      <c r="I260" s="363"/>
      <c r="J260" s="429" t="s">
        <v>437</v>
      </c>
      <c r="K260" s="430"/>
      <c r="L260" s="375">
        <v>0</v>
      </c>
    </row>
    <row r="261" spans="1:12" ht="51" hidden="1" customHeight="1" outlineLevel="1" thickBot="1" x14ac:dyDescent="0.3">
      <c r="A261" s="373">
        <v>53</v>
      </c>
      <c r="B261" s="374"/>
      <c r="C261" s="435">
        <v>0</v>
      </c>
      <c r="D261" s="426"/>
      <c r="E261" s="426"/>
      <c r="F261" s="426"/>
      <c r="G261" s="436">
        <v>0</v>
      </c>
      <c r="H261" s="428"/>
      <c r="I261" s="363"/>
      <c r="J261" s="429" t="s">
        <v>437</v>
      </c>
      <c r="K261" s="430"/>
      <c r="L261" s="375">
        <v>0</v>
      </c>
    </row>
    <row r="262" spans="1:12" ht="51" hidden="1" customHeight="1" outlineLevel="1" thickBot="1" x14ac:dyDescent="0.3">
      <c r="A262" s="373">
        <v>54</v>
      </c>
      <c r="B262" s="374"/>
      <c r="C262" s="435">
        <v>0</v>
      </c>
      <c r="D262" s="426"/>
      <c r="E262" s="426"/>
      <c r="F262" s="426"/>
      <c r="G262" s="436">
        <v>0</v>
      </c>
      <c r="H262" s="428"/>
      <c r="I262" s="363"/>
      <c r="J262" s="429" t="s">
        <v>437</v>
      </c>
      <c r="K262" s="430"/>
      <c r="L262" s="375">
        <v>0</v>
      </c>
    </row>
    <row r="263" spans="1:12" ht="51" hidden="1" customHeight="1" outlineLevel="1" thickBot="1" x14ac:dyDescent="0.3">
      <c r="A263" s="373">
        <v>55</v>
      </c>
      <c r="B263" s="374"/>
      <c r="C263" s="435">
        <v>0</v>
      </c>
      <c r="D263" s="426"/>
      <c r="E263" s="426"/>
      <c r="F263" s="426"/>
      <c r="G263" s="436">
        <v>0</v>
      </c>
      <c r="H263" s="428"/>
      <c r="I263" s="363"/>
      <c r="J263" s="429" t="s">
        <v>437</v>
      </c>
      <c r="K263" s="430"/>
      <c r="L263" s="375">
        <v>0</v>
      </c>
    </row>
    <row r="264" spans="1:12" ht="51" hidden="1" customHeight="1" outlineLevel="1" thickBot="1" x14ac:dyDescent="0.3">
      <c r="A264" s="373">
        <v>56</v>
      </c>
      <c r="B264" s="374"/>
      <c r="C264" s="435">
        <v>0</v>
      </c>
      <c r="D264" s="426"/>
      <c r="E264" s="426"/>
      <c r="F264" s="426"/>
      <c r="G264" s="436">
        <v>0</v>
      </c>
      <c r="H264" s="428"/>
      <c r="I264" s="363"/>
      <c r="J264" s="429" t="s">
        <v>437</v>
      </c>
      <c r="K264" s="430"/>
      <c r="L264" s="375"/>
    </row>
    <row r="265" spans="1:12" ht="51" hidden="1" customHeight="1" outlineLevel="1" thickBot="1" x14ac:dyDescent="0.3">
      <c r="A265" s="373">
        <v>57</v>
      </c>
      <c r="B265" s="374"/>
      <c r="C265" s="435">
        <v>0</v>
      </c>
      <c r="D265" s="426"/>
      <c r="E265" s="426"/>
      <c r="F265" s="426"/>
      <c r="G265" s="436">
        <v>0</v>
      </c>
      <c r="H265" s="428"/>
      <c r="I265" s="363"/>
      <c r="J265" s="429" t="s">
        <v>437</v>
      </c>
      <c r="K265" s="430"/>
      <c r="L265" s="375"/>
    </row>
    <row r="266" spans="1:12" ht="51" hidden="1" customHeight="1" outlineLevel="1" thickBot="1" x14ac:dyDescent="0.3">
      <c r="A266" s="373">
        <v>58</v>
      </c>
      <c r="B266" s="374"/>
      <c r="C266" s="435">
        <v>0</v>
      </c>
      <c r="D266" s="426"/>
      <c r="E266" s="426"/>
      <c r="F266" s="426"/>
      <c r="G266" s="436">
        <v>0</v>
      </c>
      <c r="H266" s="428"/>
      <c r="I266" s="363"/>
      <c r="J266" s="429" t="s">
        <v>437</v>
      </c>
      <c r="K266" s="430"/>
      <c r="L266" s="375"/>
    </row>
    <row r="267" spans="1:12" ht="51" hidden="1" customHeight="1" outlineLevel="1" thickBot="1" x14ac:dyDescent="0.3">
      <c r="A267" s="373">
        <v>59</v>
      </c>
      <c r="B267" s="374"/>
      <c r="C267" s="435">
        <v>0</v>
      </c>
      <c r="D267" s="426"/>
      <c r="E267" s="426"/>
      <c r="F267" s="426"/>
      <c r="G267" s="436">
        <v>0</v>
      </c>
      <c r="H267" s="428"/>
      <c r="I267" s="363"/>
      <c r="J267" s="429" t="s">
        <v>437</v>
      </c>
      <c r="K267" s="430"/>
      <c r="L267" s="375"/>
    </row>
    <row r="268" spans="1:12" ht="51" hidden="1" customHeight="1" outlineLevel="1" thickBot="1" x14ac:dyDescent="0.3">
      <c r="A268" s="373">
        <v>60</v>
      </c>
      <c r="B268" s="374"/>
      <c r="C268" s="435">
        <v>0</v>
      </c>
      <c r="D268" s="426"/>
      <c r="E268" s="426"/>
      <c r="F268" s="426"/>
      <c r="G268" s="436">
        <v>0</v>
      </c>
      <c r="H268" s="428"/>
      <c r="I268" s="363"/>
      <c r="J268" s="429" t="s">
        <v>437</v>
      </c>
      <c r="K268" s="430"/>
      <c r="L268" s="375"/>
    </row>
    <row r="269" spans="1:12" ht="51" hidden="1" customHeight="1" outlineLevel="1" thickBot="1" x14ac:dyDescent="0.3">
      <c r="A269" s="373">
        <v>61</v>
      </c>
      <c r="B269" s="374"/>
      <c r="C269" s="435">
        <v>0</v>
      </c>
      <c r="D269" s="426"/>
      <c r="E269" s="426"/>
      <c r="F269" s="426"/>
      <c r="G269" s="436">
        <v>0</v>
      </c>
      <c r="H269" s="428"/>
      <c r="I269" s="363"/>
      <c r="J269" s="429" t="s">
        <v>437</v>
      </c>
      <c r="K269" s="430"/>
      <c r="L269" s="375"/>
    </row>
    <row r="270" spans="1:12" ht="51" hidden="1" customHeight="1" outlineLevel="1" thickBot="1" x14ac:dyDescent="0.3">
      <c r="A270" s="373">
        <v>62</v>
      </c>
      <c r="B270" s="374"/>
      <c r="C270" s="435">
        <v>0</v>
      </c>
      <c r="D270" s="426"/>
      <c r="E270" s="426"/>
      <c r="F270" s="426"/>
      <c r="G270" s="436">
        <v>0</v>
      </c>
      <c r="H270" s="428"/>
      <c r="I270" s="363"/>
      <c r="J270" s="429" t="s">
        <v>437</v>
      </c>
      <c r="K270" s="430"/>
      <c r="L270" s="375"/>
    </row>
    <row r="271" spans="1:12" ht="51" hidden="1" customHeight="1" outlineLevel="1" thickBot="1" x14ac:dyDescent="0.3">
      <c r="A271" s="373">
        <v>63</v>
      </c>
      <c r="B271" s="374"/>
      <c r="C271" s="435">
        <v>0</v>
      </c>
      <c r="D271" s="426"/>
      <c r="E271" s="426"/>
      <c r="F271" s="426"/>
      <c r="G271" s="436">
        <v>0</v>
      </c>
      <c r="H271" s="428"/>
      <c r="I271" s="363"/>
      <c r="J271" s="429" t="s">
        <v>437</v>
      </c>
      <c r="K271" s="430"/>
      <c r="L271" s="375"/>
    </row>
    <row r="272" spans="1:12" ht="51" hidden="1" customHeight="1" outlineLevel="1" thickBot="1" x14ac:dyDescent="0.3">
      <c r="A272" s="373">
        <v>64</v>
      </c>
      <c r="B272" s="374"/>
      <c r="C272" s="435">
        <v>0</v>
      </c>
      <c r="D272" s="426"/>
      <c r="E272" s="426"/>
      <c r="F272" s="426"/>
      <c r="G272" s="436">
        <v>0</v>
      </c>
      <c r="H272" s="428"/>
      <c r="I272" s="363"/>
      <c r="J272" s="429" t="s">
        <v>437</v>
      </c>
      <c r="K272" s="430"/>
      <c r="L272" s="375"/>
    </row>
    <row r="273" spans="1:12" ht="51" hidden="1" customHeight="1" outlineLevel="1" thickBot="1" x14ac:dyDescent="0.3">
      <c r="A273" s="373">
        <v>65</v>
      </c>
      <c r="B273" s="374"/>
      <c r="C273" s="435">
        <v>0</v>
      </c>
      <c r="D273" s="426"/>
      <c r="E273" s="426"/>
      <c r="F273" s="426"/>
      <c r="G273" s="436">
        <v>0</v>
      </c>
      <c r="H273" s="428"/>
      <c r="I273" s="363"/>
      <c r="J273" s="429" t="s">
        <v>437</v>
      </c>
      <c r="K273" s="430"/>
      <c r="L273" s="375"/>
    </row>
    <row r="274" spans="1:12" ht="32.25" hidden="1" customHeight="1" outlineLevel="1" thickBot="1" x14ac:dyDescent="0.3">
      <c r="A274" s="373">
        <v>66</v>
      </c>
      <c r="B274" s="374"/>
      <c r="C274" s="435">
        <v>0</v>
      </c>
      <c r="D274" s="426"/>
      <c r="E274" s="426"/>
      <c r="F274" s="426"/>
      <c r="G274" s="436">
        <v>0</v>
      </c>
      <c r="H274" s="428"/>
      <c r="I274" s="363"/>
      <c r="J274" s="429" t="s">
        <v>437</v>
      </c>
      <c r="K274" s="430"/>
      <c r="L274" s="375"/>
    </row>
    <row r="275" spans="1:12" ht="32.25" hidden="1" customHeight="1" outlineLevel="1" thickBot="1" x14ac:dyDescent="0.3">
      <c r="A275" s="373">
        <v>67</v>
      </c>
      <c r="B275" s="374"/>
      <c r="C275" s="435">
        <v>0</v>
      </c>
      <c r="D275" s="426"/>
      <c r="E275" s="426"/>
      <c r="F275" s="426"/>
      <c r="G275" s="436">
        <v>0</v>
      </c>
      <c r="H275" s="428"/>
      <c r="I275" s="363"/>
      <c r="J275" s="429" t="s">
        <v>437</v>
      </c>
      <c r="K275" s="430"/>
      <c r="L275" s="375"/>
    </row>
    <row r="276" spans="1:12" ht="32.25" hidden="1" customHeight="1" outlineLevel="1" thickBot="1" x14ac:dyDescent="0.3">
      <c r="A276" s="373">
        <v>68</v>
      </c>
      <c r="B276" s="374"/>
      <c r="C276" s="435">
        <v>0</v>
      </c>
      <c r="D276" s="426"/>
      <c r="E276" s="426"/>
      <c r="F276" s="426"/>
      <c r="G276" s="436">
        <v>0</v>
      </c>
      <c r="H276" s="428"/>
      <c r="I276" s="363"/>
      <c r="J276" s="429" t="s">
        <v>437</v>
      </c>
      <c r="K276" s="430"/>
      <c r="L276" s="375"/>
    </row>
    <row r="277" spans="1:12" ht="32.25" hidden="1" customHeight="1" outlineLevel="1" thickBot="1" x14ac:dyDescent="0.3">
      <c r="A277" s="373">
        <v>69</v>
      </c>
      <c r="B277" s="374"/>
      <c r="C277" s="435">
        <v>0</v>
      </c>
      <c r="D277" s="426"/>
      <c r="E277" s="426"/>
      <c r="F277" s="426"/>
      <c r="G277" s="436">
        <v>0</v>
      </c>
      <c r="H277" s="428"/>
      <c r="I277" s="363"/>
      <c r="J277" s="429" t="s">
        <v>437</v>
      </c>
      <c r="K277" s="430"/>
      <c r="L277" s="375"/>
    </row>
    <row r="278" spans="1:12" ht="32.25" hidden="1" customHeight="1" outlineLevel="1" thickBot="1" x14ac:dyDescent="0.3">
      <c r="A278" s="373">
        <v>70</v>
      </c>
      <c r="B278" s="374"/>
      <c r="C278" s="435">
        <v>0</v>
      </c>
      <c r="D278" s="426"/>
      <c r="E278" s="426"/>
      <c r="F278" s="426"/>
      <c r="G278" s="436">
        <v>0</v>
      </c>
      <c r="H278" s="428"/>
      <c r="I278" s="363"/>
      <c r="J278" s="429" t="s">
        <v>437</v>
      </c>
      <c r="K278" s="430"/>
      <c r="L278" s="375"/>
    </row>
    <row r="279" spans="1:12" ht="32.25" hidden="1" customHeight="1" outlineLevel="1" thickBot="1" x14ac:dyDescent="0.3">
      <c r="A279" s="373">
        <v>71</v>
      </c>
      <c r="B279" s="374"/>
      <c r="C279" s="435">
        <v>0</v>
      </c>
      <c r="D279" s="426"/>
      <c r="E279" s="426"/>
      <c r="F279" s="426"/>
      <c r="G279" s="436">
        <v>0</v>
      </c>
      <c r="H279" s="428"/>
      <c r="I279" s="363"/>
      <c r="J279" s="429" t="s">
        <v>437</v>
      </c>
      <c r="K279" s="430"/>
      <c r="L279" s="375"/>
    </row>
    <row r="280" spans="1:12" ht="32.25" hidden="1" customHeight="1" outlineLevel="1" thickBot="1" x14ac:dyDescent="0.3">
      <c r="A280" s="373">
        <v>72</v>
      </c>
      <c r="B280" s="374"/>
      <c r="C280" s="435">
        <v>0</v>
      </c>
      <c r="D280" s="426"/>
      <c r="E280" s="426"/>
      <c r="F280" s="426"/>
      <c r="G280" s="436">
        <v>0</v>
      </c>
      <c r="H280" s="428"/>
      <c r="I280" s="363"/>
      <c r="J280" s="429"/>
      <c r="K280" s="430"/>
      <c r="L280" s="375"/>
    </row>
    <row r="281" spans="1:12" ht="32.25" hidden="1" customHeight="1" outlineLevel="1" thickBot="1" x14ac:dyDescent="0.3">
      <c r="A281" s="373">
        <v>73</v>
      </c>
      <c r="B281" s="374"/>
      <c r="C281" s="435">
        <v>0</v>
      </c>
      <c r="D281" s="426"/>
      <c r="E281" s="426"/>
      <c r="F281" s="426"/>
      <c r="G281" s="436">
        <v>0</v>
      </c>
      <c r="H281" s="428"/>
      <c r="I281" s="363"/>
      <c r="J281" s="429"/>
      <c r="K281" s="430"/>
      <c r="L281" s="375"/>
    </row>
    <row r="282" spans="1:12" ht="32.25" hidden="1" customHeight="1" outlineLevel="1" thickBot="1" x14ac:dyDescent="0.3">
      <c r="A282" s="373">
        <v>74</v>
      </c>
      <c r="B282" s="374"/>
      <c r="C282" s="435">
        <v>0</v>
      </c>
      <c r="D282" s="426"/>
      <c r="E282" s="426"/>
      <c r="F282" s="426"/>
      <c r="G282" s="436">
        <v>0</v>
      </c>
      <c r="H282" s="428"/>
      <c r="I282" s="363"/>
      <c r="J282" s="429"/>
      <c r="K282" s="430"/>
      <c r="L282" s="375"/>
    </row>
    <row r="283" spans="1:12" ht="48" hidden="1" customHeight="1" outlineLevel="1" thickBot="1" x14ac:dyDescent="0.3">
      <c r="A283" s="373">
        <v>75</v>
      </c>
      <c r="B283" s="374"/>
      <c r="C283" s="435">
        <v>0</v>
      </c>
      <c r="D283" s="426"/>
      <c r="E283" s="426"/>
      <c r="F283" s="426"/>
      <c r="G283" s="436">
        <v>0</v>
      </c>
      <c r="H283" s="428"/>
      <c r="I283" s="363"/>
      <c r="J283" s="429"/>
      <c r="K283" s="430"/>
      <c r="L283" s="375"/>
    </row>
    <row r="284" spans="1:12" ht="32.25" hidden="1" customHeight="1" outlineLevel="1" thickBot="1" x14ac:dyDescent="0.3">
      <c r="A284" s="373">
        <v>76</v>
      </c>
      <c r="B284" s="374"/>
      <c r="C284" s="435">
        <v>0</v>
      </c>
      <c r="D284" s="426"/>
      <c r="E284" s="426"/>
      <c r="F284" s="426"/>
      <c r="G284" s="436">
        <v>0</v>
      </c>
      <c r="H284" s="428"/>
      <c r="I284" s="363"/>
      <c r="J284" s="429"/>
      <c r="K284" s="430"/>
      <c r="L284" s="375"/>
    </row>
    <row r="285" spans="1:12" ht="32.25" hidden="1" customHeight="1" outlineLevel="1" thickBot="1" x14ac:dyDescent="0.3">
      <c r="A285" s="373">
        <v>77</v>
      </c>
      <c r="B285" s="374"/>
      <c r="C285" s="435">
        <v>0</v>
      </c>
      <c r="D285" s="426"/>
      <c r="E285" s="426"/>
      <c r="F285" s="426"/>
      <c r="G285" s="436">
        <v>0</v>
      </c>
      <c r="H285" s="428"/>
      <c r="I285" s="363"/>
      <c r="J285" s="429"/>
      <c r="K285" s="430"/>
      <c r="L285" s="375"/>
    </row>
    <row r="286" spans="1:12" ht="32.25" hidden="1" customHeight="1" outlineLevel="1" thickBot="1" x14ac:dyDescent="0.3">
      <c r="A286" s="373">
        <v>78</v>
      </c>
      <c r="B286" s="374"/>
      <c r="C286" s="435">
        <v>0</v>
      </c>
      <c r="D286" s="426"/>
      <c r="E286" s="426"/>
      <c r="F286" s="426"/>
      <c r="G286" s="436">
        <v>0</v>
      </c>
      <c r="H286" s="428"/>
      <c r="I286" s="363"/>
      <c r="J286" s="429"/>
      <c r="K286" s="430"/>
      <c r="L286" s="375"/>
    </row>
    <row r="287" spans="1:12" ht="32.25" hidden="1" customHeight="1" outlineLevel="1" thickBot="1" x14ac:dyDescent="0.3">
      <c r="A287" s="373">
        <v>79</v>
      </c>
      <c r="B287" s="374"/>
      <c r="C287" s="435">
        <v>0</v>
      </c>
      <c r="D287" s="426"/>
      <c r="E287" s="426"/>
      <c r="F287" s="426"/>
      <c r="G287" s="436">
        <v>0</v>
      </c>
      <c r="H287" s="428"/>
      <c r="I287" s="363"/>
      <c r="J287" s="429"/>
      <c r="K287" s="430"/>
      <c r="L287" s="375"/>
    </row>
    <row r="288" spans="1:12" ht="32.25" hidden="1" customHeight="1" outlineLevel="1" thickBot="1" x14ac:dyDescent="0.3">
      <c r="A288" s="373">
        <v>80</v>
      </c>
      <c r="B288" s="374"/>
      <c r="C288" s="435">
        <v>0</v>
      </c>
      <c r="D288" s="426"/>
      <c r="E288" s="426"/>
      <c r="F288" s="426"/>
      <c r="G288" s="436">
        <v>0</v>
      </c>
      <c r="H288" s="428"/>
      <c r="I288" s="363"/>
      <c r="J288" s="429"/>
      <c r="K288" s="430"/>
      <c r="L288" s="375"/>
    </row>
    <row r="289" spans="1:12" ht="32.25" hidden="1" customHeight="1" outlineLevel="1" thickBot="1" x14ac:dyDescent="0.3">
      <c r="A289" s="373">
        <v>81</v>
      </c>
      <c r="B289" s="374"/>
      <c r="C289" s="435">
        <v>0</v>
      </c>
      <c r="D289" s="426"/>
      <c r="E289" s="426"/>
      <c r="F289" s="426"/>
      <c r="G289" s="436">
        <v>0</v>
      </c>
      <c r="H289" s="428"/>
      <c r="I289" s="363"/>
      <c r="J289" s="429"/>
      <c r="K289" s="430"/>
      <c r="L289" s="375"/>
    </row>
    <row r="290" spans="1:12" ht="32.25" hidden="1" customHeight="1" outlineLevel="1" thickBot="1" x14ac:dyDescent="0.3">
      <c r="A290" s="373">
        <v>82</v>
      </c>
      <c r="B290" s="374"/>
      <c r="C290" s="435">
        <v>0</v>
      </c>
      <c r="D290" s="426"/>
      <c r="E290" s="426"/>
      <c r="F290" s="426"/>
      <c r="G290" s="436">
        <v>0</v>
      </c>
      <c r="H290" s="428"/>
      <c r="I290" s="363"/>
      <c r="J290" s="429"/>
      <c r="K290" s="430"/>
      <c r="L290" s="375"/>
    </row>
    <row r="291" spans="1:12" ht="32.25" hidden="1" customHeight="1" outlineLevel="1" thickBot="1" x14ac:dyDescent="0.3">
      <c r="A291" s="373">
        <v>83</v>
      </c>
      <c r="B291" s="374"/>
      <c r="C291" s="435">
        <v>0</v>
      </c>
      <c r="D291" s="426"/>
      <c r="E291" s="426"/>
      <c r="F291" s="426"/>
      <c r="G291" s="436">
        <v>0</v>
      </c>
      <c r="H291" s="428"/>
      <c r="I291" s="363"/>
      <c r="J291" s="429"/>
      <c r="K291" s="430"/>
      <c r="L291" s="375"/>
    </row>
    <row r="292" spans="1:12" ht="32.25" hidden="1" customHeight="1" outlineLevel="1" thickBot="1" x14ac:dyDescent="0.3">
      <c r="A292" s="373">
        <v>84</v>
      </c>
      <c r="B292" s="374"/>
      <c r="C292" s="435">
        <v>0</v>
      </c>
      <c r="D292" s="426"/>
      <c r="E292" s="426"/>
      <c r="F292" s="426"/>
      <c r="G292" s="436">
        <v>0</v>
      </c>
      <c r="H292" s="428"/>
      <c r="I292" s="363"/>
      <c r="J292" s="429"/>
      <c r="K292" s="430"/>
      <c r="L292" s="375"/>
    </row>
    <row r="293" spans="1:12" ht="32.25" hidden="1" customHeight="1" outlineLevel="1" thickBot="1" x14ac:dyDescent="0.3">
      <c r="A293" s="373">
        <v>85</v>
      </c>
      <c r="B293" s="374"/>
      <c r="C293" s="435">
        <v>0</v>
      </c>
      <c r="D293" s="426"/>
      <c r="E293" s="426"/>
      <c r="F293" s="426"/>
      <c r="G293" s="436">
        <v>0</v>
      </c>
      <c r="H293" s="428"/>
      <c r="I293" s="363"/>
      <c r="J293" s="429"/>
      <c r="K293" s="430"/>
      <c r="L293" s="375"/>
    </row>
    <row r="294" spans="1:12" ht="32.25" hidden="1" customHeight="1" outlineLevel="1" thickBot="1" x14ac:dyDescent="0.3">
      <c r="A294" s="373">
        <v>86</v>
      </c>
      <c r="B294" s="374"/>
      <c r="C294" s="435">
        <v>0</v>
      </c>
      <c r="D294" s="426"/>
      <c r="E294" s="426"/>
      <c r="F294" s="426"/>
      <c r="G294" s="436">
        <v>0</v>
      </c>
      <c r="H294" s="428"/>
      <c r="I294" s="363"/>
      <c r="J294" s="429"/>
      <c r="K294" s="430"/>
      <c r="L294" s="375"/>
    </row>
    <row r="295" spans="1:12" ht="32.25" hidden="1" customHeight="1" outlineLevel="1" thickBot="1" x14ac:dyDescent="0.3">
      <c r="A295" s="373">
        <v>87</v>
      </c>
      <c r="B295" s="374"/>
      <c r="C295" s="435">
        <v>0</v>
      </c>
      <c r="D295" s="426"/>
      <c r="E295" s="426"/>
      <c r="F295" s="426"/>
      <c r="G295" s="436">
        <v>0</v>
      </c>
      <c r="H295" s="428"/>
      <c r="I295" s="363"/>
      <c r="J295" s="429"/>
      <c r="K295" s="430"/>
      <c r="L295" s="375"/>
    </row>
    <row r="296" spans="1:12" ht="48" hidden="1" customHeight="1" outlineLevel="1" thickBot="1" x14ac:dyDescent="0.3">
      <c r="A296" s="373">
        <v>88</v>
      </c>
      <c r="B296" s="374"/>
      <c r="C296" s="435">
        <v>0</v>
      </c>
      <c r="D296" s="426"/>
      <c r="E296" s="426"/>
      <c r="F296" s="426"/>
      <c r="G296" s="436">
        <v>0</v>
      </c>
      <c r="H296" s="428"/>
      <c r="I296" s="363"/>
      <c r="J296" s="429"/>
      <c r="K296" s="430"/>
      <c r="L296" s="375"/>
    </row>
    <row r="297" spans="1:12" ht="48" hidden="1" customHeight="1" outlineLevel="1" thickBot="1" x14ac:dyDescent="0.3">
      <c r="A297" s="373">
        <v>89</v>
      </c>
      <c r="B297" s="374"/>
      <c r="C297" s="435">
        <v>0</v>
      </c>
      <c r="D297" s="426"/>
      <c r="E297" s="426"/>
      <c r="F297" s="426"/>
      <c r="G297" s="436">
        <v>0</v>
      </c>
      <c r="H297" s="428"/>
      <c r="I297" s="363"/>
      <c r="J297" s="429"/>
      <c r="K297" s="430"/>
      <c r="L297" s="375"/>
    </row>
    <row r="298" spans="1:12" ht="48" hidden="1" customHeight="1" outlineLevel="1" thickBot="1" x14ac:dyDescent="0.3">
      <c r="A298" s="373">
        <v>90</v>
      </c>
      <c r="B298" s="374"/>
      <c r="C298" s="435">
        <v>0</v>
      </c>
      <c r="D298" s="426"/>
      <c r="E298" s="426"/>
      <c r="F298" s="426"/>
      <c r="G298" s="436">
        <v>0</v>
      </c>
      <c r="H298" s="428"/>
      <c r="I298" s="363"/>
      <c r="J298" s="429"/>
      <c r="K298" s="430"/>
      <c r="L298" s="375"/>
    </row>
    <row r="299" spans="1:12" ht="48" hidden="1" customHeight="1" outlineLevel="1" thickBot="1" x14ac:dyDescent="0.3">
      <c r="A299" s="373">
        <v>91</v>
      </c>
      <c r="B299" s="374"/>
      <c r="C299" s="435">
        <v>0</v>
      </c>
      <c r="D299" s="426"/>
      <c r="E299" s="426"/>
      <c r="F299" s="426"/>
      <c r="G299" s="436">
        <v>0</v>
      </c>
      <c r="H299" s="428"/>
      <c r="I299" s="363"/>
      <c r="J299" s="429"/>
      <c r="K299" s="430"/>
      <c r="L299" s="375"/>
    </row>
    <row r="300" spans="1:12" ht="48" hidden="1" customHeight="1" outlineLevel="1" thickBot="1" x14ac:dyDescent="0.3">
      <c r="A300" s="373">
        <v>92</v>
      </c>
      <c r="B300" s="374"/>
      <c r="C300" s="435">
        <v>0</v>
      </c>
      <c r="D300" s="426"/>
      <c r="E300" s="426"/>
      <c r="F300" s="426"/>
      <c r="G300" s="436">
        <v>0</v>
      </c>
      <c r="H300" s="428"/>
      <c r="I300" s="363"/>
      <c r="J300" s="429"/>
      <c r="K300" s="430"/>
      <c r="L300" s="375"/>
    </row>
    <row r="301" spans="1:12" ht="48" hidden="1" customHeight="1" outlineLevel="1" thickBot="1" x14ac:dyDescent="0.3">
      <c r="A301" s="373">
        <v>93</v>
      </c>
      <c r="B301" s="374"/>
      <c r="C301" s="435">
        <v>0</v>
      </c>
      <c r="D301" s="426"/>
      <c r="E301" s="426"/>
      <c r="F301" s="426"/>
      <c r="G301" s="436">
        <v>0</v>
      </c>
      <c r="H301" s="428"/>
      <c r="I301" s="363"/>
      <c r="J301" s="429"/>
      <c r="K301" s="430"/>
      <c r="L301" s="375"/>
    </row>
    <row r="302" spans="1:12" ht="48" hidden="1" customHeight="1" outlineLevel="1" thickBot="1" x14ac:dyDescent="0.3">
      <c r="A302" s="373">
        <v>94</v>
      </c>
      <c r="B302" s="374"/>
      <c r="C302" s="435">
        <v>0</v>
      </c>
      <c r="D302" s="426"/>
      <c r="E302" s="426"/>
      <c r="F302" s="426"/>
      <c r="G302" s="436">
        <v>0</v>
      </c>
      <c r="H302" s="428"/>
      <c r="I302" s="363"/>
      <c r="J302" s="429"/>
      <c r="K302" s="430"/>
      <c r="L302" s="375"/>
    </row>
    <row r="303" spans="1:12" ht="48" hidden="1" customHeight="1" outlineLevel="1" thickBot="1" x14ac:dyDescent="0.3">
      <c r="A303" s="373">
        <v>95</v>
      </c>
      <c r="B303" s="374"/>
      <c r="C303" s="435">
        <v>0</v>
      </c>
      <c r="D303" s="426"/>
      <c r="E303" s="426"/>
      <c r="F303" s="426"/>
      <c r="G303" s="436">
        <v>0</v>
      </c>
      <c r="H303" s="428"/>
      <c r="I303" s="363"/>
      <c r="J303" s="429"/>
      <c r="K303" s="430"/>
      <c r="L303" s="375"/>
    </row>
    <row r="304" spans="1:12" ht="16.5" hidden="1" customHeight="1" outlineLevel="1" thickBot="1" x14ac:dyDescent="0.3">
      <c r="A304" s="373">
        <v>96</v>
      </c>
      <c r="B304" s="374"/>
      <c r="C304" s="435">
        <v>0</v>
      </c>
      <c r="D304" s="426"/>
      <c r="E304" s="426"/>
      <c r="F304" s="426"/>
      <c r="G304" s="436">
        <v>0</v>
      </c>
      <c r="H304" s="428"/>
      <c r="I304" s="363"/>
      <c r="J304" s="429"/>
      <c r="K304" s="430"/>
      <c r="L304" s="375"/>
    </row>
    <row r="305" spans="1:12" ht="16.5" hidden="1" customHeight="1" outlineLevel="1" thickBot="1" x14ac:dyDescent="0.3">
      <c r="A305" s="373">
        <v>97</v>
      </c>
      <c r="B305" s="374"/>
      <c r="C305" s="435">
        <v>0</v>
      </c>
      <c r="D305" s="426"/>
      <c r="E305" s="426"/>
      <c r="F305" s="426"/>
      <c r="G305" s="436">
        <v>0</v>
      </c>
      <c r="H305" s="428"/>
      <c r="I305" s="363"/>
      <c r="J305" s="429"/>
      <c r="K305" s="430"/>
      <c r="L305" s="375"/>
    </row>
    <row r="306" spans="1:12" ht="16.5" hidden="1" customHeight="1" outlineLevel="1" thickBot="1" x14ac:dyDescent="0.3">
      <c r="A306" s="373">
        <v>98</v>
      </c>
      <c r="B306" s="374"/>
      <c r="C306" s="435">
        <v>0</v>
      </c>
      <c r="D306" s="426"/>
      <c r="E306" s="426"/>
      <c r="F306" s="426"/>
      <c r="G306" s="436">
        <v>0</v>
      </c>
      <c r="H306" s="428"/>
      <c r="I306" s="363"/>
      <c r="J306" s="429"/>
      <c r="K306" s="430"/>
      <c r="L306" s="375"/>
    </row>
    <row r="307" spans="1:12" ht="32.25" hidden="1" customHeight="1" outlineLevel="1" thickBot="1" x14ac:dyDescent="0.3">
      <c r="A307" s="373">
        <v>99</v>
      </c>
      <c r="B307" s="374"/>
      <c r="C307" s="435">
        <v>0</v>
      </c>
      <c r="D307" s="426"/>
      <c r="E307" s="426"/>
      <c r="F307" s="426"/>
      <c r="G307" s="436">
        <v>0</v>
      </c>
      <c r="H307" s="428"/>
      <c r="I307" s="363"/>
      <c r="J307" s="429"/>
      <c r="K307" s="430"/>
      <c r="L307" s="375"/>
    </row>
    <row r="308" spans="1:12" ht="32.25" hidden="1" customHeight="1" outlineLevel="1" thickBot="1" x14ac:dyDescent="0.3">
      <c r="A308" s="373">
        <v>100</v>
      </c>
      <c r="B308" s="374"/>
      <c r="C308" s="425">
        <v>0</v>
      </c>
      <c r="D308" s="426"/>
      <c r="E308" s="426"/>
      <c r="F308" s="426"/>
      <c r="G308" s="427">
        <v>0</v>
      </c>
      <c r="H308" s="428"/>
      <c r="I308" s="363"/>
      <c r="J308" s="429"/>
      <c r="K308" s="430"/>
      <c r="L308" s="375"/>
    </row>
    <row r="309" spans="1:12" ht="16.5" collapsed="1" thickBot="1" x14ac:dyDescent="0.3">
      <c r="A309" s="431" t="s">
        <v>1254</v>
      </c>
      <c r="B309" s="431"/>
      <c r="C309" s="432"/>
      <c r="D309" s="431"/>
      <c r="E309" s="431"/>
      <c r="F309" s="431"/>
      <c r="G309" s="432"/>
      <c r="H309" s="431"/>
      <c r="I309" s="431"/>
      <c r="J309" s="431"/>
      <c r="K309" s="431"/>
      <c r="L309" s="368">
        <v>6683.1100000000006</v>
      </c>
    </row>
    <row r="310" spans="1:12" ht="16.5" x14ac:dyDescent="0.25">
      <c r="A310" s="376"/>
      <c r="B310" s="377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</row>
    <row r="311" spans="1:12" ht="15.75" x14ac:dyDescent="0.25">
      <c r="A311" s="346"/>
      <c r="B311" s="352"/>
      <c r="C311" s="346"/>
      <c r="D311" s="346"/>
      <c r="E311" s="346"/>
      <c r="F311" s="346"/>
      <c r="G311" s="351"/>
      <c r="H311" s="346"/>
      <c r="I311" s="433" t="s">
        <v>1255</v>
      </c>
      <c r="J311" s="433"/>
      <c r="K311" s="434">
        <v>50604.710000000006</v>
      </c>
      <c r="L311" s="433"/>
    </row>
    <row r="312" spans="1:12" ht="7.15" customHeight="1" x14ac:dyDescent="0.25"/>
    <row r="313" spans="1:12" ht="34.9" customHeight="1" x14ac:dyDescent="0.25">
      <c r="A313" s="416" t="s">
        <v>1256</v>
      </c>
      <c r="B313" s="416"/>
      <c r="C313" s="416"/>
      <c r="D313" s="378" t="s">
        <v>1209</v>
      </c>
      <c r="E313" s="379" t="s">
        <v>1210</v>
      </c>
      <c r="F313" s="380">
        <v>46174</v>
      </c>
      <c r="G313" s="417" t="s">
        <v>1257</v>
      </c>
      <c r="H313" s="417"/>
      <c r="I313" s="417"/>
      <c r="J313" s="417"/>
      <c r="K313" s="417"/>
      <c r="L313" s="417"/>
    </row>
    <row r="314" spans="1:12" ht="8.25" customHeight="1" x14ac:dyDescent="0.25"/>
    <row r="315" spans="1:12" s="24" customFormat="1" ht="36.75" customHeight="1" x14ac:dyDescent="0.25">
      <c r="B315" s="418" t="s">
        <v>1258</v>
      </c>
      <c r="C315" s="418"/>
      <c r="D315" s="418"/>
      <c r="E315" s="418"/>
      <c r="F315" s="418"/>
      <c r="G315" s="418"/>
      <c r="H315" s="418"/>
      <c r="I315" s="418"/>
      <c r="J315" s="418"/>
      <c r="K315" s="418"/>
      <c r="L315" s="418"/>
    </row>
    <row r="317" spans="1:12" ht="15.75" x14ac:dyDescent="0.25">
      <c r="B317" s="419" t="s">
        <v>1259</v>
      </c>
      <c r="C317" s="419"/>
      <c r="D317" s="419"/>
      <c r="E317" s="347"/>
      <c r="F317" s="347"/>
      <c r="G317" s="348"/>
      <c r="H317" s="420" t="s">
        <v>1260</v>
      </c>
      <c r="I317" s="420"/>
      <c r="J317" s="420"/>
      <c r="K317" s="420"/>
      <c r="L317" s="347"/>
    </row>
    <row r="318" spans="1:12" ht="15.75" x14ac:dyDescent="0.25">
      <c r="B318" s="419"/>
      <c r="C318" s="419"/>
      <c r="D318" s="419"/>
      <c r="E318" s="347"/>
      <c r="F318" s="347"/>
      <c r="G318" s="348"/>
      <c r="H318" s="420"/>
      <c r="I318" s="420"/>
      <c r="J318" s="420"/>
      <c r="K318" s="420"/>
      <c r="L318" s="347"/>
    </row>
    <row r="319" spans="1:12" ht="15.75" x14ac:dyDescent="0.25">
      <c r="B319" s="349"/>
      <c r="C319" s="347"/>
      <c r="D319" s="347"/>
      <c r="E319" s="347"/>
      <c r="F319" s="347"/>
      <c r="G319" s="348"/>
      <c r="H319" s="347"/>
      <c r="I319" s="347"/>
      <c r="J319" s="347"/>
      <c r="K319" s="347"/>
      <c r="L319" s="347"/>
    </row>
    <row r="320" spans="1:12" ht="15.75" x14ac:dyDescent="0.25">
      <c r="B320" s="421" t="s">
        <v>1261</v>
      </c>
      <c r="C320" s="421"/>
      <c r="D320" s="347"/>
      <c r="E320" s="347"/>
      <c r="F320" s="347"/>
      <c r="G320" s="348"/>
      <c r="H320" s="347"/>
      <c r="I320" s="347"/>
      <c r="J320" s="347"/>
      <c r="K320" s="347"/>
      <c r="L320" s="347"/>
    </row>
    <row r="321" spans="2:12" ht="15.75" x14ac:dyDescent="0.25">
      <c r="B321" s="421"/>
      <c r="C321" s="421"/>
      <c r="D321" s="347"/>
      <c r="E321" s="347"/>
      <c r="F321" s="347"/>
      <c r="G321" s="348"/>
      <c r="H321" s="422" t="s">
        <v>1262</v>
      </c>
      <c r="I321" s="422"/>
      <c r="J321" s="347"/>
      <c r="K321" s="347"/>
      <c r="L321" s="347"/>
    </row>
    <row r="322" spans="2:12" ht="15.75" x14ac:dyDescent="0.25">
      <c r="B322" s="421"/>
      <c r="C322" s="421"/>
      <c r="D322" s="423" t="s">
        <v>1263</v>
      </c>
      <c r="E322" s="423"/>
      <c r="F322" s="347" t="s">
        <v>1264</v>
      </c>
      <c r="G322" s="348"/>
      <c r="H322" s="422"/>
      <c r="I322" s="422"/>
      <c r="J322" s="424" t="s">
        <v>1265</v>
      </c>
      <c r="K322" s="424"/>
      <c r="L322" s="424"/>
    </row>
    <row r="323" spans="2:12" ht="15.75" x14ac:dyDescent="0.25">
      <c r="B323" s="349"/>
      <c r="C323" s="347"/>
      <c r="D323" s="347"/>
      <c r="E323" s="347"/>
      <c r="F323" s="347"/>
      <c r="G323" s="348"/>
      <c r="H323" s="347"/>
      <c r="I323" s="347"/>
      <c r="J323" s="347"/>
      <c r="K323" s="347"/>
      <c r="L323" s="347"/>
    </row>
    <row r="324" spans="2:12" ht="15.75" x14ac:dyDescent="0.25">
      <c r="B324" s="349"/>
      <c r="C324" s="347"/>
      <c r="D324" s="347"/>
      <c r="E324" s="347"/>
      <c r="F324" s="347"/>
      <c r="G324" s="348"/>
      <c r="H324" s="347"/>
      <c r="I324" s="347"/>
      <c r="J324" s="347"/>
      <c r="K324" s="347"/>
      <c r="L324" s="347"/>
    </row>
  </sheetData>
  <mergeCells count="530">
    <mergeCell ref="A5:F5"/>
    <mergeCell ref="I5:J5"/>
    <mergeCell ref="K5:L5"/>
    <mergeCell ref="A6:F6"/>
    <mergeCell ref="A8:E9"/>
    <mergeCell ref="J8:L8"/>
    <mergeCell ref="J9:L9"/>
    <mergeCell ref="A1:L1"/>
    <mergeCell ref="A2:L2"/>
    <mergeCell ref="A4:C4"/>
    <mergeCell ref="F4:G4"/>
    <mergeCell ref="I4:J4"/>
    <mergeCell ref="K4:L4"/>
    <mergeCell ref="A13:C13"/>
    <mergeCell ref="J13:L13"/>
    <mergeCell ref="A15:G15"/>
    <mergeCell ref="C16:F16"/>
    <mergeCell ref="C17:F17"/>
    <mergeCell ref="C18:F18"/>
    <mergeCell ref="A10:F10"/>
    <mergeCell ref="J10:L10"/>
    <mergeCell ref="A11:C11"/>
    <mergeCell ref="K11:L11"/>
    <mergeCell ref="A12:B12"/>
    <mergeCell ref="C12:D12"/>
    <mergeCell ref="I12:J12"/>
    <mergeCell ref="K12:L12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A205:L205"/>
    <mergeCell ref="A207:G207"/>
    <mergeCell ref="C208:F208"/>
    <mergeCell ref="G208:H208"/>
    <mergeCell ref="J208:K208"/>
    <mergeCell ref="C209:F209"/>
    <mergeCell ref="G209:H209"/>
    <mergeCell ref="J209:K209"/>
    <mergeCell ref="C199:F199"/>
    <mergeCell ref="C200:F200"/>
    <mergeCell ref="C201:F201"/>
    <mergeCell ref="C202:F202"/>
    <mergeCell ref="C203:F203"/>
    <mergeCell ref="A204:K204"/>
    <mergeCell ref="C212:F212"/>
    <mergeCell ref="G212:H212"/>
    <mergeCell ref="J212:K212"/>
    <mergeCell ref="C213:F213"/>
    <mergeCell ref="G213:H213"/>
    <mergeCell ref="J213:K213"/>
    <mergeCell ref="C210:F210"/>
    <mergeCell ref="G210:H210"/>
    <mergeCell ref="J210:K210"/>
    <mergeCell ref="C211:F211"/>
    <mergeCell ref="G211:H211"/>
    <mergeCell ref="J211:K211"/>
    <mergeCell ref="C216:F216"/>
    <mergeCell ref="G216:H216"/>
    <mergeCell ref="J216:K216"/>
    <mergeCell ref="C217:F217"/>
    <mergeCell ref="G217:H217"/>
    <mergeCell ref="J217:K217"/>
    <mergeCell ref="C214:F214"/>
    <mergeCell ref="G214:H214"/>
    <mergeCell ref="J214:K214"/>
    <mergeCell ref="C215:F215"/>
    <mergeCell ref="G215:H215"/>
    <mergeCell ref="J215:K215"/>
    <mergeCell ref="C220:F220"/>
    <mergeCell ref="G220:H220"/>
    <mergeCell ref="J220:K220"/>
    <mergeCell ref="C221:F221"/>
    <mergeCell ref="G221:H221"/>
    <mergeCell ref="J221:K221"/>
    <mergeCell ref="C218:F218"/>
    <mergeCell ref="G218:H218"/>
    <mergeCell ref="J218:K218"/>
    <mergeCell ref="C219:F219"/>
    <mergeCell ref="G219:H219"/>
    <mergeCell ref="J219:K219"/>
    <mergeCell ref="C224:F224"/>
    <mergeCell ref="G224:H224"/>
    <mergeCell ref="J224:K224"/>
    <mergeCell ref="C225:F225"/>
    <mergeCell ref="G225:H225"/>
    <mergeCell ref="J225:K225"/>
    <mergeCell ref="C222:F222"/>
    <mergeCell ref="G222:H222"/>
    <mergeCell ref="J222:K222"/>
    <mergeCell ref="C223:F223"/>
    <mergeCell ref="G223:H223"/>
    <mergeCell ref="J223:K223"/>
    <mergeCell ref="C228:F228"/>
    <mergeCell ref="G228:H228"/>
    <mergeCell ref="J228:K228"/>
    <mergeCell ref="C229:F229"/>
    <mergeCell ref="G229:H229"/>
    <mergeCell ref="J229:K229"/>
    <mergeCell ref="C226:F226"/>
    <mergeCell ref="G226:H226"/>
    <mergeCell ref="J226:K226"/>
    <mergeCell ref="C227:F227"/>
    <mergeCell ref="G227:H227"/>
    <mergeCell ref="J227:K227"/>
    <mergeCell ref="C232:F232"/>
    <mergeCell ref="G232:H232"/>
    <mergeCell ref="J232:K232"/>
    <mergeCell ref="C233:F233"/>
    <mergeCell ref="G233:H233"/>
    <mergeCell ref="J233:K233"/>
    <mergeCell ref="C230:F230"/>
    <mergeCell ref="G230:H230"/>
    <mergeCell ref="J230:K230"/>
    <mergeCell ref="C231:F231"/>
    <mergeCell ref="G231:H231"/>
    <mergeCell ref="J231:K231"/>
    <mergeCell ref="C236:F236"/>
    <mergeCell ref="G236:H236"/>
    <mergeCell ref="J236:K236"/>
    <mergeCell ref="C237:F237"/>
    <mergeCell ref="G237:H237"/>
    <mergeCell ref="J237:K237"/>
    <mergeCell ref="C234:F234"/>
    <mergeCell ref="G234:H234"/>
    <mergeCell ref="J234:K234"/>
    <mergeCell ref="C235:F235"/>
    <mergeCell ref="G235:H235"/>
    <mergeCell ref="J235:K235"/>
    <mergeCell ref="C240:F240"/>
    <mergeCell ref="G240:H240"/>
    <mergeCell ref="J240:K240"/>
    <mergeCell ref="C241:F241"/>
    <mergeCell ref="G241:H241"/>
    <mergeCell ref="J241:K241"/>
    <mergeCell ref="C238:F238"/>
    <mergeCell ref="G238:H238"/>
    <mergeCell ref="J238:K238"/>
    <mergeCell ref="C239:F239"/>
    <mergeCell ref="G239:H239"/>
    <mergeCell ref="J239:K239"/>
    <mergeCell ref="C244:F244"/>
    <mergeCell ref="G244:H244"/>
    <mergeCell ref="J244:K244"/>
    <mergeCell ref="C245:F245"/>
    <mergeCell ref="G245:H245"/>
    <mergeCell ref="J245:K245"/>
    <mergeCell ref="C242:F242"/>
    <mergeCell ref="G242:H242"/>
    <mergeCell ref="J242:K242"/>
    <mergeCell ref="C243:F243"/>
    <mergeCell ref="G243:H243"/>
    <mergeCell ref="J243:K243"/>
    <mergeCell ref="C248:F248"/>
    <mergeCell ref="G248:H248"/>
    <mergeCell ref="J248:K248"/>
    <mergeCell ref="C249:F249"/>
    <mergeCell ref="G249:H249"/>
    <mergeCell ref="J249:K249"/>
    <mergeCell ref="C246:F246"/>
    <mergeCell ref="G246:H246"/>
    <mergeCell ref="J246:K246"/>
    <mergeCell ref="C247:F247"/>
    <mergeCell ref="G247:H247"/>
    <mergeCell ref="J247:K247"/>
    <mergeCell ref="C252:F252"/>
    <mergeCell ref="G252:H252"/>
    <mergeCell ref="J252:K252"/>
    <mergeCell ref="C253:F253"/>
    <mergeCell ref="G253:H253"/>
    <mergeCell ref="J253:K253"/>
    <mergeCell ref="C250:F250"/>
    <mergeCell ref="G250:H250"/>
    <mergeCell ref="J250:K250"/>
    <mergeCell ref="C251:F251"/>
    <mergeCell ref="G251:H251"/>
    <mergeCell ref="J251:K251"/>
    <mergeCell ref="C256:F256"/>
    <mergeCell ref="G256:H256"/>
    <mergeCell ref="J256:K256"/>
    <mergeCell ref="C257:F257"/>
    <mergeCell ref="G257:H257"/>
    <mergeCell ref="J257:K257"/>
    <mergeCell ref="C254:F254"/>
    <mergeCell ref="G254:H254"/>
    <mergeCell ref="J254:K254"/>
    <mergeCell ref="C255:F255"/>
    <mergeCell ref="G255:H255"/>
    <mergeCell ref="J255:K255"/>
    <mergeCell ref="C260:F260"/>
    <mergeCell ref="G260:H260"/>
    <mergeCell ref="J260:K260"/>
    <mergeCell ref="C261:F261"/>
    <mergeCell ref="G261:H261"/>
    <mergeCell ref="J261:K261"/>
    <mergeCell ref="C258:F258"/>
    <mergeCell ref="G258:H258"/>
    <mergeCell ref="J258:K258"/>
    <mergeCell ref="C259:F259"/>
    <mergeCell ref="G259:H259"/>
    <mergeCell ref="J259:K259"/>
    <mergeCell ref="C264:F264"/>
    <mergeCell ref="G264:H264"/>
    <mergeCell ref="J264:K264"/>
    <mergeCell ref="C265:F265"/>
    <mergeCell ref="G265:H265"/>
    <mergeCell ref="J265:K265"/>
    <mergeCell ref="C262:F262"/>
    <mergeCell ref="G262:H262"/>
    <mergeCell ref="J262:K262"/>
    <mergeCell ref="C263:F263"/>
    <mergeCell ref="G263:H263"/>
    <mergeCell ref="J263:K263"/>
    <mergeCell ref="C268:F268"/>
    <mergeCell ref="G268:H268"/>
    <mergeCell ref="J268:K268"/>
    <mergeCell ref="C269:F269"/>
    <mergeCell ref="G269:H269"/>
    <mergeCell ref="J269:K269"/>
    <mergeCell ref="C266:F266"/>
    <mergeCell ref="G266:H266"/>
    <mergeCell ref="J266:K266"/>
    <mergeCell ref="C267:F267"/>
    <mergeCell ref="G267:H267"/>
    <mergeCell ref="J267:K267"/>
    <mergeCell ref="C272:F272"/>
    <mergeCell ref="G272:H272"/>
    <mergeCell ref="J272:K272"/>
    <mergeCell ref="C273:F273"/>
    <mergeCell ref="G273:H273"/>
    <mergeCell ref="J273:K273"/>
    <mergeCell ref="C270:F270"/>
    <mergeCell ref="G270:H270"/>
    <mergeCell ref="J270:K270"/>
    <mergeCell ref="C271:F271"/>
    <mergeCell ref="G271:H271"/>
    <mergeCell ref="J271:K271"/>
    <mergeCell ref="C276:F276"/>
    <mergeCell ref="G276:H276"/>
    <mergeCell ref="J276:K276"/>
    <mergeCell ref="C277:F277"/>
    <mergeCell ref="G277:H277"/>
    <mergeCell ref="J277:K277"/>
    <mergeCell ref="C274:F274"/>
    <mergeCell ref="G274:H274"/>
    <mergeCell ref="J274:K274"/>
    <mergeCell ref="C275:F275"/>
    <mergeCell ref="G275:H275"/>
    <mergeCell ref="J275:K275"/>
    <mergeCell ref="C280:F280"/>
    <mergeCell ref="G280:H280"/>
    <mergeCell ref="J280:K280"/>
    <mergeCell ref="C281:F281"/>
    <mergeCell ref="G281:H281"/>
    <mergeCell ref="J281:K281"/>
    <mergeCell ref="C278:F278"/>
    <mergeCell ref="G278:H278"/>
    <mergeCell ref="J278:K278"/>
    <mergeCell ref="C279:F279"/>
    <mergeCell ref="G279:H279"/>
    <mergeCell ref="J279:K279"/>
    <mergeCell ref="C284:F284"/>
    <mergeCell ref="G284:H284"/>
    <mergeCell ref="J284:K284"/>
    <mergeCell ref="C285:F285"/>
    <mergeCell ref="G285:H285"/>
    <mergeCell ref="J285:K285"/>
    <mergeCell ref="C282:F282"/>
    <mergeCell ref="G282:H282"/>
    <mergeCell ref="J282:K282"/>
    <mergeCell ref="C283:F283"/>
    <mergeCell ref="G283:H283"/>
    <mergeCell ref="J283:K283"/>
    <mergeCell ref="C288:F288"/>
    <mergeCell ref="G288:H288"/>
    <mergeCell ref="J288:K288"/>
    <mergeCell ref="C289:F289"/>
    <mergeCell ref="G289:H289"/>
    <mergeCell ref="J289:K289"/>
    <mergeCell ref="C286:F286"/>
    <mergeCell ref="G286:H286"/>
    <mergeCell ref="J286:K286"/>
    <mergeCell ref="C287:F287"/>
    <mergeCell ref="G287:H287"/>
    <mergeCell ref="J287:K287"/>
    <mergeCell ref="C292:F292"/>
    <mergeCell ref="G292:H292"/>
    <mergeCell ref="J292:K292"/>
    <mergeCell ref="C293:F293"/>
    <mergeCell ref="G293:H293"/>
    <mergeCell ref="J293:K293"/>
    <mergeCell ref="C290:F290"/>
    <mergeCell ref="G290:H290"/>
    <mergeCell ref="J290:K290"/>
    <mergeCell ref="C291:F291"/>
    <mergeCell ref="G291:H291"/>
    <mergeCell ref="J291:K291"/>
    <mergeCell ref="C296:F296"/>
    <mergeCell ref="G296:H296"/>
    <mergeCell ref="J296:K296"/>
    <mergeCell ref="C297:F297"/>
    <mergeCell ref="G297:H297"/>
    <mergeCell ref="J297:K297"/>
    <mergeCell ref="C294:F294"/>
    <mergeCell ref="G294:H294"/>
    <mergeCell ref="J294:K294"/>
    <mergeCell ref="C295:F295"/>
    <mergeCell ref="G295:H295"/>
    <mergeCell ref="J295:K295"/>
    <mergeCell ref="C300:F300"/>
    <mergeCell ref="G300:H300"/>
    <mergeCell ref="J300:K300"/>
    <mergeCell ref="C301:F301"/>
    <mergeCell ref="G301:H301"/>
    <mergeCell ref="J301:K301"/>
    <mergeCell ref="C298:F298"/>
    <mergeCell ref="G298:H298"/>
    <mergeCell ref="J298:K298"/>
    <mergeCell ref="C299:F299"/>
    <mergeCell ref="G299:H299"/>
    <mergeCell ref="J299:K299"/>
    <mergeCell ref="C304:F304"/>
    <mergeCell ref="G304:H304"/>
    <mergeCell ref="J304:K304"/>
    <mergeCell ref="C305:F305"/>
    <mergeCell ref="G305:H305"/>
    <mergeCell ref="J305:K305"/>
    <mergeCell ref="C302:F302"/>
    <mergeCell ref="G302:H302"/>
    <mergeCell ref="J302:K302"/>
    <mergeCell ref="C303:F303"/>
    <mergeCell ref="G303:H303"/>
    <mergeCell ref="J303:K303"/>
    <mergeCell ref="C308:F308"/>
    <mergeCell ref="G308:H308"/>
    <mergeCell ref="J308:K308"/>
    <mergeCell ref="A309:K309"/>
    <mergeCell ref="I311:J311"/>
    <mergeCell ref="K311:L311"/>
    <mergeCell ref="C306:F306"/>
    <mergeCell ref="G306:H306"/>
    <mergeCell ref="J306:K306"/>
    <mergeCell ref="C307:F307"/>
    <mergeCell ref="G307:H307"/>
    <mergeCell ref="J307:K307"/>
    <mergeCell ref="A313:C313"/>
    <mergeCell ref="G313:L313"/>
    <mergeCell ref="B315:L315"/>
    <mergeCell ref="B317:D318"/>
    <mergeCell ref="H317:K318"/>
    <mergeCell ref="B320:C322"/>
    <mergeCell ref="H321:I322"/>
    <mergeCell ref="D322:E322"/>
    <mergeCell ref="J322:L322"/>
  </mergeCells>
  <pageMargins left="0.7" right="0.7" top="0.75" bottom="0.75" header="0.3" footer="0.3"/>
  <pageSetup paperSize="9" scale="63" fitToHeight="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16CB-FA6A-4443-B773-2377A32C2615}">
  <sheetPr codeName="Лист40">
    <pageSetUpPr fitToPage="1"/>
  </sheetPr>
  <dimension ref="B1:N82"/>
  <sheetViews>
    <sheetView tabSelected="1" topLeftCell="A48" workbookViewId="0">
      <selection activeCell="U52" sqref="U5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1157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1156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1155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1154</v>
      </c>
      <c r="E21" s="414"/>
      <c r="F21" s="414"/>
      <c r="G21" s="414"/>
      <c r="H21" s="415"/>
      <c r="I21" s="291">
        <v>1</v>
      </c>
      <c r="J21" s="300">
        <v>25000</v>
      </c>
      <c r="K21" s="289">
        <v>1</v>
      </c>
      <c r="L21" s="279" t="s">
        <v>11</v>
      </c>
      <c r="M21" s="277">
        <f t="shared" ref="M21:M27" si="0">J21*I21</f>
        <v>25000</v>
      </c>
      <c r="N21" s="276">
        <f t="shared" ref="N21:N28" si="1">M21*22/122</f>
        <v>4508.1967213114758</v>
      </c>
    </row>
    <row r="22" spans="2:14" s="275" customFormat="1" ht="15" customHeight="1" thickBot="1" x14ac:dyDescent="0.3">
      <c r="B22" s="281" t="s">
        <v>446</v>
      </c>
      <c r="C22" s="292"/>
      <c r="D22" s="413" t="s">
        <v>1153</v>
      </c>
      <c r="E22" s="414"/>
      <c r="F22" s="414"/>
      <c r="G22" s="414"/>
      <c r="H22" s="415"/>
      <c r="I22" s="291">
        <v>1</v>
      </c>
      <c r="J22" s="300">
        <v>4000</v>
      </c>
      <c r="K22" s="289">
        <v>1</v>
      </c>
      <c r="L22" s="279" t="s">
        <v>11</v>
      </c>
      <c r="M22" s="277">
        <f t="shared" si="0"/>
        <v>4000</v>
      </c>
      <c r="N22" s="276">
        <f t="shared" si="1"/>
        <v>721.31147540983602</v>
      </c>
    </row>
    <row r="23" spans="2:14" s="275" customFormat="1" ht="15" customHeight="1" thickBot="1" x14ac:dyDescent="0.3">
      <c r="B23" s="281" t="s">
        <v>443</v>
      </c>
      <c r="C23" s="292"/>
      <c r="D23" s="413" t="s">
        <v>1152</v>
      </c>
      <c r="E23" s="414"/>
      <c r="F23" s="414"/>
      <c r="G23" s="414"/>
      <c r="H23" s="415"/>
      <c r="I23" s="291">
        <v>1</v>
      </c>
      <c r="J23" s="300">
        <v>6000</v>
      </c>
      <c r="K23" s="289">
        <v>1</v>
      </c>
      <c r="L23" s="279" t="s">
        <v>11</v>
      </c>
      <c r="M23" s="277">
        <f t="shared" si="0"/>
        <v>6000</v>
      </c>
      <c r="N23" s="276">
        <f t="shared" si="1"/>
        <v>1081.967213114754</v>
      </c>
    </row>
    <row r="24" spans="2:14" s="275" customFormat="1" ht="12" customHeight="1" x14ac:dyDescent="0.25">
      <c r="B24" s="281" t="s">
        <v>440</v>
      </c>
      <c r="C24" s="292"/>
      <c r="D24" s="389" t="s">
        <v>1151</v>
      </c>
      <c r="E24" s="390"/>
      <c r="F24" s="390"/>
      <c r="G24" s="390"/>
      <c r="H24" s="391"/>
      <c r="I24" s="291">
        <v>1</v>
      </c>
      <c r="J24" s="300">
        <v>4500</v>
      </c>
      <c r="K24" s="289">
        <v>1</v>
      </c>
      <c r="L24" s="279" t="s">
        <v>11</v>
      </c>
      <c r="M24" s="277">
        <f t="shared" si="0"/>
        <v>4500</v>
      </c>
      <c r="N24" s="276">
        <f t="shared" si="1"/>
        <v>811.47540983606552</v>
      </c>
    </row>
    <row r="25" spans="2:14" s="275" customFormat="1" ht="23.25" customHeight="1" x14ac:dyDescent="0.25">
      <c r="B25" s="281" t="s">
        <v>453</v>
      </c>
      <c r="C25" s="292"/>
      <c r="D25" s="389" t="s">
        <v>1150</v>
      </c>
      <c r="E25" s="390"/>
      <c r="F25" s="390"/>
      <c r="G25" s="390"/>
      <c r="H25" s="391"/>
      <c r="I25" s="291">
        <v>2</v>
      </c>
      <c r="J25" s="300">
        <v>1800</v>
      </c>
      <c r="K25" s="289">
        <v>1</v>
      </c>
      <c r="L25" s="279" t="s">
        <v>11</v>
      </c>
      <c r="M25" s="277">
        <f t="shared" si="0"/>
        <v>3600</v>
      </c>
      <c r="N25" s="276">
        <f t="shared" si="1"/>
        <v>649.18032786885249</v>
      </c>
    </row>
    <row r="26" spans="2:14" s="275" customFormat="1" ht="12" customHeight="1" x14ac:dyDescent="0.25">
      <c r="B26" s="281" t="s">
        <v>452</v>
      </c>
      <c r="C26" s="292"/>
      <c r="D26" s="389" t="s">
        <v>625</v>
      </c>
      <c r="E26" s="390"/>
      <c r="F26" s="390"/>
      <c r="G26" s="390"/>
      <c r="H26" s="391"/>
      <c r="I26" s="291">
        <v>1</v>
      </c>
      <c r="J26" s="300">
        <v>600</v>
      </c>
      <c r="K26" s="289">
        <v>1</v>
      </c>
      <c r="L26" s="279" t="s">
        <v>11</v>
      </c>
      <c r="M26" s="277">
        <f t="shared" si="0"/>
        <v>600</v>
      </c>
      <c r="N26" s="276">
        <f t="shared" si="1"/>
        <v>108.19672131147541</v>
      </c>
    </row>
    <row r="27" spans="2:14" s="275" customFormat="1" ht="12.75" customHeight="1" x14ac:dyDescent="0.25">
      <c r="B27" s="281" t="s">
        <v>451</v>
      </c>
      <c r="C27" s="292"/>
      <c r="D27" s="389" t="s">
        <v>494</v>
      </c>
      <c r="E27" s="390"/>
      <c r="F27" s="390"/>
      <c r="G27" s="390"/>
      <c r="H27" s="391"/>
      <c r="I27" s="291">
        <v>1</v>
      </c>
      <c r="J27" s="300">
        <v>1500</v>
      </c>
      <c r="K27" s="289">
        <v>1</v>
      </c>
      <c r="L27" s="279" t="s">
        <v>11</v>
      </c>
      <c r="M27" s="277">
        <f t="shared" si="0"/>
        <v>1500</v>
      </c>
      <c r="N27" s="276">
        <f t="shared" si="1"/>
        <v>270.49180327868851</v>
      </c>
    </row>
    <row r="28" spans="2:14" x14ac:dyDescent="0.25">
      <c r="B28" s="396" t="s">
        <v>464</v>
      </c>
      <c r="C28" s="396"/>
      <c r="D28" s="396"/>
      <c r="E28" s="396"/>
      <c r="F28" s="396"/>
      <c r="G28" s="396"/>
      <c r="H28" s="397"/>
      <c r="I28" s="299">
        <v>8</v>
      </c>
      <c r="J28" s="393" t="s">
        <v>435</v>
      </c>
      <c r="K28" s="394"/>
      <c r="L28" s="395"/>
      <c r="M28" s="277">
        <f>M21+M22+M23+M24+M25+M26+M27</f>
        <v>45200</v>
      </c>
      <c r="N28" s="276">
        <f t="shared" si="1"/>
        <v>8150.8196721311479</v>
      </c>
    </row>
    <row r="29" spans="2:14" ht="9" customHeight="1" x14ac:dyDescent="0.25"/>
    <row r="30" spans="2:14" ht="15" customHeight="1" x14ac:dyDescent="0.25">
      <c r="B30" s="392" t="s">
        <v>1149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1" spans="2:14" ht="7.5" customHeight="1" x14ac:dyDescent="0.25"/>
    <row r="32" spans="2:14" x14ac:dyDescent="0.25">
      <c r="C32" s="287" t="s">
        <v>1148</v>
      </c>
    </row>
    <row r="33" spans="2:14" ht="15.75" thickBot="1" x14ac:dyDescent="0.3">
      <c r="B33" s="286"/>
      <c r="C33" s="285"/>
      <c r="D33" s="285"/>
      <c r="H33" s="285"/>
      <c r="I33" s="285"/>
      <c r="M33" s="284"/>
      <c r="N33" s="284"/>
    </row>
    <row r="34" spans="2:14" ht="15.75" thickBot="1" x14ac:dyDescent="0.3">
      <c r="B34" s="298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98" t="s">
        <v>458</v>
      </c>
      <c r="K34" s="298" t="s">
        <v>457</v>
      </c>
      <c r="L34" s="298" t="s">
        <v>456</v>
      </c>
      <c r="M34" s="298" t="s">
        <v>455</v>
      </c>
      <c r="N34" s="298" t="s">
        <v>454</v>
      </c>
    </row>
    <row r="35" spans="2:14" ht="15.75" thickBot="1" x14ac:dyDescent="0.3">
      <c r="B35" s="298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98" t="s">
        <v>440</v>
      </c>
      <c r="K35" s="298" t="s">
        <v>453</v>
      </c>
      <c r="L35" s="298" t="s">
        <v>452</v>
      </c>
      <c r="M35" s="298" t="s">
        <v>451</v>
      </c>
      <c r="N35" s="298" t="s">
        <v>450</v>
      </c>
    </row>
    <row r="36" spans="2:14" s="275" customFormat="1" ht="25.5" customHeight="1" x14ac:dyDescent="0.25">
      <c r="B36" s="281" t="s">
        <v>449</v>
      </c>
      <c r="C36" s="292" t="s">
        <v>1147</v>
      </c>
      <c r="D36" s="389" t="s">
        <v>1146</v>
      </c>
      <c r="E36" s="390"/>
      <c r="F36" s="390"/>
      <c r="G36" s="390"/>
      <c r="H36" s="390"/>
      <c r="I36" s="391"/>
      <c r="J36" s="291">
        <v>1</v>
      </c>
      <c r="K36" s="279" t="s">
        <v>437</v>
      </c>
      <c r="L36" s="278">
        <v>4500</v>
      </c>
      <c r="M36" s="277">
        <f t="shared" ref="M36:M61" si="2">L36*J36</f>
        <v>4500</v>
      </c>
      <c r="N36" s="276">
        <f t="shared" ref="N36:N62" si="3">M36*22/122</f>
        <v>811.47540983606552</v>
      </c>
    </row>
    <row r="37" spans="2:14" s="275" customFormat="1" ht="23.25" customHeight="1" x14ac:dyDescent="0.25">
      <c r="B37" s="281" t="s">
        <v>446</v>
      </c>
      <c r="C37" s="280" t="s">
        <v>1145</v>
      </c>
      <c r="D37" s="389" t="s">
        <v>1144</v>
      </c>
      <c r="E37" s="390"/>
      <c r="F37" s="390"/>
      <c r="G37" s="390"/>
      <c r="H37" s="390"/>
      <c r="I37" s="391"/>
      <c r="J37" s="291">
        <v>1</v>
      </c>
      <c r="K37" s="279" t="s">
        <v>437</v>
      </c>
      <c r="L37" s="278">
        <v>800</v>
      </c>
      <c r="M37" s="277">
        <f t="shared" si="2"/>
        <v>800</v>
      </c>
      <c r="N37" s="276">
        <f t="shared" si="3"/>
        <v>144.26229508196721</v>
      </c>
    </row>
    <row r="38" spans="2:14" s="275" customFormat="1" ht="24.75" customHeight="1" x14ac:dyDescent="0.25">
      <c r="B38" s="281" t="s">
        <v>443</v>
      </c>
      <c r="C38" s="280" t="s">
        <v>1143</v>
      </c>
      <c r="D38" s="389" t="s">
        <v>809</v>
      </c>
      <c r="E38" s="390"/>
      <c r="F38" s="390"/>
      <c r="G38" s="390"/>
      <c r="H38" s="390"/>
      <c r="I38" s="391"/>
      <c r="J38" s="331" t="s">
        <v>443</v>
      </c>
      <c r="K38" s="279" t="s">
        <v>437</v>
      </c>
      <c r="L38" s="278">
        <v>150</v>
      </c>
      <c r="M38" s="277">
        <f t="shared" si="2"/>
        <v>450</v>
      </c>
      <c r="N38" s="276">
        <f t="shared" si="3"/>
        <v>81.147540983606561</v>
      </c>
    </row>
    <row r="39" spans="2:14" s="275" customFormat="1" ht="24.75" customHeight="1" x14ac:dyDescent="0.25">
      <c r="B39" s="281" t="s">
        <v>440</v>
      </c>
      <c r="C39" s="280" t="s">
        <v>1142</v>
      </c>
      <c r="D39" s="389" t="s">
        <v>1141</v>
      </c>
      <c r="E39" s="390"/>
      <c r="F39" s="390"/>
      <c r="G39" s="390"/>
      <c r="H39" s="390"/>
      <c r="I39" s="391"/>
      <c r="J39" s="291">
        <v>1</v>
      </c>
      <c r="K39" s="279" t="s">
        <v>437</v>
      </c>
      <c r="L39" s="278">
        <v>500</v>
      </c>
      <c r="M39" s="277">
        <f t="shared" si="2"/>
        <v>500</v>
      </c>
      <c r="N39" s="276">
        <f t="shared" si="3"/>
        <v>90.163934426229503</v>
      </c>
    </row>
    <row r="40" spans="2:14" s="275" customFormat="1" ht="25.5" customHeight="1" x14ac:dyDescent="0.25">
      <c r="B40" s="281" t="s">
        <v>453</v>
      </c>
      <c r="C40" s="280" t="s">
        <v>1140</v>
      </c>
      <c r="D40" s="389" t="s">
        <v>1139</v>
      </c>
      <c r="E40" s="390"/>
      <c r="F40" s="390"/>
      <c r="G40" s="390"/>
      <c r="H40" s="390"/>
      <c r="I40" s="391"/>
      <c r="J40" s="291">
        <v>1</v>
      </c>
      <c r="K40" s="279" t="s">
        <v>437</v>
      </c>
      <c r="L40" s="278">
        <v>100</v>
      </c>
      <c r="M40" s="277">
        <f t="shared" si="2"/>
        <v>100</v>
      </c>
      <c r="N40" s="276">
        <f t="shared" si="3"/>
        <v>18.032786885245901</v>
      </c>
    </row>
    <row r="41" spans="2:14" s="275" customFormat="1" ht="12.75" customHeight="1" x14ac:dyDescent="0.25">
      <c r="B41" s="281" t="s">
        <v>452</v>
      </c>
      <c r="C41" s="280"/>
      <c r="D41" s="389" t="s">
        <v>1138</v>
      </c>
      <c r="E41" s="390"/>
      <c r="F41" s="390"/>
      <c r="G41" s="390"/>
      <c r="H41" s="390"/>
      <c r="I41" s="391"/>
      <c r="J41" s="291">
        <v>2</v>
      </c>
      <c r="K41" s="279" t="s">
        <v>437</v>
      </c>
      <c r="L41" s="278">
        <v>150</v>
      </c>
      <c r="M41" s="277">
        <f t="shared" si="2"/>
        <v>300</v>
      </c>
      <c r="N41" s="276">
        <f t="shared" si="3"/>
        <v>54.098360655737707</v>
      </c>
    </row>
    <row r="42" spans="2:14" s="275" customFormat="1" ht="24" customHeight="1" x14ac:dyDescent="0.25">
      <c r="B42" s="281" t="s">
        <v>451</v>
      </c>
      <c r="C42" s="292" t="s">
        <v>1137</v>
      </c>
      <c r="D42" s="389" t="s">
        <v>1136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30</v>
      </c>
      <c r="M42" s="277">
        <f t="shared" si="2"/>
        <v>30</v>
      </c>
      <c r="N42" s="276">
        <f t="shared" si="3"/>
        <v>5.4098360655737707</v>
      </c>
    </row>
    <row r="43" spans="2:14" s="275" customFormat="1" ht="15" customHeight="1" x14ac:dyDescent="0.25">
      <c r="B43" s="281" t="s">
        <v>450</v>
      </c>
      <c r="C43" s="292" t="s">
        <v>1135</v>
      </c>
      <c r="D43" s="389" t="s">
        <v>1134</v>
      </c>
      <c r="E43" s="390"/>
      <c r="F43" s="390"/>
      <c r="G43" s="390"/>
      <c r="H43" s="390"/>
      <c r="I43" s="391"/>
      <c r="J43" s="291">
        <v>1</v>
      </c>
      <c r="K43" s="279" t="s">
        <v>520</v>
      </c>
      <c r="L43" s="278">
        <v>500</v>
      </c>
      <c r="M43" s="277">
        <f t="shared" si="2"/>
        <v>500</v>
      </c>
      <c r="N43" s="276">
        <f t="shared" si="3"/>
        <v>90.163934426229503</v>
      </c>
    </row>
    <row r="44" spans="2:14" s="275" customFormat="1" ht="15" customHeight="1" x14ac:dyDescent="0.25">
      <c r="B44" s="281" t="s">
        <v>468</v>
      </c>
      <c r="C44" s="292"/>
      <c r="D44" s="389" t="s">
        <v>960</v>
      </c>
      <c r="E44" s="390"/>
      <c r="F44" s="390"/>
      <c r="G44" s="390"/>
      <c r="H44" s="390"/>
      <c r="I44" s="391"/>
      <c r="J44" s="291">
        <v>1</v>
      </c>
      <c r="K44" s="279" t="s">
        <v>520</v>
      </c>
      <c r="L44" s="278">
        <v>100</v>
      </c>
      <c r="M44" s="277">
        <f t="shared" si="2"/>
        <v>100</v>
      </c>
      <c r="N44" s="276">
        <f t="shared" si="3"/>
        <v>18.032786885245901</v>
      </c>
    </row>
    <row r="45" spans="2:14" s="275" customFormat="1" ht="25.5" customHeight="1" x14ac:dyDescent="0.25">
      <c r="B45" s="281" t="s">
        <v>541</v>
      </c>
      <c r="C45" s="292"/>
      <c r="D45" s="389" t="s">
        <v>1133</v>
      </c>
      <c r="E45" s="390"/>
      <c r="F45" s="390"/>
      <c r="G45" s="390"/>
      <c r="H45" s="390"/>
      <c r="I45" s="391"/>
      <c r="J45" s="291">
        <v>1</v>
      </c>
      <c r="K45" s="279" t="s">
        <v>520</v>
      </c>
      <c r="L45" s="278">
        <v>600</v>
      </c>
      <c r="M45" s="277">
        <f t="shared" si="2"/>
        <v>600</v>
      </c>
      <c r="N45" s="276">
        <f t="shared" si="3"/>
        <v>108.19672131147541</v>
      </c>
    </row>
    <row r="46" spans="2:14" s="275" customFormat="1" ht="26.25" customHeight="1" x14ac:dyDescent="0.25">
      <c r="B46" s="281" t="s">
        <v>538</v>
      </c>
      <c r="C46" s="292" t="s">
        <v>586</v>
      </c>
      <c r="D46" s="389" t="s">
        <v>1132</v>
      </c>
      <c r="E46" s="390"/>
      <c r="F46" s="390"/>
      <c r="G46" s="390"/>
      <c r="H46" s="390"/>
      <c r="I46" s="391"/>
      <c r="J46" s="291">
        <v>1</v>
      </c>
      <c r="K46" s="279" t="s">
        <v>520</v>
      </c>
      <c r="L46" s="278">
        <v>6900</v>
      </c>
      <c r="M46" s="277">
        <f t="shared" si="2"/>
        <v>6900</v>
      </c>
      <c r="N46" s="276">
        <f t="shared" si="3"/>
        <v>1244.2622950819673</v>
      </c>
    </row>
    <row r="47" spans="2:14" s="275" customFormat="1" ht="24" customHeight="1" x14ac:dyDescent="0.25">
      <c r="B47" s="281" t="s">
        <v>535</v>
      </c>
      <c r="C47" s="292" t="s">
        <v>1131</v>
      </c>
      <c r="D47" s="389" t="s">
        <v>1130</v>
      </c>
      <c r="E47" s="390"/>
      <c r="F47" s="390"/>
      <c r="G47" s="390"/>
      <c r="H47" s="390"/>
      <c r="I47" s="391"/>
      <c r="J47" s="291">
        <v>1</v>
      </c>
      <c r="K47" s="279" t="s">
        <v>437</v>
      </c>
      <c r="L47" s="278">
        <v>300</v>
      </c>
      <c r="M47" s="277">
        <f t="shared" si="2"/>
        <v>300</v>
      </c>
      <c r="N47" s="276">
        <f t="shared" si="3"/>
        <v>54.098360655737707</v>
      </c>
    </row>
    <row r="48" spans="2:14" s="275" customFormat="1" ht="25.5" customHeight="1" x14ac:dyDescent="0.25">
      <c r="B48" s="281" t="s">
        <v>532</v>
      </c>
      <c r="C48" s="292" t="s">
        <v>1129</v>
      </c>
      <c r="D48" s="389" t="s">
        <v>1128</v>
      </c>
      <c r="E48" s="390"/>
      <c r="F48" s="390"/>
      <c r="G48" s="390"/>
      <c r="H48" s="390"/>
      <c r="I48" s="391"/>
      <c r="J48" s="291">
        <v>1</v>
      </c>
      <c r="K48" s="279" t="s">
        <v>437</v>
      </c>
      <c r="L48" s="278">
        <v>270</v>
      </c>
      <c r="M48" s="277">
        <f t="shared" si="2"/>
        <v>270</v>
      </c>
      <c r="N48" s="276">
        <f t="shared" si="3"/>
        <v>48.688524590163937</v>
      </c>
    </row>
    <row r="49" spans="2:14" s="275" customFormat="1" ht="37.5" customHeight="1" x14ac:dyDescent="0.25">
      <c r="B49" s="281" t="s">
        <v>529</v>
      </c>
      <c r="C49" s="292" t="s">
        <v>1127</v>
      </c>
      <c r="D49" s="389" t="s">
        <v>1126</v>
      </c>
      <c r="E49" s="390"/>
      <c r="F49" s="390"/>
      <c r="G49" s="390"/>
      <c r="H49" s="390"/>
      <c r="I49" s="391"/>
      <c r="J49" s="291">
        <v>1</v>
      </c>
      <c r="K49" s="279" t="s">
        <v>437</v>
      </c>
      <c r="L49" s="278">
        <v>100</v>
      </c>
      <c r="M49" s="277">
        <f t="shared" si="2"/>
        <v>100</v>
      </c>
      <c r="N49" s="276">
        <f t="shared" si="3"/>
        <v>18.032786885245901</v>
      </c>
    </row>
    <row r="50" spans="2:14" s="275" customFormat="1" ht="27.75" customHeight="1" x14ac:dyDescent="0.25">
      <c r="B50" s="281" t="s">
        <v>526</v>
      </c>
      <c r="C50" s="292" t="s">
        <v>1125</v>
      </c>
      <c r="D50" s="389" t="s">
        <v>1124</v>
      </c>
      <c r="E50" s="390"/>
      <c r="F50" s="390"/>
      <c r="G50" s="390"/>
      <c r="H50" s="390"/>
      <c r="I50" s="391"/>
      <c r="J50" s="291">
        <v>1</v>
      </c>
      <c r="K50" s="279" t="s">
        <v>437</v>
      </c>
      <c r="L50" s="278">
        <v>350</v>
      </c>
      <c r="M50" s="277">
        <f t="shared" si="2"/>
        <v>350</v>
      </c>
      <c r="N50" s="276">
        <f t="shared" si="3"/>
        <v>63.114754098360656</v>
      </c>
    </row>
    <row r="51" spans="2:14" s="275" customFormat="1" ht="27" customHeight="1" x14ac:dyDescent="0.25">
      <c r="B51" s="281" t="s">
        <v>523</v>
      </c>
      <c r="C51" s="292" t="s">
        <v>1123</v>
      </c>
      <c r="D51" s="389" t="s">
        <v>1122</v>
      </c>
      <c r="E51" s="390"/>
      <c r="F51" s="390"/>
      <c r="G51" s="390"/>
      <c r="H51" s="390"/>
      <c r="I51" s="391"/>
      <c r="J51" s="291">
        <v>1</v>
      </c>
      <c r="K51" s="279" t="s">
        <v>437</v>
      </c>
      <c r="L51" s="278">
        <v>250</v>
      </c>
      <c r="M51" s="277">
        <f t="shared" si="2"/>
        <v>250</v>
      </c>
      <c r="N51" s="276">
        <f t="shared" si="3"/>
        <v>45.081967213114751</v>
      </c>
    </row>
    <row r="52" spans="2:14" s="275" customFormat="1" ht="25.5" customHeight="1" x14ac:dyDescent="0.25">
      <c r="B52" s="281" t="s">
        <v>519</v>
      </c>
      <c r="C52" s="292" t="s">
        <v>1121</v>
      </c>
      <c r="D52" s="389" t="s">
        <v>1120</v>
      </c>
      <c r="E52" s="390"/>
      <c r="F52" s="390"/>
      <c r="G52" s="390"/>
      <c r="H52" s="390"/>
      <c r="I52" s="391"/>
      <c r="J52" s="291">
        <v>1</v>
      </c>
      <c r="K52" s="279" t="s">
        <v>437</v>
      </c>
      <c r="L52" s="278">
        <v>1050</v>
      </c>
      <c r="M52" s="277">
        <f t="shared" si="2"/>
        <v>1050</v>
      </c>
      <c r="N52" s="276">
        <f t="shared" si="3"/>
        <v>189.34426229508196</v>
      </c>
    </row>
    <row r="53" spans="2:14" s="275" customFormat="1" ht="36.75" customHeight="1" x14ac:dyDescent="0.25">
      <c r="B53" s="281" t="s">
        <v>810</v>
      </c>
      <c r="C53" s="292">
        <v>20361</v>
      </c>
      <c r="D53" s="389" t="s">
        <v>1119</v>
      </c>
      <c r="E53" s="390"/>
      <c r="F53" s="390"/>
      <c r="G53" s="390"/>
      <c r="H53" s="390"/>
      <c r="I53" s="391"/>
      <c r="J53" s="291">
        <v>1</v>
      </c>
      <c r="K53" s="279" t="s">
        <v>437</v>
      </c>
      <c r="L53" s="278">
        <v>350</v>
      </c>
      <c r="M53" s="277">
        <f t="shared" si="2"/>
        <v>350</v>
      </c>
      <c r="N53" s="276">
        <f t="shared" si="3"/>
        <v>63.114754098360656</v>
      </c>
    </row>
    <row r="54" spans="2:14" s="275" customFormat="1" ht="23.25" customHeight="1" x14ac:dyDescent="0.25">
      <c r="B54" s="281" t="s">
        <v>808</v>
      </c>
      <c r="C54" s="292">
        <v>1376000</v>
      </c>
      <c r="D54" s="389" t="s">
        <v>1118</v>
      </c>
      <c r="E54" s="390"/>
      <c r="F54" s="390"/>
      <c r="G54" s="390"/>
      <c r="H54" s="390"/>
      <c r="I54" s="391"/>
      <c r="J54" s="291">
        <v>2</v>
      </c>
      <c r="K54" s="279" t="s">
        <v>437</v>
      </c>
      <c r="L54" s="278">
        <v>1625</v>
      </c>
      <c r="M54" s="277">
        <f t="shared" si="2"/>
        <v>3250</v>
      </c>
      <c r="N54" s="276">
        <f t="shared" si="3"/>
        <v>586.06557377049182</v>
      </c>
    </row>
    <row r="55" spans="2:14" s="275" customFormat="1" ht="15" customHeight="1" x14ac:dyDescent="0.25">
      <c r="B55" s="281" t="s">
        <v>806</v>
      </c>
      <c r="C55" s="292" t="s">
        <v>537</v>
      </c>
      <c r="D55" s="389" t="s">
        <v>536</v>
      </c>
      <c r="E55" s="390"/>
      <c r="F55" s="390"/>
      <c r="G55" s="390"/>
      <c r="H55" s="390"/>
      <c r="I55" s="391"/>
      <c r="J55" s="291">
        <v>1</v>
      </c>
      <c r="K55" s="279" t="s">
        <v>437</v>
      </c>
      <c r="L55" s="278">
        <v>400</v>
      </c>
      <c r="M55" s="277">
        <f t="shared" si="2"/>
        <v>400</v>
      </c>
      <c r="N55" s="276">
        <f t="shared" si="3"/>
        <v>72.131147540983605</v>
      </c>
    </row>
    <row r="56" spans="2:14" s="275" customFormat="1" ht="15" customHeight="1" x14ac:dyDescent="0.25">
      <c r="B56" s="281" t="s">
        <v>804</v>
      </c>
      <c r="C56" s="292">
        <v>3705304</v>
      </c>
      <c r="D56" s="389" t="s">
        <v>530</v>
      </c>
      <c r="E56" s="390"/>
      <c r="F56" s="390"/>
      <c r="G56" s="390"/>
      <c r="H56" s="390"/>
      <c r="I56" s="391"/>
      <c r="J56" s="291">
        <v>1</v>
      </c>
      <c r="K56" s="279" t="s">
        <v>437</v>
      </c>
      <c r="L56" s="278">
        <v>1150</v>
      </c>
      <c r="M56" s="277">
        <f t="shared" si="2"/>
        <v>1150</v>
      </c>
      <c r="N56" s="276">
        <f t="shared" si="3"/>
        <v>207.37704918032787</v>
      </c>
    </row>
    <row r="57" spans="2:14" s="275" customFormat="1" ht="15" customHeight="1" x14ac:dyDescent="0.25">
      <c r="B57" s="281" t="s">
        <v>1117</v>
      </c>
      <c r="C57" s="292">
        <v>614503</v>
      </c>
      <c r="D57" s="389" t="s">
        <v>488</v>
      </c>
      <c r="E57" s="390"/>
      <c r="F57" s="390"/>
      <c r="G57" s="390"/>
      <c r="H57" s="390"/>
      <c r="I57" s="391"/>
      <c r="J57" s="291">
        <v>1</v>
      </c>
      <c r="K57" s="279" t="s">
        <v>437</v>
      </c>
      <c r="L57" s="278">
        <v>1000</v>
      </c>
      <c r="M57" s="277">
        <f t="shared" si="2"/>
        <v>1000</v>
      </c>
      <c r="N57" s="276">
        <f t="shared" si="3"/>
        <v>180.32786885245901</v>
      </c>
    </row>
    <row r="58" spans="2:14" s="275" customFormat="1" ht="15" customHeight="1" x14ac:dyDescent="0.25">
      <c r="B58" s="281" t="s">
        <v>1116</v>
      </c>
      <c r="C58" s="292">
        <v>4008</v>
      </c>
      <c r="D58" s="389" t="s">
        <v>518</v>
      </c>
      <c r="E58" s="390"/>
      <c r="F58" s="390"/>
      <c r="G58" s="390"/>
      <c r="H58" s="390"/>
      <c r="I58" s="391"/>
      <c r="J58" s="291">
        <v>1</v>
      </c>
      <c r="K58" s="279" t="s">
        <v>437</v>
      </c>
      <c r="L58" s="278">
        <v>250</v>
      </c>
      <c r="M58" s="277">
        <f t="shared" si="2"/>
        <v>250</v>
      </c>
      <c r="N58" s="276">
        <f t="shared" si="3"/>
        <v>45.081967213114751</v>
      </c>
    </row>
    <row r="59" spans="2:14" s="275" customFormat="1" ht="15" customHeight="1" x14ac:dyDescent="0.25">
      <c r="B59" s="281" t="s">
        <v>1115</v>
      </c>
      <c r="C59" s="292" t="s">
        <v>1114</v>
      </c>
      <c r="D59" s="389" t="s">
        <v>1113</v>
      </c>
      <c r="E59" s="390"/>
      <c r="F59" s="390"/>
      <c r="G59" s="390"/>
      <c r="H59" s="390"/>
      <c r="I59" s="391"/>
      <c r="J59" s="291">
        <v>1</v>
      </c>
      <c r="K59" s="279" t="s">
        <v>520</v>
      </c>
      <c r="L59" s="278">
        <v>6600</v>
      </c>
      <c r="M59" s="277">
        <f t="shared" si="2"/>
        <v>6600</v>
      </c>
      <c r="N59" s="276">
        <f t="shared" si="3"/>
        <v>1190.1639344262296</v>
      </c>
    </row>
    <row r="60" spans="2:14" s="275" customFormat="1" ht="15" customHeight="1" x14ac:dyDescent="0.25">
      <c r="B60" s="281" t="s">
        <v>1112</v>
      </c>
      <c r="C60" s="292" t="s">
        <v>1111</v>
      </c>
      <c r="D60" s="389" t="s">
        <v>1110</v>
      </c>
      <c r="E60" s="390"/>
      <c r="F60" s="390"/>
      <c r="G60" s="390"/>
      <c r="H60" s="390"/>
      <c r="I60" s="391"/>
      <c r="J60" s="291">
        <v>1</v>
      </c>
      <c r="K60" s="279" t="s">
        <v>520</v>
      </c>
      <c r="L60" s="278">
        <v>850</v>
      </c>
      <c r="M60" s="277">
        <f t="shared" si="2"/>
        <v>850</v>
      </c>
      <c r="N60" s="276">
        <f t="shared" si="3"/>
        <v>153.27868852459017</v>
      </c>
    </row>
    <row r="61" spans="2:14" s="275" customFormat="1" ht="23.25" customHeight="1" x14ac:dyDescent="0.25">
      <c r="B61" s="281" t="s">
        <v>1109</v>
      </c>
      <c r="C61" s="292" t="s">
        <v>1010</v>
      </c>
      <c r="D61" s="389" t="s">
        <v>1009</v>
      </c>
      <c r="E61" s="390"/>
      <c r="F61" s="390"/>
      <c r="G61" s="390"/>
      <c r="H61" s="390"/>
      <c r="I61" s="391"/>
      <c r="J61" s="291">
        <v>1</v>
      </c>
      <c r="K61" s="279" t="s">
        <v>520</v>
      </c>
      <c r="L61" s="278">
        <v>1650</v>
      </c>
      <c r="M61" s="277">
        <f t="shared" si="2"/>
        <v>1650</v>
      </c>
      <c r="N61" s="276">
        <f t="shared" si="3"/>
        <v>297.5409836065574</v>
      </c>
    </row>
    <row r="62" spans="2:14" x14ac:dyDescent="0.25">
      <c r="B62" s="396" t="s">
        <v>436</v>
      </c>
      <c r="C62" s="396"/>
      <c r="D62" s="396"/>
      <c r="E62" s="396"/>
      <c r="F62" s="396"/>
      <c r="G62" s="396"/>
      <c r="H62" s="396"/>
      <c r="I62" s="397"/>
      <c r="J62" s="297">
        <v>28</v>
      </c>
      <c r="K62" s="393" t="s">
        <v>435</v>
      </c>
      <c r="L62" s="395"/>
      <c r="M62" s="340">
        <f>M36+M37+M38+M39+M40+M42+M43+M44+M45+M46+M47+M48+M49++M50+M51+M52+M53++++M54+M55++M56+M57+M58+M59+M60+M61+M41</f>
        <v>32600</v>
      </c>
      <c r="N62" s="276">
        <f t="shared" si="3"/>
        <v>5878.688524590164</v>
      </c>
    </row>
    <row r="64" spans="2:14" ht="15" customHeight="1" x14ac:dyDescent="0.25">
      <c r="B64" s="392" t="s">
        <v>1108</v>
      </c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</row>
    <row r="65" spans="2:14" ht="15.75" thickBot="1" x14ac:dyDescent="0.3"/>
    <row r="66" spans="2:14" ht="16.5" thickTop="1" thickBot="1" x14ac:dyDescent="0.3">
      <c r="B66" s="271"/>
      <c r="C66" s="271"/>
      <c r="D66" s="271"/>
      <c r="E66" s="271"/>
      <c r="F66" s="271"/>
      <c r="G66" s="271"/>
      <c r="H66" s="271"/>
      <c r="I66" s="271"/>
      <c r="J66" s="271"/>
      <c r="K66" s="270"/>
      <c r="L66" s="270" t="s">
        <v>433</v>
      </c>
      <c r="M66" s="269">
        <f>M28+M62</f>
        <v>77800</v>
      </c>
      <c r="N66" s="268">
        <f>M66*22/122</f>
        <v>14029.508196721312</v>
      </c>
    </row>
    <row r="67" spans="2:14" ht="15.75" thickTop="1" x14ac:dyDescent="0.25"/>
    <row r="68" spans="2:14" ht="15" customHeight="1" x14ac:dyDescent="0.25">
      <c r="B68" s="388" t="s">
        <v>1107</v>
      </c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</row>
    <row r="71" spans="2:14" ht="15" customHeight="1" x14ac:dyDescent="0.25">
      <c r="J71" s="266" t="s">
        <v>431</v>
      </c>
      <c r="K71" s="384" t="s">
        <v>430</v>
      </c>
      <c r="L71" s="384"/>
      <c r="M71" s="384"/>
      <c r="N71" s="384"/>
    </row>
    <row r="73" spans="2:14" ht="53.25" customHeight="1" x14ac:dyDescent="0.25">
      <c r="B73" s="267"/>
      <c r="C73" s="385" t="s">
        <v>429</v>
      </c>
      <c r="D73" s="385"/>
      <c r="E73" s="385"/>
      <c r="F73" s="385"/>
      <c r="G73" s="385"/>
      <c r="H73" s="385"/>
      <c r="I73" s="385"/>
      <c r="J73" s="385"/>
      <c r="K73" s="385"/>
      <c r="L73" s="385"/>
      <c r="M73" s="385"/>
    </row>
    <row r="77" spans="2:14" ht="24" customHeight="1" x14ac:dyDescent="0.25">
      <c r="B77" s="386" t="s">
        <v>1064</v>
      </c>
      <c r="C77" s="386"/>
      <c r="J77" s="266" t="s">
        <v>427</v>
      </c>
      <c r="K77" s="384" t="s">
        <v>425</v>
      </c>
      <c r="L77" s="384"/>
      <c r="M77" s="384"/>
      <c r="N77" s="384"/>
    </row>
    <row r="79" spans="2:14" ht="26.25" customHeight="1" x14ac:dyDescent="0.25">
      <c r="J79" s="266" t="s">
        <v>426</v>
      </c>
      <c r="K79" s="384" t="s">
        <v>425</v>
      </c>
      <c r="L79" s="384"/>
      <c r="M79" s="384"/>
      <c r="N79" s="384"/>
    </row>
    <row r="81" spans="2:14" x14ac:dyDescent="0.25">
      <c r="B81" s="387" t="s">
        <v>424</v>
      </c>
      <c r="C81" s="387"/>
    </row>
    <row r="82" spans="2:14" x14ac:dyDescent="0.25">
      <c r="B82" s="381"/>
      <c r="C82" s="382"/>
      <c r="D82" s="382"/>
      <c r="E82" s="382"/>
      <c r="F82" s="382"/>
      <c r="G82" s="382"/>
      <c r="H82" s="382"/>
      <c r="I82" s="382"/>
      <c r="J82" s="382"/>
      <c r="K82" s="382"/>
      <c r="L82" s="382"/>
      <c r="M82" s="382"/>
      <c r="N82" s="383"/>
    </row>
  </sheetData>
  <mergeCells count="60">
    <mergeCell ref="B68:N68"/>
    <mergeCell ref="D41:I41"/>
    <mergeCell ref="B82:N82"/>
    <mergeCell ref="D61:I61"/>
    <mergeCell ref="K71:N71"/>
    <mergeCell ref="C73:M73"/>
    <mergeCell ref="B77:C77"/>
    <mergeCell ref="K77:N77"/>
    <mergeCell ref="K79:N79"/>
    <mergeCell ref="B81:C81"/>
    <mergeCell ref="B62:I62"/>
    <mergeCell ref="K62:L62"/>
    <mergeCell ref="D43:I43"/>
    <mergeCell ref="D44:I44"/>
    <mergeCell ref="D45:I45"/>
    <mergeCell ref="D46:I46"/>
    <mergeCell ref="B64:N64"/>
    <mergeCell ref="D24:H24"/>
    <mergeCell ref="D25:H25"/>
    <mergeCell ref="D26:H26"/>
    <mergeCell ref="J28:L28"/>
    <mergeCell ref="B30:N30"/>
    <mergeCell ref="D27:H27"/>
    <mergeCell ref="D49:I49"/>
    <mergeCell ref="D50:I50"/>
    <mergeCell ref="D51:I51"/>
    <mergeCell ref="D57:I57"/>
    <mergeCell ref="D58:I58"/>
    <mergeCell ref="D37:I37"/>
    <mergeCell ref="D38:I38"/>
    <mergeCell ref="D39:I39"/>
    <mergeCell ref="D40:I40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47:I47"/>
    <mergeCell ref="D48:I48"/>
    <mergeCell ref="D22:H22"/>
    <mergeCell ref="D23:H23"/>
    <mergeCell ref="B28:H28"/>
    <mergeCell ref="D34:I34"/>
    <mergeCell ref="D35:I35"/>
    <mergeCell ref="D19:H19"/>
    <mergeCell ref="D20:H20"/>
    <mergeCell ref="D36:I36"/>
    <mergeCell ref="D21:H21"/>
    <mergeCell ref="D42:I42"/>
    <mergeCell ref="D59:I59"/>
    <mergeCell ref="D60:I60"/>
    <mergeCell ref="D52:I52"/>
    <mergeCell ref="D53:I53"/>
    <mergeCell ref="D54:I54"/>
    <mergeCell ref="D55:I55"/>
    <mergeCell ref="D56:I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99BD-05B1-470F-B5E1-7509DDCAEB14}">
  <sheetPr codeName="Лист4111"/>
  <dimension ref="A1:AD2424"/>
  <sheetViews>
    <sheetView zoomScale="70" zoomScaleNormal="70" workbookViewId="0">
      <selection activeCell="M21" sqref="M21"/>
    </sheetView>
  </sheetViews>
  <sheetFormatPr defaultColWidth="13" defaultRowHeight="15.75" outlineLevelRow="1" outlineLevelCol="1" x14ac:dyDescent="0.25"/>
  <cols>
    <col min="1" max="2" width="14.28515625" style="31" customWidth="1" outlineLevel="1"/>
    <col min="3" max="3" width="22" style="31" customWidth="1"/>
    <col min="4" max="4" width="14.28515625" style="31" customWidth="1"/>
    <col min="5" max="7" width="14.28515625" style="31" customWidth="1" outlineLevel="1"/>
    <col min="8" max="8" width="14.28515625" style="137" customWidth="1" outlineLevel="1"/>
    <col min="9" max="10" width="14.28515625" style="31" customWidth="1" outlineLevel="1"/>
    <col min="11" max="11" width="28" style="31" customWidth="1"/>
    <col min="12" max="12" width="13.5703125" style="31" customWidth="1"/>
    <col min="13" max="13" width="33" style="31" customWidth="1"/>
    <col min="14" max="14" width="33.140625" style="45" customWidth="1" outlineLevel="1"/>
    <col min="15" max="15" width="33.85546875" style="45" customWidth="1" outlineLevel="1"/>
    <col min="16" max="16" width="24.85546875" style="46" customWidth="1"/>
    <col min="17" max="17" width="19.42578125" style="18" customWidth="1" outlineLevel="1"/>
    <col min="18" max="18" width="19" style="18" customWidth="1" outlineLevel="1"/>
    <col min="19" max="19" width="46.7109375" style="19" bestFit="1" customWidth="1"/>
    <col min="20" max="20" width="15.5703125" style="20" customWidth="1" outlineLevel="1"/>
    <col min="21" max="21" width="21" style="21" customWidth="1" outlineLevel="1"/>
    <col min="22" max="22" width="21" style="20" customWidth="1" outlineLevel="1"/>
    <col min="23" max="23" width="21" style="21" customWidth="1" outlineLevel="1"/>
    <col min="24" max="24" width="43.28515625" style="22" customWidth="1"/>
    <col min="25" max="25" width="21" style="23" customWidth="1"/>
    <col min="26" max="26" width="26.7109375" style="1" bestFit="1" customWidth="1"/>
    <col min="27" max="28" width="18.140625" style="1" bestFit="1" customWidth="1"/>
    <col min="29" max="29" width="18.7109375" style="1" customWidth="1"/>
    <col min="30" max="30" width="15" style="1" customWidth="1"/>
    <col min="31" max="16384" width="13" style="1"/>
  </cols>
  <sheetData>
    <row r="1" spans="1:25" ht="16.5" thickBot="1" x14ac:dyDescent="0.3">
      <c r="A1" s="31" t="s">
        <v>25</v>
      </c>
      <c r="B1" s="31" t="s">
        <v>10</v>
      </c>
      <c r="C1" s="31" t="s">
        <v>12</v>
      </c>
      <c r="D1" s="31" t="s">
        <v>13</v>
      </c>
      <c r="E1" s="31" t="s">
        <v>14</v>
      </c>
      <c r="F1" s="31" t="s">
        <v>0</v>
      </c>
      <c r="G1" s="31" t="s">
        <v>15</v>
      </c>
      <c r="H1" s="137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45" t="s">
        <v>26</v>
      </c>
      <c r="O1" s="45" t="s">
        <v>27</v>
      </c>
      <c r="P1" s="46" t="s">
        <v>227</v>
      </c>
      <c r="Q1" s="18" t="s">
        <v>26</v>
      </c>
      <c r="R1" s="18" t="s">
        <v>27</v>
      </c>
      <c r="S1" s="19" t="s">
        <v>228</v>
      </c>
      <c r="T1" s="20" t="s">
        <v>11</v>
      </c>
      <c r="U1" s="21" t="s">
        <v>28</v>
      </c>
      <c r="V1" s="20" t="s">
        <v>11</v>
      </c>
      <c r="W1" s="21" t="s">
        <v>28</v>
      </c>
      <c r="X1" s="22" t="s">
        <v>229</v>
      </c>
      <c r="Y1" s="23" t="s">
        <v>29</v>
      </c>
    </row>
    <row r="2" spans="1:25" ht="16.5" outlineLevel="1" thickBot="1" x14ac:dyDescent="0.3">
      <c r="A2" s="32">
        <v>1</v>
      </c>
      <c r="B2" s="32"/>
      <c r="C2" s="32" t="str">
        <f>spisok!B2</f>
        <v>УАЗ UAZ PATRIOT 3163</v>
      </c>
      <c r="D2" s="32" t="str">
        <f>spisok!C2</f>
        <v>О201МК126</v>
      </c>
      <c r="E2" s="32" t="str">
        <f>spisok!D2</f>
        <v>XTT316300R1000091</v>
      </c>
      <c r="F2" s="32">
        <f>spisok!G2</f>
        <v>4116</v>
      </c>
      <c r="G2" s="32">
        <f>spisok!F2</f>
        <v>2023</v>
      </c>
      <c r="H2" s="138">
        <f>spisok!H2</f>
        <v>46174</v>
      </c>
      <c r="I2" s="32" t="str">
        <f>spisok!E2</f>
        <v>106-81</v>
      </c>
      <c r="J2" s="32">
        <v>1</v>
      </c>
      <c r="K2" s="138" t="s">
        <v>31</v>
      </c>
      <c r="L2" s="32">
        <v>1</v>
      </c>
      <c r="M2" s="32"/>
      <c r="N2" s="47"/>
      <c r="O2" s="48"/>
      <c r="P2" s="49">
        <f>Таблица6[[#This Row],[Столбец11]]+Таблица6[[#This Row],[Столбец12]]</f>
        <v>0</v>
      </c>
      <c r="Q2" s="5"/>
      <c r="R2" s="6"/>
      <c r="S2" s="215">
        <f>Таблица6[[#This Row],[Столбец14]]+Таблица6[[#This Row],[Столбец15]]</f>
        <v>0</v>
      </c>
      <c r="T2" s="7">
        <f>Таблица6[[#This Row],[Столбец14]]-Таблица6[[#This Row],[Столбец11]]</f>
        <v>0</v>
      </c>
      <c r="U2" s="8" t="e">
        <f>Таблица6[[#This Row],[Столбец17]]/Таблица6[[#This Row],[Столбец11]]</f>
        <v>#DIV/0!</v>
      </c>
      <c r="V2" s="7">
        <f>Таблица6[[#This Row],[Столбец15]]-Таблица6[[#This Row],[Столбец12]]</f>
        <v>0</v>
      </c>
      <c r="W2" s="8" t="e">
        <f>Таблица6[[#This Row],[Столбец19]]/Таблица6[[#This Row],[Столбец12]]</f>
        <v>#DIV/0!</v>
      </c>
      <c r="X2" s="9">
        <f>Таблица6[[#This Row],[Столбец16]]-Таблица6[[#This Row],[Столбец13]]</f>
        <v>0</v>
      </c>
      <c r="Y2" s="10" t="e">
        <f>Таблица6[[#This Row],[Столбец21]]/Таблица6[[#This Row],[Столбец13]]</f>
        <v>#DIV/0!</v>
      </c>
    </row>
    <row r="3" spans="1:25" ht="16.5" outlineLevel="1" thickBot="1" x14ac:dyDescent="0.3">
      <c r="A3" s="33">
        <v>2</v>
      </c>
      <c r="B3" s="33"/>
      <c r="C3" s="33" t="str">
        <f>spisok!B3</f>
        <v>LADA VESTA GFL110</v>
      </c>
      <c r="D3" s="33" t="str">
        <f>spisok!C3</f>
        <v>Е833ОЕ15</v>
      </c>
      <c r="E3" s="33" t="str">
        <f>spisok!D3</f>
        <v>XTAGFL110LY378838</v>
      </c>
      <c r="F3" s="33">
        <f>spisok!G3</f>
        <v>237856</v>
      </c>
      <c r="G3" s="33">
        <f>spisok!F3</f>
        <v>2019</v>
      </c>
      <c r="H3" s="261">
        <f>spisok!H3</f>
        <v>46175</v>
      </c>
      <c r="I3" s="33" t="str">
        <f>spisok!E3</f>
        <v>104-61</v>
      </c>
      <c r="J3" s="33">
        <v>2</v>
      </c>
      <c r="K3" s="139" t="s">
        <v>32</v>
      </c>
      <c r="L3" s="33">
        <v>2</v>
      </c>
      <c r="M3" s="33"/>
      <c r="N3" s="47"/>
      <c r="O3" s="48"/>
      <c r="P3" s="49">
        <f>Таблица6[[#This Row],[Столбец11]]+Таблица6[[#This Row],[Столбец12]]</f>
        <v>0</v>
      </c>
      <c r="Q3" s="5"/>
      <c r="R3" s="6"/>
      <c r="S3" s="215"/>
      <c r="T3" s="7"/>
      <c r="U3" s="8"/>
      <c r="V3" s="7"/>
      <c r="W3" s="8"/>
      <c r="X3" s="9">
        <f>Таблица6[[#This Row],[Столбец16]]-Таблица6[[#This Row],[Столбец13]]</f>
        <v>0</v>
      </c>
      <c r="Y3" s="10" t="e">
        <f>Таблица6[[#This Row],[Столбец21]]/Таблица6[[#This Row],[Столбец13]]</f>
        <v>#DIV/0!</v>
      </c>
    </row>
    <row r="4" spans="1:25" ht="16.5" outlineLevel="1" thickBot="1" x14ac:dyDescent="0.3">
      <c r="A4" s="32">
        <v>3</v>
      </c>
      <c r="B4" s="32"/>
      <c r="C4" s="32" t="str">
        <f>spisok!B4</f>
        <v>ЕСАУЛ 394511-03</v>
      </c>
      <c r="D4" s="32" t="str">
        <f>spisok!C4</f>
        <v>В723УУ15</v>
      </c>
      <c r="E4" s="32" t="str">
        <f>spisok!D4</f>
        <v>X8939451CG0AK5370</v>
      </c>
      <c r="F4" s="32">
        <f>spisok!G4</f>
        <v>142626</v>
      </c>
      <c r="G4" s="32">
        <f>spisok!F4</f>
        <v>2016</v>
      </c>
      <c r="H4" s="138">
        <f>spisok!H4</f>
        <v>46175</v>
      </c>
      <c r="I4" s="32" t="str">
        <f>spisok!E4</f>
        <v>103-30</v>
      </c>
      <c r="J4" s="32">
        <v>3</v>
      </c>
      <c r="K4" s="138" t="str">
        <f>"00"&amp;TEXT($L4,"0")&amp;"-10"</f>
        <v>003-10</v>
      </c>
      <c r="L4" s="32">
        <v>3</v>
      </c>
      <c r="M4" s="32"/>
      <c r="N4" s="47"/>
      <c r="O4" s="48"/>
      <c r="P4" s="49">
        <f>Таблица6[[#This Row],[Столбец11]]+Таблица6[[#This Row],[Столбец12]]</f>
        <v>0</v>
      </c>
      <c r="Q4" s="5"/>
      <c r="R4" s="6"/>
      <c r="S4" s="215"/>
      <c r="T4" s="7"/>
      <c r="U4" s="8"/>
      <c r="V4" s="7"/>
      <c r="W4" s="8"/>
      <c r="X4" s="9">
        <f>Таблица6[[#This Row],[Столбец16]]-Таблица6[[#This Row],[Столбец13]]</f>
        <v>0</v>
      </c>
      <c r="Y4" s="10" t="e">
        <f>Таблица6[[#This Row],[Столбец21]]/Таблица6[[#This Row],[Столбец13]]</f>
        <v>#DIV/0!</v>
      </c>
    </row>
    <row r="5" spans="1:25" ht="16.5" outlineLevel="1" thickBot="1" x14ac:dyDescent="0.3">
      <c r="A5" s="33">
        <v>4</v>
      </c>
      <c r="B5" s="33"/>
      <c r="C5" s="33" t="str">
        <f>spisok!B5</f>
        <v>LADA VESTA GFL110</v>
      </c>
      <c r="D5" s="33" t="str">
        <f>spisok!C5</f>
        <v>Е378ОУ15</v>
      </c>
      <c r="E5" s="33" t="str">
        <f>spisok!D5</f>
        <v>XTAGFL110LY443715</v>
      </c>
      <c r="F5" s="33">
        <f>spisok!G5</f>
        <v>209733</v>
      </c>
      <c r="G5" s="33">
        <f>spisok!F5</f>
        <v>2020</v>
      </c>
      <c r="H5" s="261">
        <f>spisok!H5</f>
        <v>46176</v>
      </c>
      <c r="I5" s="33" t="str">
        <f>spisok!E5</f>
        <v>105-48</v>
      </c>
      <c r="J5" s="33">
        <v>4</v>
      </c>
      <c r="K5" s="139" t="str">
        <f t="shared" ref="K5:K68" si="0">"00"&amp;TEXT($L5,"0")&amp;"-10"</f>
        <v>004-10</v>
      </c>
      <c r="L5" s="33">
        <v>4</v>
      </c>
      <c r="M5" s="214"/>
      <c r="N5" s="47"/>
      <c r="O5" s="48"/>
      <c r="P5" s="49">
        <f>Таблица6[[#This Row],[Столбец11]]+Таблица6[[#This Row],[Столбец12]]</f>
        <v>0</v>
      </c>
      <c r="Q5" s="5"/>
      <c r="R5" s="6"/>
      <c r="S5" s="215"/>
      <c r="T5" s="7"/>
      <c r="U5" s="8"/>
      <c r="V5" s="7"/>
      <c r="W5" s="8"/>
      <c r="X5" s="9">
        <f>Таблица6[[#This Row],[Столбец16]]-Таблица6[[#This Row],[Столбец13]]</f>
        <v>0</v>
      </c>
      <c r="Y5" s="10" t="e">
        <f>Таблица6[[#This Row],[Столбец21]]/Таблица6[[#This Row],[Столбец13]]</f>
        <v>#DIV/0!</v>
      </c>
    </row>
    <row r="6" spans="1:25" ht="16.5" outlineLevel="1" thickBot="1" x14ac:dyDescent="0.3">
      <c r="A6" s="32">
        <v>5</v>
      </c>
      <c r="B6" s="32"/>
      <c r="C6" s="32" t="str">
        <f>spisok!B6</f>
        <v>ЕСАУЛ 394511-03</v>
      </c>
      <c r="D6" s="32" t="str">
        <f>spisok!C6</f>
        <v>Е506НТ15</v>
      </c>
      <c r="E6" s="32" t="str">
        <f>spisok!D6</f>
        <v>X8939451CK0AK5346</v>
      </c>
      <c r="F6" s="32">
        <f>spisok!G6</f>
        <v>138364</v>
      </c>
      <c r="G6" s="32">
        <f>spisok!F6</f>
        <v>2019</v>
      </c>
      <c r="H6" s="138">
        <f>spisok!H6</f>
        <v>46176</v>
      </c>
      <c r="I6" s="32" t="str">
        <f>spisok!E6</f>
        <v>104-91</v>
      </c>
      <c r="J6" s="32">
        <v>5</v>
      </c>
      <c r="K6" s="138" t="str">
        <f t="shared" si="0"/>
        <v>005-10</v>
      </c>
      <c r="L6" s="32">
        <v>5</v>
      </c>
      <c r="M6" s="32"/>
      <c r="N6" s="47"/>
      <c r="O6" s="48"/>
      <c r="P6" s="49">
        <f>Таблица6[[#This Row],[Столбец11]]+Таблица6[[#This Row],[Столбец12]]</f>
        <v>0</v>
      </c>
      <c r="Q6" s="5"/>
      <c r="R6" s="6"/>
      <c r="S6" s="215"/>
      <c r="T6" s="7"/>
      <c r="U6" s="8"/>
      <c r="V6" s="7"/>
      <c r="W6" s="8"/>
      <c r="X6" s="9">
        <f>Таблица6[[#This Row],[Столбец16]]-Таблица6[[#This Row],[Столбец13]]</f>
        <v>0</v>
      </c>
      <c r="Y6" s="10" t="e">
        <f>Таблица6[[#This Row],[Столбец21]]/Таблица6[[#This Row],[Столбец13]]</f>
        <v>#DIV/0!</v>
      </c>
    </row>
    <row r="7" spans="1:25" ht="16.5" outlineLevel="1" thickBot="1" x14ac:dyDescent="0.3">
      <c r="A7" s="33">
        <v>6</v>
      </c>
      <c r="B7" s="33"/>
      <c r="C7" s="33" t="str">
        <f>spisok!B7</f>
        <v>LADA VESTA GFL110</v>
      </c>
      <c r="D7" s="33" t="str">
        <f>spisok!C7</f>
        <v>В211ОХ15</v>
      </c>
      <c r="E7" s="33" t="str">
        <f>spisok!D7</f>
        <v>XTAGFL110JY197249</v>
      </c>
      <c r="F7" s="33">
        <f>spisok!G7</f>
        <v>320689</v>
      </c>
      <c r="G7" s="33">
        <f>spisok!F7</f>
        <v>2018</v>
      </c>
      <c r="H7" s="261">
        <f>spisok!H7</f>
        <v>46176</v>
      </c>
      <c r="I7" s="33" t="str">
        <f>spisok!E7</f>
        <v>103-75</v>
      </c>
      <c r="J7" s="33">
        <v>6</v>
      </c>
      <c r="K7" s="139" t="str">
        <f t="shared" si="0"/>
        <v>006-10</v>
      </c>
      <c r="L7" s="33">
        <v>6</v>
      </c>
      <c r="M7" s="33"/>
      <c r="N7" s="47"/>
      <c r="O7" s="48"/>
      <c r="P7" s="49">
        <f>Таблица6[[#This Row],[Столбец11]]+Таблица6[[#This Row],[Столбец12]]</f>
        <v>0</v>
      </c>
      <c r="Q7" s="5"/>
      <c r="R7" s="6"/>
      <c r="S7" s="215"/>
      <c r="T7" s="7"/>
      <c r="U7" s="8"/>
      <c r="V7" s="7"/>
      <c r="W7" s="8"/>
      <c r="X7" s="9">
        <f>Таблица6[[#This Row],[Столбец16]]-Таблица6[[#This Row],[Столбец13]]</f>
        <v>0</v>
      </c>
      <c r="Y7" s="10" t="e">
        <f>Таблица6[[#This Row],[Столбец21]]/Таблица6[[#This Row],[Столбец13]]</f>
        <v>#DIV/0!</v>
      </c>
    </row>
    <row r="8" spans="1:25" ht="16.5" outlineLevel="1" thickBot="1" x14ac:dyDescent="0.3">
      <c r="A8" s="32">
        <v>7</v>
      </c>
      <c r="B8" s="32"/>
      <c r="C8" s="32" t="str">
        <f>spisok!B8</f>
        <v>TOYOTA CAMRY ASV70L-RE</v>
      </c>
      <c r="D8" s="32" t="str">
        <f>spisok!C8</f>
        <v>Е778РА15</v>
      </c>
      <c r="E8" s="32" t="str">
        <f>spisok!D8</f>
        <v>XW7BF4HK905167068</v>
      </c>
      <c r="F8" s="32">
        <f>spisok!G8</f>
        <v>40010</v>
      </c>
      <c r="G8" s="32">
        <f>spisok!F8</f>
        <v>2020</v>
      </c>
      <c r="H8" s="138">
        <f>spisok!H8</f>
        <v>46176</v>
      </c>
      <c r="I8" s="32" t="str">
        <f>spisok!E8</f>
        <v>106-39</v>
      </c>
      <c r="J8" s="32">
        <v>7</v>
      </c>
      <c r="K8" s="138" t="str">
        <f t="shared" si="0"/>
        <v>007-10</v>
      </c>
      <c r="L8" s="32">
        <v>7</v>
      </c>
      <c r="M8" s="32"/>
      <c r="N8" s="47"/>
      <c r="O8" s="48"/>
      <c r="P8" s="49">
        <f>Таблица6[[#This Row],[Столбец11]]+Таблица6[[#This Row],[Столбец12]]</f>
        <v>0</v>
      </c>
      <c r="Q8" s="5"/>
      <c r="R8" s="6"/>
      <c r="S8" s="215"/>
      <c r="T8" s="7"/>
      <c r="U8" s="8"/>
      <c r="V8" s="7"/>
      <c r="W8" s="8"/>
      <c r="X8" s="9">
        <f>Таблица6[[#This Row],[Столбец16]]-Таблица6[[#This Row],[Столбец13]]</f>
        <v>0</v>
      </c>
      <c r="Y8" s="10" t="e">
        <f>Таблица6[[#This Row],[Столбец21]]/Таблица6[[#This Row],[Столбец13]]</f>
        <v>#DIV/0!</v>
      </c>
    </row>
    <row r="9" spans="1:25" ht="16.5" outlineLevel="1" thickBot="1" x14ac:dyDescent="0.3">
      <c r="A9" s="33">
        <v>8</v>
      </c>
      <c r="B9" s="33"/>
      <c r="C9" s="33" t="str">
        <f>spisok!B9</f>
        <v>ЛАДА ГРАНТА 219010</v>
      </c>
      <c r="D9" s="33" t="str">
        <f>spisok!C9</f>
        <v>А287АР126</v>
      </c>
      <c r="E9" s="33" t="str">
        <f>spisok!D9</f>
        <v>XTA219010E0256411</v>
      </c>
      <c r="F9" s="33">
        <f>spisok!G9</f>
        <v>356419</v>
      </c>
      <c r="G9" s="33">
        <f>spisok!F9</f>
        <v>2014</v>
      </c>
      <c r="H9" s="261">
        <f>spisok!H9</f>
        <v>46177</v>
      </c>
      <c r="I9" s="33" t="str">
        <f>spisok!E9</f>
        <v>106-34</v>
      </c>
      <c r="J9" s="33">
        <v>8</v>
      </c>
      <c r="K9" s="139" t="str">
        <f t="shared" si="0"/>
        <v>008-10</v>
      </c>
      <c r="L9" s="33">
        <v>8</v>
      </c>
      <c r="M9" s="33"/>
      <c r="N9" s="47"/>
      <c r="O9" s="48"/>
      <c r="P9" s="49">
        <f>Таблица6[[#This Row],[Столбец11]]+Таблица6[[#This Row],[Столбец12]]</f>
        <v>0</v>
      </c>
      <c r="Q9" s="5"/>
      <c r="R9" s="6"/>
      <c r="S9" s="215"/>
      <c r="T9" s="7"/>
      <c r="U9" s="8"/>
      <c r="V9" s="7"/>
      <c r="W9" s="8"/>
      <c r="X9" s="9">
        <f>Таблица6[[#This Row],[Столбец16]]-Таблица6[[#This Row],[Столбец13]]</f>
        <v>0</v>
      </c>
      <c r="Y9" s="10" t="e">
        <f>Таблица6[[#This Row],[Столбец21]]/Таблица6[[#This Row],[Столбец13]]</f>
        <v>#DIV/0!</v>
      </c>
    </row>
    <row r="10" spans="1:25" ht="16.5" outlineLevel="1" thickBot="1" x14ac:dyDescent="0.3">
      <c r="A10" s="32">
        <v>9</v>
      </c>
      <c r="B10" s="32"/>
      <c r="C10" s="32" t="str">
        <f>spisok!B10</f>
        <v>LADA 4x4 213100</v>
      </c>
      <c r="D10" s="32" t="str">
        <f>spisok!C10</f>
        <v>О 0708/15</v>
      </c>
      <c r="E10" s="32" t="str">
        <f>spisok!D10</f>
        <v>XTA213100L0213886</v>
      </c>
      <c r="F10" s="32">
        <f>spisok!G10</f>
        <v>126256</v>
      </c>
      <c r="G10" s="32">
        <f>spisok!F10</f>
        <v>2019</v>
      </c>
      <c r="H10" s="138">
        <f>spisok!H10</f>
        <v>46177</v>
      </c>
      <c r="I10" s="32" t="str">
        <f>spisok!E10</f>
        <v>104-90</v>
      </c>
      <c r="J10" s="32">
        <v>9</v>
      </c>
      <c r="K10" s="138" t="str">
        <f t="shared" si="0"/>
        <v>009-10</v>
      </c>
      <c r="L10" s="32">
        <v>9</v>
      </c>
      <c r="M10" s="32"/>
      <c r="N10" s="47"/>
      <c r="O10" s="48"/>
      <c r="P10" s="49">
        <f>Таблица6[[#This Row],[Столбец11]]+Таблица6[[#This Row],[Столбец12]]</f>
        <v>0</v>
      </c>
      <c r="Q10" s="5"/>
      <c r="R10" s="6"/>
      <c r="S10" s="215"/>
      <c r="T10" s="7"/>
      <c r="U10" s="8"/>
      <c r="V10" s="7"/>
      <c r="W10" s="8"/>
      <c r="X10" s="9">
        <f>Таблица6[[#This Row],[Столбец16]]-Таблица6[[#This Row],[Столбец13]]</f>
        <v>0</v>
      </c>
      <c r="Y10" s="10" t="e">
        <f>Таблица6[[#This Row],[Столбец21]]/Таблица6[[#This Row],[Столбец13]]</f>
        <v>#DIV/0!</v>
      </c>
    </row>
    <row r="11" spans="1:25" ht="16.5" outlineLevel="1" thickBot="1" x14ac:dyDescent="0.3">
      <c r="A11" s="33">
        <v>10</v>
      </c>
      <c r="B11" s="33"/>
      <c r="C11" s="33" t="str">
        <f>spisok!B11</f>
        <v>LADA PRIORA 217050</v>
      </c>
      <c r="D11" s="33" t="str">
        <f>spisok!C11</f>
        <v>Т158АЕ15</v>
      </c>
      <c r="E11" s="33" t="str">
        <f>spisok!D11</f>
        <v>XTA217050G0529350</v>
      </c>
      <c r="F11" s="33">
        <f>spisok!G11</f>
        <v>275410</v>
      </c>
      <c r="G11" s="33">
        <f>spisok!F11</f>
        <v>2015</v>
      </c>
      <c r="H11" s="261">
        <f>spisok!H11</f>
        <v>46177</v>
      </c>
      <c r="I11" s="33" t="str">
        <f>spisok!E11</f>
        <v>102-89</v>
      </c>
      <c r="J11" s="33">
        <v>10</v>
      </c>
      <c r="K11" s="139" t="str">
        <f t="shared" si="0"/>
        <v>0010-10</v>
      </c>
      <c r="L11" s="33">
        <v>10</v>
      </c>
      <c r="M11" s="33"/>
      <c r="N11" s="47"/>
      <c r="O11" s="48"/>
      <c r="P11" s="49">
        <f>Таблица6[[#This Row],[Столбец11]]+Таблица6[[#This Row],[Столбец12]]</f>
        <v>0</v>
      </c>
      <c r="Q11" s="5"/>
      <c r="R11" s="6"/>
      <c r="S11" s="215"/>
      <c r="T11" s="7"/>
      <c r="U11" s="8"/>
      <c r="V11" s="7"/>
      <c r="W11" s="8"/>
      <c r="X11" s="9">
        <f>Таблица6[[#This Row],[Столбец16]]-Таблица6[[#This Row],[Столбец13]]</f>
        <v>0</v>
      </c>
      <c r="Y11" s="10" t="e">
        <f>Таблица6[[#This Row],[Столбец21]]/Таблица6[[#This Row],[Столбец13]]</f>
        <v>#DIV/0!</v>
      </c>
    </row>
    <row r="12" spans="1:25" ht="16.5" outlineLevel="1" thickBot="1" x14ac:dyDescent="0.3">
      <c r="A12" s="32">
        <v>11</v>
      </c>
      <c r="B12" s="32"/>
      <c r="C12" s="32" t="str">
        <f>spisok!B12</f>
        <v>ТОЙОТА КАМРИ</v>
      </c>
      <c r="D12" s="32" t="str">
        <f>spisok!C12</f>
        <v>Е898НТ15</v>
      </c>
      <c r="E12" s="32" t="str">
        <f>spisok!D12</f>
        <v>XW7BF4FK10S155841</v>
      </c>
      <c r="F12" s="32">
        <f>spisok!G12</f>
        <v>176666</v>
      </c>
      <c r="G12" s="32">
        <f>spisok!F12</f>
        <v>2017</v>
      </c>
      <c r="H12" s="138">
        <f>spisok!H12</f>
        <v>46177</v>
      </c>
      <c r="I12" s="32" t="str">
        <f>spisok!E12</f>
        <v>103-69</v>
      </c>
      <c r="J12" s="32">
        <v>11</v>
      </c>
      <c r="K12" s="138" t="str">
        <f t="shared" si="0"/>
        <v>0011-10</v>
      </c>
      <c r="L12" s="32">
        <v>11</v>
      </c>
      <c r="M12" s="32"/>
      <c r="N12" s="47"/>
      <c r="O12" s="48"/>
      <c r="P12" s="49">
        <f>Таблица6[[#This Row],[Столбец11]]+Таблица6[[#This Row],[Столбец12]]</f>
        <v>0</v>
      </c>
      <c r="Q12" s="5"/>
      <c r="R12" s="6"/>
      <c r="S12" s="215"/>
      <c r="T12" s="7"/>
      <c r="U12" s="8"/>
      <c r="V12" s="7"/>
      <c r="W12" s="8"/>
      <c r="X12" s="9">
        <f>Таблица6[[#This Row],[Столбец16]]-Таблица6[[#This Row],[Столбец13]]</f>
        <v>0</v>
      </c>
      <c r="Y12" s="10" t="e">
        <f>Таблица6[[#This Row],[Столбец21]]/Таблица6[[#This Row],[Столбец13]]</f>
        <v>#DIV/0!</v>
      </c>
    </row>
    <row r="13" spans="1:25" ht="16.5" outlineLevel="1" thickBot="1" x14ac:dyDescent="0.3">
      <c r="A13" s="33">
        <v>12</v>
      </c>
      <c r="B13" s="33"/>
      <c r="C13" s="33" t="str">
        <f>spisok!B13</f>
        <v>УАЗ 396221 3163</v>
      </c>
      <c r="D13" s="33" t="str">
        <f>spisok!C13</f>
        <v>Е312РА15</v>
      </c>
      <c r="E13" s="33" t="str">
        <f>spisok!D13</f>
        <v>XTT316300M1002503</v>
      </c>
      <c r="F13" s="33">
        <f>spisok!G13</f>
        <v>108974</v>
      </c>
      <c r="G13" s="33">
        <f>spisok!F13</f>
        <v>2020</v>
      </c>
      <c r="H13" s="261">
        <f>spisok!H13</f>
        <v>46178</v>
      </c>
      <c r="I13" s="33" t="str">
        <f>spisok!E13</f>
        <v>105-57</v>
      </c>
      <c r="J13" s="33">
        <v>12</v>
      </c>
      <c r="K13" s="139" t="str">
        <f t="shared" si="0"/>
        <v>0012-10</v>
      </c>
      <c r="L13" s="33">
        <v>12</v>
      </c>
      <c r="M13" s="33"/>
      <c r="N13" s="47"/>
      <c r="O13" s="48"/>
      <c r="P13" s="49">
        <f>Таблица6[[#This Row],[Столбец11]]+Таблица6[[#This Row],[Столбец12]]</f>
        <v>0</v>
      </c>
      <c r="Q13" s="5"/>
      <c r="R13" s="6"/>
      <c r="S13" s="215"/>
      <c r="T13" s="7"/>
      <c r="U13" s="8"/>
      <c r="V13" s="7"/>
      <c r="W13" s="8"/>
      <c r="X13" s="9">
        <f>Таблица6[[#This Row],[Столбец16]]-Таблица6[[#This Row],[Столбец13]]</f>
        <v>0</v>
      </c>
      <c r="Y13" s="10" t="e">
        <f>Таблица6[[#This Row],[Столбец21]]/Таблица6[[#This Row],[Столбец13]]</f>
        <v>#DIV/0!</v>
      </c>
    </row>
    <row r="14" spans="1:25" ht="16.5" outlineLevel="1" thickBot="1" x14ac:dyDescent="0.3">
      <c r="A14" s="32">
        <v>13</v>
      </c>
      <c r="B14" s="32"/>
      <c r="C14" s="32" t="str">
        <f>spisok!B14</f>
        <v>ЕСАУЛ 394511-03</v>
      </c>
      <c r="D14" s="32" t="str">
        <f>spisok!C14</f>
        <v>Е368НТ15</v>
      </c>
      <c r="E14" s="32" t="str">
        <f>spisok!D14</f>
        <v>X8939451CK0AK5323</v>
      </c>
      <c r="F14" s="32">
        <f>spisok!G14</f>
        <v>138585</v>
      </c>
      <c r="G14" s="32">
        <f>spisok!F14</f>
        <v>2019</v>
      </c>
      <c r="H14" s="138">
        <f>spisok!H14</f>
        <v>46178</v>
      </c>
      <c r="I14" s="32" t="str">
        <f>spisok!E14</f>
        <v>104-95</v>
      </c>
      <c r="J14" s="32">
        <v>13</v>
      </c>
      <c r="K14" s="138" t="str">
        <f t="shared" si="0"/>
        <v>0013-10</v>
      </c>
      <c r="L14" s="32">
        <v>13</v>
      </c>
      <c r="M14" s="32"/>
      <c r="N14" s="47"/>
      <c r="O14" s="48"/>
      <c r="P14" s="49">
        <f>Таблица6[[#This Row],[Столбец11]]+Таблица6[[#This Row],[Столбец12]]</f>
        <v>0</v>
      </c>
      <c r="Q14" s="5"/>
      <c r="R14" s="6"/>
      <c r="S14" s="215"/>
      <c r="T14" s="7"/>
      <c r="U14" s="8"/>
      <c r="V14" s="7"/>
      <c r="W14" s="8"/>
      <c r="X14" s="9">
        <f>Таблица6[[#This Row],[Столбец16]]-Таблица6[[#This Row],[Столбец13]]</f>
        <v>0</v>
      </c>
      <c r="Y14" s="10" t="e">
        <f>Таблица6[[#This Row],[Столбец21]]/Таблица6[[#This Row],[Столбец13]]</f>
        <v>#DIV/0!</v>
      </c>
    </row>
    <row r="15" spans="1:25" ht="16.5" outlineLevel="1" thickBot="1" x14ac:dyDescent="0.3">
      <c r="A15" s="33">
        <v>14</v>
      </c>
      <c r="B15" s="33"/>
      <c r="C15" s="33" t="str">
        <f>spisok!B15</f>
        <v>ЕСАУЛ 394511-03</v>
      </c>
      <c r="D15" s="33" t="str">
        <f>spisok!C15</f>
        <v>Е546НТ15</v>
      </c>
      <c r="E15" s="33" t="str">
        <f>spisok!D15</f>
        <v>X8939451CK0AK5318</v>
      </c>
      <c r="F15" s="33">
        <f>spisok!G15</f>
        <v>132853</v>
      </c>
      <c r="G15" s="33">
        <f>spisok!F15</f>
        <v>2019</v>
      </c>
      <c r="H15" s="261">
        <f>spisok!H15</f>
        <v>46178</v>
      </c>
      <c r="I15" s="33" t="str">
        <f>spisok!E15</f>
        <v>104-96</v>
      </c>
      <c r="J15" s="33">
        <v>14</v>
      </c>
      <c r="K15" s="139" t="str">
        <f t="shared" si="0"/>
        <v>0014-10</v>
      </c>
      <c r="L15" s="33">
        <v>14</v>
      </c>
      <c r="M15" s="33"/>
      <c r="N15" s="47"/>
      <c r="O15" s="48"/>
      <c r="P15" s="49">
        <f>Таблица6[[#This Row],[Столбец11]]+Таблица6[[#This Row],[Столбец12]]</f>
        <v>0</v>
      </c>
      <c r="Q15" s="5"/>
      <c r="R15" s="6"/>
      <c r="S15" s="215"/>
      <c r="T15" s="7"/>
      <c r="U15" s="8"/>
      <c r="V15" s="7"/>
      <c r="W15" s="8"/>
      <c r="X15" s="9">
        <f>Таблица6[[#This Row],[Столбец16]]-Таблица6[[#This Row],[Столбец13]]</f>
        <v>0</v>
      </c>
      <c r="Y15" s="10" t="e">
        <f>Таблица6[[#This Row],[Столбец21]]/Таблица6[[#This Row],[Столбец13]]</f>
        <v>#DIV/0!</v>
      </c>
    </row>
    <row r="16" spans="1:25" ht="16.5" outlineLevel="1" thickBot="1" x14ac:dyDescent="0.3">
      <c r="A16" s="32">
        <v>15</v>
      </c>
      <c r="B16" s="32"/>
      <c r="C16" s="32" t="str">
        <f>spisok!B16</f>
        <v>ГАЗ 27322Е</v>
      </c>
      <c r="D16" s="32" t="str">
        <f>spisok!C16</f>
        <v>О0775/15</v>
      </c>
      <c r="E16" s="32" t="str">
        <f>spisok!D16</f>
        <v>XUY27322EL0000276</v>
      </c>
      <c r="F16" s="32">
        <f>spisok!G16</f>
        <v>159663</v>
      </c>
      <c r="G16" s="32">
        <f>spisok!F16</f>
        <v>2020</v>
      </c>
      <c r="H16" s="138">
        <f>spisok!H16</f>
        <v>46178</v>
      </c>
      <c r="I16" s="32" t="str">
        <f>spisok!E16</f>
        <v>105-62</v>
      </c>
      <c r="J16" s="32">
        <v>15</v>
      </c>
      <c r="K16" s="138" t="str">
        <f t="shared" si="0"/>
        <v>0015-10</v>
      </c>
      <c r="L16" s="32">
        <v>15</v>
      </c>
      <c r="M16" s="32"/>
      <c r="N16" s="47"/>
      <c r="O16" s="48"/>
      <c r="P16" s="49">
        <f>Таблица6[[#This Row],[Столбец11]]+Таблица6[[#This Row],[Столбец12]]</f>
        <v>0</v>
      </c>
      <c r="Q16" s="5"/>
      <c r="R16" s="6"/>
      <c r="S16" s="215"/>
      <c r="T16" s="7"/>
      <c r="U16" s="8"/>
      <c r="V16" s="7"/>
      <c r="W16" s="8"/>
      <c r="X16" s="9">
        <f>Таблица6[[#This Row],[Столбец16]]-Таблица6[[#This Row],[Столбец13]]</f>
        <v>0</v>
      </c>
      <c r="Y16" s="10" t="e">
        <f>Таблица6[[#This Row],[Столбец21]]/Таблица6[[#This Row],[Столбец13]]</f>
        <v>#DIV/0!</v>
      </c>
    </row>
    <row r="17" spans="1:25" ht="16.5" outlineLevel="1" thickBot="1" x14ac:dyDescent="0.3">
      <c r="A17" s="33">
        <v>16</v>
      </c>
      <c r="B17" s="33"/>
      <c r="C17" s="33" t="str">
        <f>spisok!B17</f>
        <v>ГАЗ 38406L</v>
      </c>
      <c r="D17" s="33" t="str">
        <f>spisok!C17</f>
        <v>М0629/15</v>
      </c>
      <c r="E17" s="33" t="str">
        <f>spisok!D17</f>
        <v>Z8X38406LD0000147</v>
      </c>
      <c r="F17" s="33">
        <f>spisok!G17</f>
        <v>201139</v>
      </c>
      <c r="G17" s="33">
        <f>spisok!F17</f>
        <v>2013</v>
      </c>
      <c r="H17" s="261">
        <f>spisok!H17</f>
        <v>46179</v>
      </c>
      <c r="I17" s="33" t="str">
        <f>spisok!E17</f>
        <v>100-68</v>
      </c>
      <c r="J17" s="33">
        <v>16</v>
      </c>
      <c r="K17" s="139" t="str">
        <f t="shared" si="0"/>
        <v>0016-10</v>
      </c>
      <c r="L17" s="33">
        <v>16</v>
      </c>
      <c r="M17" s="33"/>
      <c r="N17" s="47"/>
      <c r="O17" s="48"/>
      <c r="P17" s="49">
        <f>Таблица6[[#This Row],[Столбец11]]+Таблица6[[#This Row],[Столбец12]]</f>
        <v>0</v>
      </c>
      <c r="Q17" s="5"/>
      <c r="R17" s="6"/>
      <c r="S17" s="215"/>
      <c r="T17" s="7"/>
      <c r="U17" s="8"/>
      <c r="V17" s="7"/>
      <c r="W17" s="8"/>
      <c r="X17" s="9">
        <f>Таблица6[[#This Row],[Столбец16]]-Таблица6[[#This Row],[Столбец13]]</f>
        <v>0</v>
      </c>
      <c r="Y17" s="10" t="e">
        <f>Таблица6[[#This Row],[Столбец21]]/Таблица6[[#This Row],[Столбец13]]</f>
        <v>#DIV/0!</v>
      </c>
    </row>
    <row r="18" spans="1:25" ht="16.5" outlineLevel="1" thickBot="1" x14ac:dyDescent="0.3">
      <c r="A18" s="32">
        <v>17</v>
      </c>
      <c r="B18" s="32"/>
      <c r="C18" s="32" t="str">
        <f>spisok!B18</f>
        <v>LADA GRANTA 219010</v>
      </c>
      <c r="D18" s="32" t="str">
        <f>spisok!C18</f>
        <v>А722НА15</v>
      </c>
      <c r="E18" s="32" t="str">
        <f>spisok!D18</f>
        <v>XTA219010M0770129</v>
      </c>
      <c r="F18" s="32">
        <f>spisok!G18</f>
        <v>192073</v>
      </c>
      <c r="G18" s="32">
        <f>spisok!F18</f>
        <v>2021</v>
      </c>
      <c r="H18" s="138">
        <f>spisok!H18</f>
        <v>46179</v>
      </c>
      <c r="I18" s="32" t="str">
        <f>spisok!E18</f>
        <v>105-89</v>
      </c>
      <c r="J18" s="32">
        <v>17</v>
      </c>
      <c r="K18" s="138" t="str">
        <f t="shared" si="0"/>
        <v>0017-10</v>
      </c>
      <c r="L18" s="32">
        <v>17</v>
      </c>
      <c r="M18" s="32"/>
      <c r="N18" s="47"/>
      <c r="O18" s="48"/>
      <c r="P18" s="49">
        <f>Таблица6[[#This Row],[Столбец11]]+Таблица6[[#This Row],[Столбец12]]</f>
        <v>0</v>
      </c>
      <c r="Q18" s="5"/>
      <c r="R18" s="6"/>
      <c r="S18" s="215"/>
      <c r="T18" s="7"/>
      <c r="U18" s="8"/>
      <c r="V18" s="7"/>
      <c r="W18" s="8"/>
      <c r="X18" s="9">
        <f>Таблица6[[#This Row],[Столбец16]]-Таблица6[[#This Row],[Столбец13]]</f>
        <v>0</v>
      </c>
      <c r="Y18" s="10" t="e">
        <f>Таблица6[[#This Row],[Столбец21]]/Таблица6[[#This Row],[Столбец13]]</f>
        <v>#DIV/0!</v>
      </c>
    </row>
    <row r="19" spans="1:25" ht="16.5" outlineLevel="1" thickBot="1" x14ac:dyDescent="0.3">
      <c r="A19" s="33">
        <v>18</v>
      </c>
      <c r="B19" s="33"/>
      <c r="C19" s="33" t="str">
        <f>spisok!B19</f>
        <v>HAVAL F7 CC6475UM09C</v>
      </c>
      <c r="D19" s="33" t="str">
        <f>spisok!C19</f>
        <v>Е985ЕН15</v>
      </c>
      <c r="E19" s="33" t="str">
        <f>spisok!D19</f>
        <v>XZGEF04A4PA351278</v>
      </c>
      <c r="F19" s="33">
        <f>spisok!G19</f>
        <v>22625</v>
      </c>
      <c r="G19" s="33">
        <f>spisok!F19</f>
        <v>2023</v>
      </c>
      <c r="H19" s="261">
        <f>spisok!H19</f>
        <v>46179</v>
      </c>
      <c r="I19" s="33" t="str">
        <f>spisok!E19</f>
        <v>106-74</v>
      </c>
      <c r="J19" s="33">
        <v>18</v>
      </c>
      <c r="K19" s="139" t="str">
        <f t="shared" si="0"/>
        <v>0018-10</v>
      </c>
      <c r="L19" s="33">
        <v>18</v>
      </c>
      <c r="M19" s="33"/>
      <c r="N19" s="47"/>
      <c r="O19" s="48"/>
      <c r="P19" s="49">
        <f>Таблица6[[#This Row],[Столбец11]]+Таблица6[[#This Row],[Столбец12]]</f>
        <v>0</v>
      </c>
      <c r="Q19" s="5"/>
      <c r="R19" s="6"/>
      <c r="S19" s="215"/>
      <c r="T19" s="7"/>
      <c r="U19" s="8"/>
      <c r="V19" s="7"/>
      <c r="W19" s="8"/>
      <c r="X19" s="9">
        <f>Таблица6[[#This Row],[Столбец16]]-Таблица6[[#This Row],[Столбец13]]</f>
        <v>0</v>
      </c>
      <c r="Y19" s="10" t="e">
        <f>Таблица6[[#This Row],[Столбец21]]/Таблица6[[#This Row],[Столбец13]]</f>
        <v>#DIV/0!</v>
      </c>
    </row>
    <row r="20" spans="1:25" ht="16.5" outlineLevel="1" thickBot="1" x14ac:dyDescent="0.3">
      <c r="A20" s="32">
        <v>19</v>
      </c>
      <c r="B20" s="32"/>
      <c r="C20" s="32" t="str">
        <f>spisok!B20</f>
        <v>LADA VESTA GFL110</v>
      </c>
      <c r="D20" s="32" t="str">
        <f>spisok!C20</f>
        <v>Е154РА15</v>
      </c>
      <c r="E20" s="32" t="str">
        <f>spisok!D20</f>
        <v>XTAGFL110LY443716</v>
      </c>
      <c r="F20" s="32">
        <f>spisok!G20</f>
        <v>162007</v>
      </c>
      <c r="G20" s="32">
        <f>spisok!F20</f>
        <v>2020</v>
      </c>
      <c r="H20" s="138">
        <f>spisok!H20</f>
        <v>46179</v>
      </c>
      <c r="I20" s="32" t="str">
        <f>spisok!E20</f>
        <v>105-53</v>
      </c>
      <c r="J20" s="32">
        <v>19</v>
      </c>
      <c r="K20" s="138" t="str">
        <f t="shared" si="0"/>
        <v>0019-10</v>
      </c>
      <c r="L20" s="32">
        <v>19</v>
      </c>
      <c r="M20" s="32"/>
      <c r="N20" s="47"/>
      <c r="O20" s="48"/>
      <c r="P20" s="49">
        <f>Таблица6[[#This Row],[Столбец11]]+Таблица6[[#This Row],[Столбец12]]</f>
        <v>0</v>
      </c>
      <c r="Q20" s="5"/>
      <c r="R20" s="6"/>
      <c r="S20" s="215"/>
      <c r="T20" s="7"/>
      <c r="U20" s="8"/>
      <c r="V20" s="7"/>
      <c r="W20" s="8"/>
      <c r="X20" s="9">
        <f>Таблица6[[#This Row],[Столбец16]]-Таблица6[[#This Row],[Столбец13]]</f>
        <v>0</v>
      </c>
      <c r="Y20" s="10" t="e">
        <f>Таблица6[[#This Row],[Столбец21]]/Таблица6[[#This Row],[Столбец13]]</f>
        <v>#DIV/0!</v>
      </c>
    </row>
    <row r="21" spans="1:25" ht="16.5" outlineLevel="1" thickBot="1" x14ac:dyDescent="0.3">
      <c r="A21" s="33">
        <v>20</v>
      </c>
      <c r="B21" s="33"/>
      <c r="C21" s="33" t="str">
        <f>spisok!B21</f>
        <v>ГАЗ 2705</v>
      </c>
      <c r="D21" s="33" t="str">
        <f>spisok!C21</f>
        <v>В645ОТ15</v>
      </c>
      <c r="E21" s="33" t="str">
        <f>spisok!D21</f>
        <v>X96270500H0824002</v>
      </c>
      <c r="F21" s="33">
        <f>spisok!G21</f>
        <v>137401</v>
      </c>
      <c r="G21" s="33">
        <f>spisok!F21</f>
        <v>2016</v>
      </c>
      <c r="H21" s="261">
        <f>spisok!H21</f>
        <v>46181</v>
      </c>
      <c r="I21" s="33" t="str">
        <f>spisok!E21</f>
        <v>103-68</v>
      </c>
      <c r="J21" s="33">
        <v>20</v>
      </c>
      <c r="K21" s="139" t="str">
        <f t="shared" si="0"/>
        <v>0020-10</v>
      </c>
      <c r="L21" s="33">
        <v>20</v>
      </c>
      <c r="M21" s="33"/>
      <c r="N21" s="47"/>
      <c r="O21" s="48"/>
      <c r="P21" s="49">
        <f>Таблица6[[#This Row],[Столбец11]]+Таблица6[[#This Row],[Столбец12]]</f>
        <v>0</v>
      </c>
      <c r="Q21" s="5"/>
      <c r="R21" s="6"/>
      <c r="S21" s="215"/>
      <c r="T21" s="7"/>
      <c r="U21" s="8"/>
      <c r="V21" s="7"/>
      <c r="W21" s="8"/>
      <c r="X21" s="9">
        <f>Таблица6[[#This Row],[Столбец16]]-Таблица6[[#This Row],[Столбец13]]</f>
        <v>0</v>
      </c>
      <c r="Y21" s="10" t="e">
        <f>Таблица6[[#This Row],[Столбец21]]/Таблица6[[#This Row],[Столбец13]]</f>
        <v>#DIV/0!</v>
      </c>
    </row>
    <row r="22" spans="1:25" ht="16.5" outlineLevel="1" thickBot="1" x14ac:dyDescent="0.3">
      <c r="A22" s="32">
        <v>21</v>
      </c>
      <c r="B22" s="32"/>
      <c r="C22" s="32" t="str">
        <f>spisok!B22</f>
        <v>TOYOTA CAMRY GSV70L-REZ</v>
      </c>
      <c r="D22" s="32" t="str">
        <f>spisok!C22</f>
        <v>Е301ОУ15</v>
      </c>
      <c r="E22" s="32" t="str">
        <f>spisok!D22</f>
        <v>XW7BZYHK50S111563</v>
      </c>
      <c r="F22" s="32">
        <f>spisok!G22</f>
        <v>35665</v>
      </c>
      <c r="G22" s="32">
        <f>spisok!F22</f>
        <v>2020</v>
      </c>
      <c r="H22" s="138">
        <f>spisok!H22</f>
        <v>46181</v>
      </c>
      <c r="I22" s="32" t="str">
        <f>spisok!E22</f>
        <v>105-43</v>
      </c>
      <c r="J22" s="32">
        <v>21</v>
      </c>
      <c r="K22" s="138" t="str">
        <f t="shared" si="0"/>
        <v>0021-10</v>
      </c>
      <c r="L22" s="32">
        <v>21</v>
      </c>
      <c r="M22" s="32"/>
      <c r="N22" s="47"/>
      <c r="O22" s="48"/>
      <c r="P22" s="49">
        <f>Таблица6[[#This Row],[Столбец11]]+Таблица6[[#This Row],[Столбец12]]</f>
        <v>0</v>
      </c>
      <c r="Q22" s="5"/>
      <c r="R22" s="6"/>
      <c r="S22" s="215"/>
      <c r="T22" s="7"/>
      <c r="U22" s="8"/>
      <c r="V22" s="7"/>
      <c r="W22" s="8"/>
      <c r="X22" s="9">
        <f>Таблица6[[#This Row],[Столбец16]]-Таблица6[[#This Row],[Столбец13]]</f>
        <v>0</v>
      </c>
      <c r="Y22" s="10" t="e">
        <f>Таблица6[[#This Row],[Столбец21]]/Таблица6[[#This Row],[Столбец13]]</f>
        <v>#DIV/0!</v>
      </c>
    </row>
    <row r="23" spans="1:25" ht="16.5" outlineLevel="1" thickBot="1" x14ac:dyDescent="0.3">
      <c r="A23" s="33">
        <v>22</v>
      </c>
      <c r="B23" s="33"/>
      <c r="C23" s="33" t="str">
        <f>spisok!B23</f>
        <v>РЕНО ДАСТЕР</v>
      </c>
      <c r="D23" s="33" t="str">
        <f>spisok!C23</f>
        <v>В391ОХ15</v>
      </c>
      <c r="E23" s="33" t="str">
        <f>spisok!D23</f>
        <v>X7LHSRHGN59704684</v>
      </c>
      <c r="F23" s="33">
        <f>spisok!G23</f>
        <v>142653</v>
      </c>
      <c r="G23" s="33">
        <f>spisok!F23</f>
        <v>2018</v>
      </c>
      <c r="H23" s="261">
        <f>spisok!H23</f>
        <v>46182</v>
      </c>
      <c r="I23" s="33" t="str">
        <f>spisok!E23</f>
        <v>103-79</v>
      </c>
      <c r="J23" s="33">
        <v>22</v>
      </c>
      <c r="K23" s="139" t="str">
        <f t="shared" si="0"/>
        <v>0022-10</v>
      </c>
      <c r="L23" s="33">
        <v>22</v>
      </c>
      <c r="M23" s="33"/>
      <c r="N23" s="47"/>
      <c r="O23" s="48"/>
      <c r="P23" s="49">
        <f>Таблица6[[#This Row],[Столбец11]]+Таблица6[[#This Row],[Столбец12]]</f>
        <v>0</v>
      </c>
      <c r="Q23" s="5"/>
      <c r="R23" s="6"/>
      <c r="S23" s="215"/>
      <c r="T23" s="7"/>
      <c r="U23" s="8"/>
      <c r="V23" s="7"/>
      <c r="W23" s="8"/>
      <c r="X23" s="9">
        <f>Таблица6[[#This Row],[Столбец16]]-Таблица6[[#This Row],[Столбец13]]</f>
        <v>0</v>
      </c>
      <c r="Y23" s="10" t="e">
        <f>Таблица6[[#This Row],[Столбец21]]/Таблица6[[#This Row],[Столбец13]]</f>
        <v>#DIV/0!</v>
      </c>
    </row>
    <row r="24" spans="1:25" ht="16.5" outlineLevel="1" thickBot="1" x14ac:dyDescent="0.3">
      <c r="A24" s="32">
        <v>23</v>
      </c>
      <c r="B24" s="32"/>
      <c r="C24" s="32" t="str">
        <f>spisok!B24</f>
        <v>ФОРД EXPLORER</v>
      </c>
      <c r="D24" s="32" t="str">
        <f>spisok!C24</f>
        <v>Е409РС15</v>
      </c>
      <c r="E24" s="32" t="str">
        <f>spisok!D24</f>
        <v>Z6FBXXESWBES15416</v>
      </c>
      <c r="F24" s="32">
        <f>spisok!G24</f>
        <v>344213</v>
      </c>
      <c r="G24" s="32">
        <f>spisok!F24</f>
        <v>2014</v>
      </c>
      <c r="H24" s="138">
        <f>spisok!H24</f>
        <v>46182</v>
      </c>
      <c r="I24" s="32" t="str">
        <f>spisok!E24</f>
        <v>101-31</v>
      </c>
      <c r="J24" s="32">
        <v>23</v>
      </c>
      <c r="K24" s="138" t="str">
        <f t="shared" si="0"/>
        <v>0023-10</v>
      </c>
      <c r="L24" s="32">
        <v>23</v>
      </c>
      <c r="M24" s="32"/>
      <c r="N24" s="47"/>
      <c r="O24" s="48"/>
      <c r="P24" s="49">
        <f>Таблица6[[#This Row],[Столбец11]]+Таблица6[[#This Row],[Столбец12]]</f>
        <v>0</v>
      </c>
      <c r="Q24" s="5"/>
      <c r="R24" s="6"/>
      <c r="S24" s="215"/>
      <c r="T24" s="7"/>
      <c r="U24" s="8"/>
      <c r="V24" s="7"/>
      <c r="W24" s="8"/>
      <c r="X24" s="9">
        <f>Таблица6[[#This Row],[Столбец16]]-Таблица6[[#This Row],[Столбец13]]</f>
        <v>0</v>
      </c>
      <c r="Y24" s="10" t="e">
        <f>Таблица6[[#This Row],[Столбец21]]/Таблица6[[#This Row],[Столбец13]]</f>
        <v>#DIV/0!</v>
      </c>
    </row>
    <row r="25" spans="1:25" ht="16.5" outlineLevel="1" thickBot="1" x14ac:dyDescent="0.3">
      <c r="A25" s="33">
        <v>24</v>
      </c>
      <c r="B25" s="33"/>
      <c r="C25" s="33" t="str">
        <f>spisok!B25</f>
        <v>ЛАДА 213100</v>
      </c>
      <c r="D25" s="33" t="str">
        <f>spisok!C25</f>
        <v>А678ХМ126</v>
      </c>
      <c r="E25" s="33" t="str">
        <f>spisok!D25</f>
        <v>XTA213100F0171867</v>
      </c>
      <c r="F25" s="33">
        <f>spisok!G25</f>
        <v>242508</v>
      </c>
      <c r="G25" s="33">
        <f>spisok!F25</f>
        <v>2015</v>
      </c>
      <c r="H25" s="261">
        <f>spisok!H25</f>
        <v>46182</v>
      </c>
      <c r="I25" s="33" t="str">
        <f>spisok!E25</f>
        <v>106-62</v>
      </c>
      <c r="J25" s="33">
        <v>24</v>
      </c>
      <c r="K25" s="139" t="str">
        <f t="shared" si="0"/>
        <v>0024-10</v>
      </c>
      <c r="L25" s="33">
        <v>24</v>
      </c>
      <c r="M25" s="33"/>
      <c r="N25" s="47"/>
      <c r="O25" s="48"/>
      <c r="P25" s="49">
        <f>Таблица6[[#This Row],[Столбец11]]+Таблица6[[#This Row],[Столбец12]]</f>
        <v>0</v>
      </c>
      <c r="Q25" s="5"/>
      <c r="R25" s="6"/>
      <c r="S25" s="215"/>
      <c r="T25" s="7"/>
      <c r="U25" s="8"/>
      <c r="V25" s="7"/>
      <c r="W25" s="8"/>
      <c r="X25" s="9">
        <f>Таблица6[[#This Row],[Столбец16]]-Таблица6[[#This Row],[Столбец13]]</f>
        <v>0</v>
      </c>
      <c r="Y25" s="10" t="e">
        <f>Таблица6[[#This Row],[Столбец21]]/Таблица6[[#This Row],[Столбец13]]</f>
        <v>#DIV/0!</v>
      </c>
    </row>
    <row r="26" spans="1:25" ht="16.5" outlineLevel="1" thickBot="1" x14ac:dyDescent="0.3">
      <c r="A26" s="32">
        <v>25</v>
      </c>
      <c r="B26" s="32"/>
      <c r="C26" s="32" t="str">
        <f>spisok!B26</f>
        <v>KIA XM FL (SORENTO)</v>
      </c>
      <c r="D26" s="32" t="str">
        <f>spisok!C26</f>
        <v>О0774/15</v>
      </c>
      <c r="E26" s="32" t="str">
        <f>spisok!D26</f>
        <v>XWEKU811DKC024995</v>
      </c>
      <c r="F26" s="32">
        <f>spisok!G26</f>
        <v>21782</v>
      </c>
      <c r="G26" s="32">
        <f>spisok!F26</f>
        <v>2020</v>
      </c>
      <c r="H26" s="138">
        <f>spisok!H26</f>
        <v>46182</v>
      </c>
      <c r="I26" s="32" t="str">
        <f>spisok!E26</f>
        <v>105-55</v>
      </c>
      <c r="J26" s="32">
        <v>25</v>
      </c>
      <c r="K26" s="138" t="str">
        <f t="shared" si="0"/>
        <v>0025-10</v>
      </c>
      <c r="L26" s="32">
        <v>25</v>
      </c>
      <c r="M26" s="32"/>
      <c r="N26" s="47"/>
      <c r="O26" s="48"/>
      <c r="P26" s="49">
        <f>Таблица6[[#This Row],[Столбец11]]+Таблица6[[#This Row],[Столбец12]]</f>
        <v>0</v>
      </c>
      <c r="Q26" s="5"/>
      <c r="R26" s="6"/>
      <c r="S26" s="215"/>
      <c r="T26" s="7"/>
      <c r="U26" s="8"/>
      <c r="V26" s="7"/>
      <c r="W26" s="8"/>
      <c r="X26" s="9">
        <f>Таблица6[[#This Row],[Столбец16]]-Таблица6[[#This Row],[Столбец13]]</f>
        <v>0</v>
      </c>
      <c r="Y26" s="10" t="e">
        <f>Таблица6[[#This Row],[Столбец21]]/Таблица6[[#This Row],[Столбец13]]</f>
        <v>#DIV/0!</v>
      </c>
    </row>
    <row r="27" spans="1:25" ht="16.5" outlineLevel="1" thickBot="1" x14ac:dyDescent="0.3">
      <c r="A27" s="33">
        <v>26</v>
      </c>
      <c r="B27" s="33"/>
      <c r="C27" s="33" t="str">
        <f>spisok!B27</f>
        <v>ТОЙОТА КАМРИ</v>
      </c>
      <c r="D27" s="33" t="str">
        <f>spisok!C27</f>
        <v>А333НА15</v>
      </c>
      <c r="E27" s="33" t="str">
        <f>spisok!D27</f>
        <v>XW7BF4HK10S150796</v>
      </c>
      <c r="F27" s="33">
        <f>spisok!G27</f>
        <v>232858</v>
      </c>
      <c r="G27" s="33">
        <f>spisok!F27</f>
        <v>2019</v>
      </c>
      <c r="H27" s="261">
        <f>spisok!H27</f>
        <v>46183</v>
      </c>
      <c r="I27" s="33" t="str">
        <f>spisok!E27</f>
        <v>104-73</v>
      </c>
      <c r="J27" s="33">
        <v>26</v>
      </c>
      <c r="K27" s="139" t="str">
        <f t="shared" si="0"/>
        <v>0026-10</v>
      </c>
      <c r="L27" s="33">
        <v>26</v>
      </c>
      <c r="M27" s="33"/>
      <c r="N27" s="47"/>
      <c r="O27" s="48"/>
      <c r="P27" s="49">
        <f>Таблица6[[#This Row],[Столбец11]]+Таблица6[[#This Row],[Столбец12]]</f>
        <v>0</v>
      </c>
      <c r="Q27" s="5"/>
      <c r="R27" s="6"/>
      <c r="S27" s="215"/>
      <c r="T27" s="7"/>
      <c r="U27" s="8"/>
      <c r="V27" s="7"/>
      <c r="W27" s="8"/>
      <c r="X27" s="9">
        <f>Таблица6[[#This Row],[Столбец16]]-Таблица6[[#This Row],[Столбец13]]</f>
        <v>0</v>
      </c>
      <c r="Y27" s="10" t="e">
        <f>Таблица6[[#This Row],[Столбец21]]/Таблица6[[#This Row],[Столбец13]]</f>
        <v>#DIV/0!</v>
      </c>
    </row>
    <row r="28" spans="1:25" ht="16.5" outlineLevel="1" thickBot="1" x14ac:dyDescent="0.3">
      <c r="A28" s="32">
        <v>27</v>
      </c>
      <c r="B28" s="32"/>
      <c r="C28" s="32" t="str">
        <f>spisok!B28</f>
        <v>ХЕНДЭ СОЛЯРИС</v>
      </c>
      <c r="D28" s="32" t="str">
        <f>spisok!C28</f>
        <v>В201УВ15</v>
      </c>
      <c r="E28" s="32" t="str">
        <f>spisok!D28</f>
        <v>Z94CU41DBFR426306</v>
      </c>
      <c r="F28" s="32">
        <f>spisok!G28</f>
        <v>365954</v>
      </c>
      <c r="G28" s="32">
        <f>spisok!F28</f>
        <v>2015</v>
      </c>
      <c r="H28" s="138">
        <f>spisok!H28</f>
        <v>46183</v>
      </c>
      <c r="I28" s="32" t="str">
        <f>spisok!E28</f>
        <v>102-63</v>
      </c>
      <c r="J28" s="32">
        <v>27</v>
      </c>
      <c r="K28" s="138" t="str">
        <f t="shared" si="0"/>
        <v>0027-10</v>
      </c>
      <c r="L28" s="32">
        <v>27</v>
      </c>
      <c r="M28" s="32"/>
      <c r="N28" s="47"/>
      <c r="O28" s="48"/>
      <c r="P28" s="49">
        <f>Таблица6[[#This Row],[Столбец11]]+Таблица6[[#This Row],[Столбец12]]</f>
        <v>0</v>
      </c>
      <c r="Q28" s="5"/>
      <c r="R28" s="6"/>
      <c r="S28" s="215"/>
      <c r="T28" s="7"/>
      <c r="U28" s="8"/>
      <c r="V28" s="7"/>
      <c r="W28" s="8"/>
      <c r="X28" s="9">
        <f>Таблица6[[#This Row],[Столбец16]]-Таблица6[[#This Row],[Столбец13]]</f>
        <v>0</v>
      </c>
      <c r="Y28" s="10" t="e">
        <f>Таблица6[[#This Row],[Столбец21]]/Таблица6[[#This Row],[Столбец13]]</f>
        <v>#DIV/0!</v>
      </c>
    </row>
    <row r="29" spans="1:25" ht="16.5" outlineLevel="1" thickBot="1" x14ac:dyDescent="0.3">
      <c r="A29" s="33">
        <v>28</v>
      </c>
      <c r="B29" s="33"/>
      <c r="C29" s="33" t="str">
        <f>spisok!B29</f>
        <v>LADA GRANTA 219010</v>
      </c>
      <c r="D29" s="33" t="str">
        <f>spisok!C29</f>
        <v>Е559НТ15</v>
      </c>
      <c r="E29" s="33" t="str">
        <f>spisok!D29</f>
        <v>XTA219010L0668690</v>
      </c>
      <c r="F29" s="33">
        <f>spisok!G29</f>
        <v>230918</v>
      </c>
      <c r="G29" s="33">
        <f>spisok!F29</f>
        <v>2019</v>
      </c>
      <c r="H29" s="261">
        <f>spisok!H29</f>
        <v>46183</v>
      </c>
      <c r="I29" s="33" t="str">
        <f>spisok!E29</f>
        <v>105-10</v>
      </c>
      <c r="J29" s="33">
        <v>28</v>
      </c>
      <c r="K29" s="139" t="str">
        <f t="shared" si="0"/>
        <v>0028-10</v>
      </c>
      <c r="L29" s="33">
        <v>28</v>
      </c>
      <c r="M29" s="33"/>
      <c r="N29" s="47"/>
      <c r="O29" s="48"/>
      <c r="P29" s="49">
        <f>Таблица6[[#This Row],[Столбец11]]+Таблица6[[#This Row],[Столбец12]]</f>
        <v>0</v>
      </c>
      <c r="Q29" s="5"/>
      <c r="R29" s="6"/>
      <c r="S29" s="215"/>
      <c r="T29" s="7"/>
      <c r="U29" s="8"/>
      <c r="V29" s="7"/>
      <c r="W29" s="8"/>
      <c r="X29" s="9">
        <f>Таблица6[[#This Row],[Столбец16]]-Таблица6[[#This Row],[Столбец13]]</f>
        <v>0</v>
      </c>
      <c r="Y29" s="10" t="e">
        <f>Таблица6[[#This Row],[Столбец21]]/Таблица6[[#This Row],[Столбец13]]</f>
        <v>#DIV/0!</v>
      </c>
    </row>
    <row r="30" spans="1:25" ht="16.5" outlineLevel="1" thickBot="1" x14ac:dyDescent="0.3">
      <c r="A30" s="32">
        <v>29</v>
      </c>
      <c r="B30" s="32"/>
      <c r="C30" s="32" t="str">
        <f>spisok!B30</f>
        <v>LADA VESTA GFL110</v>
      </c>
      <c r="D30" s="32" t="str">
        <f>spisok!C30</f>
        <v>А725НА15</v>
      </c>
      <c r="E30" s="32" t="str">
        <f>spisok!D30</f>
        <v>XTAGFL110MY545270</v>
      </c>
      <c r="F30" s="32">
        <f>spisok!G30</f>
        <v>217051</v>
      </c>
      <c r="G30" s="32">
        <f>spisok!F30</f>
        <v>2021</v>
      </c>
      <c r="H30" s="138">
        <f>spisok!H30</f>
        <v>46184</v>
      </c>
      <c r="I30" s="32" t="str">
        <f>spisok!E30</f>
        <v>106-01</v>
      </c>
      <c r="J30" s="32">
        <v>29</v>
      </c>
      <c r="K30" s="138" t="str">
        <f t="shared" si="0"/>
        <v>0029-10</v>
      </c>
      <c r="L30" s="32">
        <v>29</v>
      </c>
      <c r="M30" s="32"/>
      <c r="N30" s="47"/>
      <c r="O30" s="48"/>
      <c r="P30" s="49">
        <f>Таблица6[[#This Row],[Столбец11]]+Таблица6[[#This Row],[Столбец12]]</f>
        <v>0</v>
      </c>
      <c r="Q30" s="5"/>
      <c r="R30" s="6"/>
      <c r="S30" s="215"/>
      <c r="T30" s="7"/>
      <c r="U30" s="8"/>
      <c r="V30" s="7"/>
      <c r="W30" s="8"/>
      <c r="X30" s="9">
        <f>Таблица6[[#This Row],[Столбец16]]-Таблица6[[#This Row],[Столбец13]]</f>
        <v>0</v>
      </c>
      <c r="Y30" s="10" t="e">
        <f>Таблица6[[#This Row],[Столбец21]]/Таблица6[[#This Row],[Столбец13]]</f>
        <v>#DIV/0!</v>
      </c>
    </row>
    <row r="31" spans="1:25" ht="16.5" outlineLevel="1" thickBot="1" x14ac:dyDescent="0.3">
      <c r="A31" s="33">
        <v>30</v>
      </c>
      <c r="B31" s="33"/>
      <c r="C31" s="33" t="str">
        <f>spisok!B31</f>
        <v>УАЗ ПАТРИОТ</v>
      </c>
      <c r="D31" s="33" t="str">
        <f>spisok!C31</f>
        <v>В787ОХ15</v>
      </c>
      <c r="E31" s="33" t="str">
        <f>spisok!D31</f>
        <v>XTT316300J1023444</v>
      </c>
      <c r="F31" s="33">
        <f>spisok!G31</f>
        <v>232487</v>
      </c>
      <c r="G31" s="33">
        <f>spisok!F31</f>
        <v>2018</v>
      </c>
      <c r="H31" s="33">
        <f>spisok!H31</f>
        <v>46184</v>
      </c>
      <c r="I31" s="33" t="str">
        <f>spisok!E31</f>
        <v>103-91</v>
      </c>
      <c r="J31" s="33">
        <v>30</v>
      </c>
      <c r="K31" s="139" t="str">
        <f t="shared" si="0"/>
        <v>0030-10</v>
      </c>
      <c r="L31" s="33">
        <v>30</v>
      </c>
      <c r="M31" s="33"/>
      <c r="N31" s="47"/>
      <c r="O31" s="48"/>
      <c r="P31" s="49">
        <f>Таблица6[[#This Row],[Столбец11]]+Таблица6[[#This Row],[Столбец12]]</f>
        <v>0</v>
      </c>
      <c r="Q31" s="5"/>
      <c r="R31" s="6"/>
      <c r="S31" s="215"/>
      <c r="T31" s="7"/>
      <c r="U31" s="8"/>
      <c r="V31" s="7"/>
      <c r="W31" s="8"/>
      <c r="X31" s="9">
        <f>Таблица6[[#This Row],[Столбец16]]-Таблица6[[#This Row],[Столбец13]]</f>
        <v>0</v>
      </c>
      <c r="Y31" s="10" t="e">
        <f>Таблица6[[#This Row],[Столбец21]]/Таблица6[[#This Row],[Столбец13]]</f>
        <v>#DIV/0!</v>
      </c>
    </row>
    <row r="32" spans="1:25" ht="16.5" thickBot="1" x14ac:dyDescent="0.3">
      <c r="A32" s="32">
        <v>31</v>
      </c>
      <c r="B32" s="32"/>
      <c r="C32" s="32" t="str">
        <f>spisok!B32</f>
        <v>ЛАДА 213100 4х4</v>
      </c>
      <c r="D32" s="32" t="str">
        <f>spisok!C32</f>
        <v>В473ЕР126</v>
      </c>
      <c r="E32" s="32" t="str">
        <f>spisok!D32</f>
        <v>XTA213100G0177506</v>
      </c>
      <c r="F32" s="32">
        <f>spisok!G32</f>
        <v>283293</v>
      </c>
      <c r="G32" s="32">
        <f>spisok!F32</f>
        <v>2015</v>
      </c>
      <c r="H32" s="32">
        <f>spisok!H32</f>
        <v>46184</v>
      </c>
      <c r="I32" s="32" t="str">
        <f>spisok!E32</f>
        <v>106-63</v>
      </c>
      <c r="J32" s="32">
        <v>31</v>
      </c>
      <c r="K32" s="138" t="str">
        <f t="shared" si="0"/>
        <v>0031-10</v>
      </c>
      <c r="L32" s="32">
        <v>31</v>
      </c>
      <c r="M32" s="63"/>
      <c r="N32" s="47"/>
      <c r="O32" s="48"/>
      <c r="P32" s="49"/>
      <c r="Q32" s="5"/>
      <c r="R32" s="6"/>
      <c r="S32" s="215"/>
      <c r="T32" s="7"/>
      <c r="U32" s="8"/>
      <c r="V32" s="7"/>
      <c r="W32" s="8"/>
      <c r="X32" s="9"/>
      <c r="Y32" s="10"/>
    </row>
    <row r="33" spans="1:25" ht="16.5" outlineLevel="1" thickBot="1" x14ac:dyDescent="0.3">
      <c r="A33" s="33">
        <v>32</v>
      </c>
      <c r="B33" s="33"/>
      <c r="C33" s="33" t="str">
        <f>spisok!B33</f>
        <v>VOLKSWAGEN MULTIVEN</v>
      </c>
      <c r="D33" s="33" t="str">
        <f>spisok!C33</f>
        <v>С488ВС15</v>
      </c>
      <c r="E33" s="33" t="str">
        <f>spisok!D33</f>
        <v>XW8ZZZ7HZDG001346</v>
      </c>
      <c r="F33" s="33" t="str">
        <f>spisok!E33</f>
        <v>101-90</v>
      </c>
      <c r="G33" s="33">
        <f>spisok!F33</f>
        <v>2013</v>
      </c>
      <c r="H33" s="33">
        <f>spisok!G33</f>
        <v>302107</v>
      </c>
      <c r="I33" s="33">
        <f>spisok!H33</f>
        <v>46184</v>
      </c>
      <c r="J33" s="33">
        <v>32</v>
      </c>
      <c r="K33" s="139" t="str">
        <f t="shared" si="0"/>
        <v>0032-10</v>
      </c>
      <c r="L33" s="33">
        <v>32</v>
      </c>
      <c r="M33" s="33"/>
      <c r="N33" s="47"/>
      <c r="O33" s="48"/>
      <c r="P33" s="49">
        <f>Таблица6[[#This Row],[Столбец11]]+Таблица6[[#This Row],[Столбец12]]</f>
        <v>0</v>
      </c>
      <c r="Q33" s="5"/>
      <c r="R33" s="6"/>
      <c r="S33" s="215"/>
      <c r="T33" s="7"/>
      <c r="U33" s="8"/>
      <c r="V33" s="7"/>
      <c r="W33" s="8"/>
      <c r="X33" s="9">
        <f>Таблица6[[#This Row],[Столбец16]]-Таблица6[[#This Row],[Столбец13]]</f>
        <v>0</v>
      </c>
      <c r="Y33" s="10" t="e">
        <f>Таблица6[[#This Row],[Столбец21]]/Таблица6[[#This Row],[Столбец13]]</f>
        <v>#DIV/0!</v>
      </c>
    </row>
    <row r="34" spans="1:25" ht="16.5" outlineLevel="1" thickBot="1" x14ac:dyDescent="0.3">
      <c r="A34" s="32">
        <v>33</v>
      </c>
      <c r="B34" s="32"/>
      <c r="C34" s="32" t="str">
        <f>spisok!B34</f>
        <v>ЕСАУЛ 394511-03</v>
      </c>
      <c r="D34" s="32" t="str">
        <f>spisok!C34</f>
        <v>Е368НТ15</v>
      </c>
      <c r="E34" s="32" t="str">
        <f>spisok!D34</f>
        <v>X8939451CK0AK5323</v>
      </c>
      <c r="F34" s="32" t="str">
        <f>spisok!E34</f>
        <v>104-95</v>
      </c>
      <c r="G34" s="32">
        <f>spisok!F34</f>
        <v>2019</v>
      </c>
      <c r="H34" s="32">
        <f>spisok!G34</f>
        <v>139503</v>
      </c>
      <c r="I34" s="32">
        <f>spisok!H34</f>
        <v>46185</v>
      </c>
      <c r="J34" s="32">
        <v>33</v>
      </c>
      <c r="K34" s="138" t="str">
        <f t="shared" si="0"/>
        <v>0033-10</v>
      </c>
      <c r="L34" s="32">
        <v>33</v>
      </c>
      <c r="M34" s="32"/>
      <c r="N34" s="47"/>
      <c r="O34" s="48"/>
      <c r="P34" s="49">
        <f>Таблица6[[#This Row],[Столбец11]]+Таблица6[[#This Row],[Столбец12]]</f>
        <v>0</v>
      </c>
      <c r="Q34" s="5"/>
      <c r="R34" s="6"/>
      <c r="S34" s="215"/>
      <c r="T34" s="7"/>
      <c r="U34" s="8"/>
      <c r="V34" s="7"/>
      <c r="W34" s="8"/>
      <c r="X34" s="9">
        <f>Таблица6[[#This Row],[Столбец16]]-Таблица6[[#This Row],[Столбец13]]</f>
        <v>0</v>
      </c>
      <c r="Y34" s="10" t="e">
        <f>Таблица6[[#This Row],[Столбец21]]/Таблица6[[#This Row],[Столбец13]]</f>
        <v>#DIV/0!</v>
      </c>
    </row>
    <row r="35" spans="1:25" ht="16.5" outlineLevel="1" thickBot="1" x14ac:dyDescent="0.3">
      <c r="A35" s="33">
        <v>34</v>
      </c>
      <c r="B35" s="33"/>
      <c r="C35" s="33"/>
      <c r="D35" s="33"/>
      <c r="E35" s="33"/>
      <c r="F35" s="33"/>
      <c r="G35" s="33"/>
      <c r="H35" s="139"/>
      <c r="I35" s="33"/>
      <c r="J35" s="33">
        <v>34</v>
      </c>
      <c r="K35" s="139" t="str">
        <f t="shared" si="0"/>
        <v>0034-10</v>
      </c>
      <c r="L35" s="33">
        <v>34</v>
      </c>
      <c r="M35" s="33"/>
      <c r="N35" s="47"/>
      <c r="O35" s="48"/>
      <c r="P35" s="49">
        <f>Таблица6[[#This Row],[Столбец11]]+Таблица6[[#This Row],[Столбец12]]</f>
        <v>0</v>
      </c>
      <c r="Q35" s="5"/>
      <c r="R35" s="6"/>
      <c r="S35" s="215"/>
      <c r="T35" s="7"/>
      <c r="U35" s="8"/>
      <c r="V35" s="7"/>
      <c r="W35" s="8"/>
      <c r="X35" s="9">
        <f>Таблица6[[#This Row],[Столбец16]]-Таблица6[[#This Row],[Столбец13]]</f>
        <v>0</v>
      </c>
      <c r="Y35" s="10" t="e">
        <f>Таблица6[[#This Row],[Столбец21]]/Таблица6[[#This Row],[Столбец13]]</f>
        <v>#DIV/0!</v>
      </c>
    </row>
    <row r="36" spans="1:25" ht="16.5" outlineLevel="1" thickBot="1" x14ac:dyDescent="0.3">
      <c r="A36" s="32"/>
      <c r="B36" s="32"/>
      <c r="C36" s="32"/>
      <c r="D36" s="32"/>
      <c r="E36" s="32"/>
      <c r="F36" s="32"/>
      <c r="G36" s="32"/>
      <c r="H36" s="138"/>
      <c r="I36" s="32"/>
      <c r="J36" s="32">
        <v>35</v>
      </c>
      <c r="K36" s="138" t="str">
        <f t="shared" si="0"/>
        <v>0035-10</v>
      </c>
      <c r="L36" s="32">
        <v>35</v>
      </c>
      <c r="M36" s="32"/>
      <c r="N36" s="47"/>
      <c r="O36" s="48"/>
      <c r="P36" s="49">
        <f>Таблица6[[#This Row],[Столбец11]]+Таблица6[[#This Row],[Столбец12]]</f>
        <v>0</v>
      </c>
      <c r="Q36" s="5"/>
      <c r="R36" s="6"/>
      <c r="S36" s="215"/>
      <c r="T36" s="7"/>
      <c r="U36" s="8"/>
      <c r="V36" s="7"/>
      <c r="W36" s="8"/>
      <c r="X36" s="9">
        <f>Таблица6[[#This Row],[Столбец16]]-Таблица6[[#This Row],[Столбец13]]</f>
        <v>0</v>
      </c>
      <c r="Y36" s="10" t="e">
        <f>Таблица6[[#This Row],[Столбец21]]/Таблица6[[#This Row],[Столбец13]]</f>
        <v>#DIV/0!</v>
      </c>
    </row>
    <row r="37" spans="1:25" ht="16.5" outlineLevel="1" thickBot="1" x14ac:dyDescent="0.3">
      <c r="A37" s="33">
        <v>36</v>
      </c>
      <c r="B37" s="33"/>
      <c r="C37" s="33"/>
      <c r="D37" s="33"/>
      <c r="E37" s="33"/>
      <c r="F37" s="33"/>
      <c r="G37" s="33"/>
      <c r="H37" s="139"/>
      <c r="I37" s="33"/>
      <c r="J37" s="33">
        <v>36</v>
      </c>
      <c r="K37" s="139" t="str">
        <f t="shared" si="0"/>
        <v>0036-10</v>
      </c>
      <c r="L37" s="33">
        <v>36</v>
      </c>
      <c r="M37" s="33"/>
      <c r="N37" s="47"/>
      <c r="O37" s="48"/>
      <c r="P37" s="49">
        <f>Таблица6[[#This Row],[Столбец11]]+Таблица6[[#This Row],[Столбец12]]</f>
        <v>0</v>
      </c>
      <c r="Q37" s="5"/>
      <c r="R37" s="6"/>
      <c r="S37" s="215"/>
      <c r="T37" s="7"/>
      <c r="U37" s="8"/>
      <c r="V37" s="7"/>
      <c r="W37" s="8"/>
      <c r="X37" s="9">
        <f>Таблица6[[#This Row],[Столбец16]]-Таблица6[[#This Row],[Столбец13]]</f>
        <v>0</v>
      </c>
      <c r="Y37" s="10" t="e">
        <f>Таблица6[[#This Row],[Столбец21]]/Таблица6[[#This Row],[Столбец13]]</f>
        <v>#DIV/0!</v>
      </c>
    </row>
    <row r="38" spans="1:25" ht="16.5" thickBot="1" x14ac:dyDescent="0.3">
      <c r="A38" s="32">
        <v>37</v>
      </c>
      <c r="B38" s="32"/>
      <c r="C38" s="32"/>
      <c r="D38" s="32"/>
      <c r="E38" s="32"/>
      <c r="F38" s="32"/>
      <c r="G38" s="32"/>
      <c r="H38" s="138"/>
      <c r="I38" s="32"/>
      <c r="J38" s="32">
        <v>37</v>
      </c>
      <c r="K38" s="138" t="str">
        <f t="shared" si="0"/>
        <v>0037-10</v>
      </c>
      <c r="L38" s="32">
        <v>37</v>
      </c>
      <c r="M38" s="32"/>
      <c r="N38" s="47"/>
      <c r="O38" s="48"/>
      <c r="P38" s="49">
        <f>Таблица6[[#This Row],[Столбец11]]+Таблица6[[#This Row],[Столбец12]]</f>
        <v>0</v>
      </c>
      <c r="Q38" s="5"/>
      <c r="R38" s="6"/>
      <c r="S38" s="215"/>
      <c r="T38" s="7"/>
      <c r="U38" s="8"/>
      <c r="V38" s="7"/>
      <c r="W38" s="8"/>
      <c r="X38" s="9">
        <f>Таблица6[[#This Row],[Столбец16]]-Таблица6[[#This Row],[Столбец13]]</f>
        <v>0</v>
      </c>
      <c r="Y38" s="10" t="e">
        <f>Таблица6[[#This Row],[Столбец21]]/Таблица6[[#This Row],[Столбец13]]</f>
        <v>#DIV/0!</v>
      </c>
    </row>
    <row r="39" spans="1:25" ht="16.5" outlineLevel="1" thickBot="1" x14ac:dyDescent="0.3">
      <c r="A39" s="33">
        <v>38</v>
      </c>
      <c r="B39" s="33"/>
      <c r="C39" s="33"/>
      <c r="D39" s="33"/>
      <c r="E39" s="33"/>
      <c r="F39" s="33"/>
      <c r="G39" s="33"/>
      <c r="H39" s="139"/>
      <c r="I39" s="33"/>
      <c r="J39" s="33">
        <v>38</v>
      </c>
      <c r="K39" s="139" t="str">
        <f t="shared" si="0"/>
        <v>0038-10</v>
      </c>
      <c r="L39" s="33">
        <v>38</v>
      </c>
      <c r="M39" s="33"/>
      <c r="N39" s="47"/>
      <c r="O39" s="48"/>
      <c r="P39" s="49">
        <f>Таблица6[[#This Row],[Столбец11]]+Таблица6[[#This Row],[Столбец12]]</f>
        <v>0</v>
      </c>
      <c r="Q39" s="5"/>
      <c r="R39" s="6"/>
      <c r="S39" s="215"/>
      <c r="T39" s="7"/>
      <c r="U39" s="8"/>
      <c r="V39" s="7"/>
      <c r="W39" s="8"/>
      <c r="X39" s="9">
        <f>Таблица6[[#This Row],[Столбец16]]-Таблица6[[#This Row],[Столбец13]]</f>
        <v>0</v>
      </c>
      <c r="Y39" s="10" t="e">
        <f>Таблица6[[#This Row],[Столбец21]]/Таблица6[[#This Row],[Столбец13]]</f>
        <v>#DIV/0!</v>
      </c>
    </row>
    <row r="40" spans="1:25" ht="16.5" outlineLevel="1" thickBot="1" x14ac:dyDescent="0.3">
      <c r="A40" s="32">
        <v>39</v>
      </c>
      <c r="B40" s="32"/>
      <c r="C40" s="32"/>
      <c r="D40" s="32"/>
      <c r="E40" s="32"/>
      <c r="F40" s="32"/>
      <c r="G40" s="32"/>
      <c r="H40" s="138"/>
      <c r="I40" s="32"/>
      <c r="J40" s="32">
        <v>39</v>
      </c>
      <c r="K40" s="138" t="str">
        <f t="shared" si="0"/>
        <v>0039-10</v>
      </c>
      <c r="L40" s="32">
        <v>39</v>
      </c>
      <c r="M40" s="32"/>
      <c r="N40" s="47"/>
      <c r="O40" s="48"/>
      <c r="P40" s="49">
        <f>Таблица6[[#This Row],[Столбец11]]+Таблица6[[#This Row],[Столбец12]]</f>
        <v>0</v>
      </c>
      <c r="Q40" s="5"/>
      <c r="R40" s="6"/>
      <c r="S40" s="215"/>
      <c r="T40" s="7"/>
      <c r="U40" s="8"/>
      <c r="V40" s="7"/>
      <c r="W40" s="8"/>
      <c r="X40" s="9">
        <f>Таблица6[[#This Row],[Столбец16]]-Таблица6[[#This Row],[Столбец13]]</f>
        <v>0</v>
      </c>
      <c r="Y40" s="10" t="e">
        <f>Таблица6[[#This Row],[Столбец21]]/Таблица6[[#This Row],[Столбец13]]</f>
        <v>#DIV/0!</v>
      </c>
    </row>
    <row r="41" spans="1:25" ht="16.5" outlineLevel="1" thickBot="1" x14ac:dyDescent="0.3">
      <c r="A41" s="33">
        <v>40</v>
      </c>
      <c r="B41" s="33"/>
      <c r="C41" s="33"/>
      <c r="D41" s="33"/>
      <c r="E41" s="33"/>
      <c r="F41" s="33"/>
      <c r="G41" s="33"/>
      <c r="H41" s="139"/>
      <c r="I41" s="33"/>
      <c r="J41" s="33">
        <v>40</v>
      </c>
      <c r="K41" s="139" t="str">
        <f t="shared" si="0"/>
        <v>0040-10</v>
      </c>
      <c r="L41" s="33">
        <v>40</v>
      </c>
      <c r="M41" s="33"/>
      <c r="N41" s="47"/>
      <c r="O41" s="48"/>
      <c r="P41" s="49">
        <f>Таблица6[[#This Row],[Столбец11]]+Таблица6[[#This Row],[Столбец12]]</f>
        <v>0</v>
      </c>
      <c r="Q41" s="5"/>
      <c r="R41" s="6"/>
      <c r="S41" s="215"/>
      <c r="T41" s="7"/>
      <c r="U41" s="8"/>
      <c r="V41" s="7"/>
      <c r="W41" s="8"/>
      <c r="X41" s="9">
        <f>Таблица6[[#This Row],[Столбец16]]-Таблица6[[#This Row],[Столбец13]]</f>
        <v>0</v>
      </c>
      <c r="Y41" s="10" t="e">
        <f>Таблица6[[#This Row],[Столбец21]]/Таблица6[[#This Row],[Столбец13]]</f>
        <v>#DIV/0!</v>
      </c>
    </row>
    <row r="42" spans="1:25" ht="16.5" outlineLevel="1" thickBot="1" x14ac:dyDescent="0.3">
      <c r="A42" s="32">
        <v>41</v>
      </c>
      <c r="B42" s="32"/>
      <c r="C42" s="32"/>
      <c r="D42" s="32"/>
      <c r="E42" s="32"/>
      <c r="F42" s="32"/>
      <c r="G42" s="32"/>
      <c r="H42" s="138"/>
      <c r="I42" s="32"/>
      <c r="J42" s="32">
        <v>41</v>
      </c>
      <c r="K42" s="138" t="str">
        <f t="shared" si="0"/>
        <v>0041-10</v>
      </c>
      <c r="L42" s="32">
        <v>41</v>
      </c>
      <c r="M42" s="32"/>
      <c r="N42" s="47"/>
      <c r="O42" s="48"/>
      <c r="P42" s="49">
        <f>Таблица6[[#This Row],[Столбец11]]+Таблица6[[#This Row],[Столбец12]]</f>
        <v>0</v>
      </c>
      <c r="Q42" s="5"/>
      <c r="R42" s="6"/>
      <c r="S42" s="215"/>
      <c r="T42" s="7"/>
      <c r="U42" s="8"/>
      <c r="V42" s="7"/>
      <c r="W42" s="8"/>
      <c r="X42" s="9">
        <f>Таблица6[[#This Row],[Столбец16]]-Таблица6[[#This Row],[Столбец13]]</f>
        <v>0</v>
      </c>
      <c r="Y42" s="10" t="e">
        <f>Таблица6[[#This Row],[Столбец21]]/Таблица6[[#This Row],[Столбец13]]</f>
        <v>#DIV/0!</v>
      </c>
    </row>
    <row r="43" spans="1:25" ht="16.5" thickBot="1" x14ac:dyDescent="0.3">
      <c r="A43" s="33">
        <v>42</v>
      </c>
      <c r="B43" s="33"/>
      <c r="C43" s="33"/>
      <c r="D43" s="33"/>
      <c r="E43" s="33"/>
      <c r="F43" s="33"/>
      <c r="G43" s="33"/>
      <c r="H43" s="139"/>
      <c r="I43" s="33"/>
      <c r="J43" s="33">
        <v>42</v>
      </c>
      <c r="K43" s="139" t="str">
        <f t="shared" si="0"/>
        <v>0042-10</v>
      </c>
      <c r="L43" s="33">
        <v>42</v>
      </c>
      <c r="M43" s="33"/>
      <c r="N43" s="47"/>
      <c r="O43" s="48"/>
      <c r="P43" s="49">
        <f>Таблица6[[#This Row],[Столбец11]]+Таблица6[[#This Row],[Столбец12]]</f>
        <v>0</v>
      </c>
      <c r="Q43" s="5"/>
      <c r="R43" s="6"/>
      <c r="S43" s="215"/>
      <c r="T43" s="7"/>
      <c r="U43" s="8"/>
      <c r="V43" s="7"/>
      <c r="W43" s="8"/>
      <c r="X43" s="9">
        <f>Таблица6[[#This Row],[Столбец16]]-Таблица6[[#This Row],[Столбец13]]</f>
        <v>0</v>
      </c>
      <c r="Y43" s="10" t="e">
        <f>Таблица6[[#This Row],[Столбец21]]/Таблица6[[#This Row],[Столбец13]]</f>
        <v>#DIV/0!</v>
      </c>
    </row>
    <row r="44" spans="1:25" ht="16.5" thickBot="1" x14ac:dyDescent="0.3">
      <c r="A44" s="32">
        <v>43</v>
      </c>
      <c r="B44" s="32"/>
      <c r="C44" s="32"/>
      <c r="D44" s="32"/>
      <c r="E44" s="32"/>
      <c r="F44" s="32"/>
      <c r="G44" s="32"/>
      <c r="H44" s="138"/>
      <c r="I44" s="32"/>
      <c r="J44" s="32">
        <v>43</v>
      </c>
      <c r="K44" s="138" t="str">
        <f t="shared" si="0"/>
        <v>0043-10</v>
      </c>
      <c r="L44" s="33">
        <v>43</v>
      </c>
      <c r="M44" s="33"/>
      <c r="N44" s="47"/>
      <c r="O44" s="48"/>
      <c r="P44" s="49">
        <f>Таблица6[[#This Row],[Столбец11]]+Таблица6[[#This Row],[Столбец12]]</f>
        <v>0</v>
      </c>
      <c r="Q44" s="5"/>
      <c r="R44" s="6"/>
      <c r="S44" s="215"/>
      <c r="T44" s="7"/>
      <c r="U44" s="8"/>
      <c r="V44" s="7"/>
      <c r="W44" s="8"/>
      <c r="X44" s="9">
        <f>Таблица6[[#This Row],[Столбец16]]-Таблица6[[#This Row],[Столбец13]]</f>
        <v>0</v>
      </c>
      <c r="Y44" s="10" t="e">
        <f>Таблица6[[#This Row],[Столбец21]]/Таблица6[[#This Row],[Столбец13]]</f>
        <v>#DIV/0!</v>
      </c>
    </row>
    <row r="45" spans="1:25" ht="16.5" thickBot="1" x14ac:dyDescent="0.3">
      <c r="A45" s="33">
        <v>44</v>
      </c>
      <c r="B45" s="33"/>
      <c r="C45" s="33"/>
      <c r="D45" s="33"/>
      <c r="E45" s="33"/>
      <c r="F45" s="33"/>
      <c r="G45" s="33"/>
      <c r="H45" s="139"/>
      <c r="I45" s="33"/>
      <c r="J45" s="33">
        <v>1</v>
      </c>
      <c r="K45" s="139" t="str">
        <f t="shared" si="0"/>
        <v>0044-10</v>
      </c>
      <c r="L45" s="33">
        <v>44</v>
      </c>
      <c r="M45" s="33"/>
      <c r="N45" s="47"/>
      <c r="O45" s="48"/>
      <c r="P45" s="49">
        <f>Таблица6[[#This Row],[Столбец11]]+Таблица6[[#This Row],[Столбец12]]</f>
        <v>0</v>
      </c>
      <c r="Q45" s="5"/>
      <c r="R45" s="6"/>
      <c r="S45" s="215"/>
      <c r="T45" s="7"/>
      <c r="U45" s="8"/>
      <c r="V45" s="7"/>
      <c r="W45" s="8"/>
      <c r="X45" s="9">
        <f>Таблица6[[#This Row],[Столбец16]]-Таблица6[[#This Row],[Столбец13]]</f>
        <v>0</v>
      </c>
      <c r="Y45" s="10" t="e">
        <f>Таблица6[[#This Row],[Столбец21]]/Таблица6[[#This Row],[Столбец13]]</f>
        <v>#DIV/0!</v>
      </c>
    </row>
    <row r="46" spans="1:25" ht="16.5" thickBot="1" x14ac:dyDescent="0.3">
      <c r="A46" s="32">
        <v>45</v>
      </c>
      <c r="B46" s="32"/>
      <c r="C46" s="32"/>
      <c r="D46" s="32"/>
      <c r="E46" s="32"/>
      <c r="F46" s="32"/>
      <c r="G46" s="32"/>
      <c r="H46" s="138"/>
      <c r="I46" s="32"/>
      <c r="J46" s="32">
        <v>2</v>
      </c>
      <c r="K46" s="138" t="str">
        <f t="shared" si="0"/>
        <v>0045-10</v>
      </c>
      <c r="L46" s="33">
        <v>45</v>
      </c>
      <c r="M46" s="33"/>
      <c r="N46" s="47"/>
      <c r="O46" s="48"/>
      <c r="P46" s="49">
        <f>Таблица6[[#This Row],[Столбец11]]+Таблица6[[#This Row],[Столбец12]]</f>
        <v>0</v>
      </c>
      <c r="Q46" s="5"/>
      <c r="R46" s="6"/>
      <c r="S46" s="215"/>
      <c r="T46" s="7"/>
      <c r="U46" s="8"/>
      <c r="V46" s="7"/>
      <c r="W46" s="8"/>
      <c r="X46" s="9">
        <f>Таблица6[[#This Row],[Столбец16]]-Таблица6[[#This Row],[Столбец13]]</f>
        <v>0</v>
      </c>
      <c r="Y46" s="10" t="e">
        <f>Таблица6[[#This Row],[Столбец21]]/Таблица6[[#This Row],[Столбец13]]</f>
        <v>#DIV/0!</v>
      </c>
    </row>
    <row r="47" spans="1:25" ht="16.5" thickBot="1" x14ac:dyDescent="0.3">
      <c r="A47" s="33">
        <v>46</v>
      </c>
      <c r="B47" s="33"/>
      <c r="C47" s="33"/>
      <c r="D47" s="33"/>
      <c r="E47" s="33"/>
      <c r="F47" s="33"/>
      <c r="G47" s="33"/>
      <c r="H47" s="139"/>
      <c r="I47" s="33"/>
      <c r="J47" s="33">
        <v>3</v>
      </c>
      <c r="K47" s="139" t="str">
        <f t="shared" si="0"/>
        <v>0046-10</v>
      </c>
      <c r="L47" s="33">
        <v>46</v>
      </c>
      <c r="M47" s="33"/>
      <c r="N47" s="47"/>
      <c r="O47" s="48"/>
      <c r="P47" s="49">
        <f>Таблица6[[#This Row],[Столбец11]]+Таблица6[[#This Row],[Столбец12]]</f>
        <v>0</v>
      </c>
      <c r="Q47" s="5"/>
      <c r="R47" s="5"/>
      <c r="S47" s="215"/>
      <c r="T47" s="7"/>
      <c r="U47" s="8"/>
      <c r="V47" s="7"/>
      <c r="W47" s="8"/>
      <c r="X47" s="9">
        <f>Таблица6[[#This Row],[Столбец16]]-Таблица6[[#This Row],[Столбец13]]</f>
        <v>0</v>
      </c>
      <c r="Y47" s="10" t="e">
        <f>Таблица6[[#This Row],[Столбец21]]/Таблица6[[#This Row],[Столбец13]]</f>
        <v>#DIV/0!</v>
      </c>
    </row>
    <row r="48" spans="1:25" ht="16.5" thickBot="1" x14ac:dyDescent="0.3">
      <c r="A48" s="32">
        <v>47</v>
      </c>
      <c r="B48" s="32"/>
      <c r="C48" s="32"/>
      <c r="D48" s="32"/>
      <c r="E48" s="32"/>
      <c r="F48" s="32"/>
      <c r="G48" s="32"/>
      <c r="H48" s="138"/>
      <c r="I48" s="32"/>
      <c r="J48" s="32">
        <v>4</v>
      </c>
      <c r="K48" s="138" t="str">
        <f t="shared" si="0"/>
        <v>0047-10</v>
      </c>
      <c r="L48" s="33">
        <v>47</v>
      </c>
      <c r="M48" s="33"/>
      <c r="N48" s="47"/>
      <c r="O48" s="48"/>
      <c r="P48" s="49">
        <f>Таблица6[[#This Row],[Столбец11]]+Таблица6[[#This Row],[Столбец12]]</f>
        <v>0</v>
      </c>
      <c r="Q48" s="5"/>
      <c r="R48" s="6"/>
      <c r="S48" s="215"/>
      <c r="T48" s="7"/>
      <c r="U48" s="8"/>
      <c r="V48" s="7"/>
      <c r="W48" s="8"/>
      <c r="X48" s="9">
        <f>Таблица6[[#This Row],[Столбец16]]-Таблица6[[#This Row],[Столбец13]]</f>
        <v>0</v>
      </c>
      <c r="Y48" s="10" t="e">
        <f>Таблица6[[#This Row],[Столбец21]]/Таблица6[[#This Row],[Столбец13]]</f>
        <v>#DIV/0!</v>
      </c>
    </row>
    <row r="49" spans="1:25" ht="16.5" thickBot="1" x14ac:dyDescent="0.3">
      <c r="A49" s="33">
        <v>48</v>
      </c>
      <c r="B49" s="33"/>
      <c r="C49" s="33"/>
      <c r="D49" s="33"/>
      <c r="E49" s="33"/>
      <c r="F49" s="33"/>
      <c r="G49" s="33"/>
      <c r="H49" s="139"/>
      <c r="I49" s="33"/>
      <c r="J49" s="33">
        <v>5</v>
      </c>
      <c r="K49" s="139" t="str">
        <f t="shared" si="0"/>
        <v>0048-10</v>
      </c>
      <c r="L49" s="33">
        <v>48</v>
      </c>
      <c r="M49" s="33"/>
      <c r="N49" s="47"/>
      <c r="O49" s="48"/>
      <c r="P49" s="49">
        <f>Таблица6[[#This Row],[Столбец11]]+Таблица6[[#This Row],[Столбец12]]</f>
        <v>0</v>
      </c>
      <c r="Q49" s="5"/>
      <c r="R49" s="6"/>
      <c r="S49" s="215"/>
      <c r="T49" s="7"/>
      <c r="U49" s="8"/>
      <c r="V49" s="7"/>
      <c r="W49" s="8"/>
      <c r="X49" s="9">
        <f>Таблица6[[#This Row],[Столбец16]]-Таблица6[[#This Row],[Столбец13]]</f>
        <v>0</v>
      </c>
      <c r="Y49" s="10" t="e">
        <f>Таблица6[[#This Row],[Столбец21]]/Таблица6[[#This Row],[Столбец13]]</f>
        <v>#DIV/0!</v>
      </c>
    </row>
    <row r="50" spans="1:25" ht="16.5" thickBot="1" x14ac:dyDescent="0.3">
      <c r="A50" s="32">
        <v>49</v>
      </c>
      <c r="B50" s="32"/>
      <c r="C50" s="32"/>
      <c r="D50" s="32"/>
      <c r="E50" s="32"/>
      <c r="F50" s="32"/>
      <c r="G50" s="32"/>
      <c r="H50" s="138"/>
      <c r="I50" s="32"/>
      <c r="J50" s="32">
        <v>6</v>
      </c>
      <c r="K50" s="138" t="str">
        <f t="shared" si="0"/>
        <v>0049-10</v>
      </c>
      <c r="L50" s="33">
        <v>49</v>
      </c>
      <c r="M50" s="33"/>
      <c r="N50" s="47"/>
      <c r="O50" s="48"/>
      <c r="P50" s="49">
        <f>Таблица6[[#This Row],[Столбец11]]+Таблица6[[#This Row],[Столбец12]]</f>
        <v>0</v>
      </c>
      <c r="Q50" s="5"/>
      <c r="R50" s="5"/>
      <c r="S50" s="215"/>
      <c r="T50" s="7"/>
      <c r="U50" s="8"/>
      <c r="V50" s="7"/>
      <c r="W50" s="8"/>
      <c r="X50" s="9">
        <f>Таблица6[[#This Row],[Столбец16]]-Таблица6[[#This Row],[Столбец13]]</f>
        <v>0</v>
      </c>
      <c r="Y50" s="10" t="e">
        <f>Таблица6[[#This Row],[Столбец21]]/Таблица6[[#This Row],[Столбец13]]</f>
        <v>#DIV/0!</v>
      </c>
    </row>
    <row r="51" spans="1:25" ht="16.5" thickBot="1" x14ac:dyDescent="0.3">
      <c r="A51" s="33">
        <v>50</v>
      </c>
      <c r="B51" s="33"/>
      <c r="C51" s="33"/>
      <c r="D51" s="33"/>
      <c r="E51" s="33"/>
      <c r="F51" s="33"/>
      <c r="G51" s="33"/>
      <c r="H51" s="139"/>
      <c r="I51" s="33"/>
      <c r="J51" s="33">
        <v>7</v>
      </c>
      <c r="K51" s="139" t="str">
        <f t="shared" si="0"/>
        <v>0050-10</v>
      </c>
      <c r="L51" s="33">
        <v>50</v>
      </c>
      <c r="M51" s="33"/>
      <c r="N51" s="47"/>
      <c r="O51" s="48"/>
      <c r="P51" s="49">
        <f>Таблица6[[#This Row],[Столбец11]]+Таблица6[[#This Row],[Столбец12]]</f>
        <v>0</v>
      </c>
      <c r="Q51" s="5"/>
      <c r="R51" s="6"/>
      <c r="S51" s="215"/>
      <c r="T51" s="7"/>
      <c r="U51" s="8"/>
      <c r="V51" s="7"/>
      <c r="W51" s="8"/>
      <c r="X51" s="9">
        <f>Таблица6[[#This Row],[Столбец16]]-Таблица6[[#This Row],[Столбец13]]</f>
        <v>0</v>
      </c>
      <c r="Y51" s="10" t="e">
        <f>Таблица6[[#This Row],[Столбец21]]/Таблица6[[#This Row],[Столбец13]]</f>
        <v>#DIV/0!</v>
      </c>
    </row>
    <row r="52" spans="1:25" ht="16.5" thickBot="1" x14ac:dyDescent="0.3">
      <c r="A52" s="32">
        <v>51</v>
      </c>
      <c r="B52" s="32"/>
      <c r="C52" s="32"/>
      <c r="D52" s="33"/>
      <c r="E52" s="33"/>
      <c r="F52" s="33"/>
      <c r="G52" s="33"/>
      <c r="H52" s="139"/>
      <c r="I52" s="33"/>
      <c r="J52" s="32">
        <v>8</v>
      </c>
      <c r="K52" s="138" t="str">
        <f t="shared" si="0"/>
        <v>0051-10</v>
      </c>
      <c r="L52" s="33">
        <v>51</v>
      </c>
      <c r="M52" s="33"/>
      <c r="N52" s="47"/>
      <c r="O52" s="48"/>
      <c r="P52" s="49">
        <f>Таблица6[[#This Row],[Столбец11]]+Таблица6[[#This Row],[Столбец12]]</f>
        <v>0</v>
      </c>
      <c r="Q52" s="5"/>
      <c r="R52" s="5"/>
      <c r="S52" s="215"/>
      <c r="T52" s="7"/>
      <c r="U52" s="8"/>
      <c r="V52" s="7"/>
      <c r="W52" s="8"/>
      <c r="X52" s="9">
        <f>Таблица6[[#This Row],[Столбец16]]-Таблица6[[#This Row],[Столбец13]]</f>
        <v>0</v>
      </c>
      <c r="Y52" s="10" t="e">
        <f>Таблица6[[#This Row],[Столбец21]]/Таблица6[[#This Row],[Столбец13]]</f>
        <v>#DIV/0!</v>
      </c>
    </row>
    <row r="53" spans="1:25" ht="16.5" thickBot="1" x14ac:dyDescent="0.3">
      <c r="A53" s="33">
        <v>52</v>
      </c>
      <c r="B53" s="33"/>
      <c r="C53" s="33"/>
      <c r="D53" s="33"/>
      <c r="E53" s="33"/>
      <c r="F53" s="33"/>
      <c r="G53" s="33"/>
      <c r="H53" s="139"/>
      <c r="I53" s="33"/>
      <c r="J53" s="33">
        <v>9</v>
      </c>
      <c r="K53" s="139" t="str">
        <f t="shared" si="0"/>
        <v>0052-10</v>
      </c>
      <c r="L53" s="33">
        <v>52</v>
      </c>
      <c r="M53" s="33"/>
      <c r="N53" s="47"/>
      <c r="O53" s="47"/>
      <c r="P53" s="49">
        <f>Таблица6[[#This Row],[Столбец11]]+Таблица6[[#This Row],[Столбец12]]</f>
        <v>0</v>
      </c>
      <c r="Q53" s="5"/>
      <c r="R53" s="5"/>
      <c r="S53" s="215"/>
      <c r="T53" s="7"/>
      <c r="U53" s="8"/>
      <c r="V53" s="7"/>
      <c r="W53" s="8"/>
      <c r="X53" s="9">
        <f>Таблица6[[#This Row],[Столбец16]]-Таблица6[[#This Row],[Столбец13]]</f>
        <v>0</v>
      </c>
      <c r="Y53" s="10" t="e">
        <f>Таблица6[[#This Row],[Столбец21]]/Таблица6[[#This Row],[Столбец13]]</f>
        <v>#DIV/0!</v>
      </c>
    </row>
    <row r="54" spans="1:25" ht="16.5" thickBot="1" x14ac:dyDescent="0.3">
      <c r="A54" s="32">
        <v>53</v>
      </c>
      <c r="B54" s="32"/>
      <c r="C54" s="32"/>
      <c r="D54" s="33"/>
      <c r="E54" s="33"/>
      <c r="F54" s="33"/>
      <c r="G54" s="33"/>
      <c r="H54" s="139"/>
      <c r="I54" s="33"/>
      <c r="J54" s="32">
        <v>10</v>
      </c>
      <c r="K54" s="138" t="str">
        <f t="shared" si="0"/>
        <v>0053-10</v>
      </c>
      <c r="L54" s="33">
        <v>53</v>
      </c>
      <c r="M54" s="33"/>
      <c r="N54" s="47"/>
      <c r="O54" s="48"/>
      <c r="P54" s="49">
        <f>Таблица6[[#This Row],[Столбец11]]+Таблица6[[#This Row],[Столбец12]]</f>
        <v>0</v>
      </c>
      <c r="Q54" s="5"/>
      <c r="R54" s="6"/>
      <c r="S54" s="215"/>
      <c r="T54" s="7"/>
      <c r="U54" s="8"/>
      <c r="V54" s="7"/>
      <c r="W54" s="8"/>
      <c r="X54" s="9">
        <f>Таблица6[[#This Row],[Столбец16]]-Таблица6[[#This Row],[Столбец13]]</f>
        <v>0</v>
      </c>
      <c r="Y54" s="10" t="e">
        <f>Таблица6[[#This Row],[Столбец21]]/Таблица6[[#This Row],[Столбец13]]</f>
        <v>#DIV/0!</v>
      </c>
    </row>
    <row r="55" spans="1:25" ht="16.5" thickBot="1" x14ac:dyDescent="0.3">
      <c r="A55" s="33">
        <v>54</v>
      </c>
      <c r="B55" s="33"/>
      <c r="C55" s="33"/>
      <c r="D55" s="33"/>
      <c r="E55" s="33"/>
      <c r="F55" s="33"/>
      <c r="G55" s="33"/>
      <c r="H55" s="139"/>
      <c r="I55" s="33"/>
      <c r="J55" s="33">
        <v>11</v>
      </c>
      <c r="K55" s="139" t="str">
        <f t="shared" si="0"/>
        <v>0054-10</v>
      </c>
      <c r="L55" s="33">
        <v>54</v>
      </c>
      <c r="M55" s="33"/>
      <c r="N55" s="47"/>
      <c r="O55" s="48"/>
      <c r="P55" s="49">
        <f>Таблица6[[#This Row],[Столбец11]]+Таблица6[[#This Row],[Столбец12]]</f>
        <v>0</v>
      </c>
      <c r="Q55" s="5"/>
      <c r="R55" s="6"/>
      <c r="S55" s="215"/>
      <c r="T55" s="7"/>
      <c r="U55" s="8"/>
      <c r="V55" s="7"/>
      <c r="W55" s="8"/>
      <c r="X55" s="9">
        <f>Таблица6[[#This Row],[Столбец16]]-Таблица6[[#This Row],[Столбец13]]</f>
        <v>0</v>
      </c>
      <c r="Y55" s="10" t="e">
        <f>Таблица6[[#This Row],[Столбец21]]/Таблица6[[#This Row],[Столбец13]]</f>
        <v>#DIV/0!</v>
      </c>
    </row>
    <row r="56" spans="1:25" ht="16.5" thickBot="1" x14ac:dyDescent="0.3">
      <c r="A56" s="32">
        <v>55</v>
      </c>
      <c r="B56" s="32"/>
      <c r="C56" s="32"/>
      <c r="D56" s="33"/>
      <c r="E56" s="33"/>
      <c r="F56" s="33"/>
      <c r="G56" s="33"/>
      <c r="H56" s="139"/>
      <c r="I56" s="33"/>
      <c r="J56" s="32">
        <v>12</v>
      </c>
      <c r="K56" s="138" t="str">
        <f t="shared" si="0"/>
        <v>0055-10</v>
      </c>
      <c r="L56" s="33">
        <v>55</v>
      </c>
      <c r="M56" s="33"/>
      <c r="N56" s="47"/>
      <c r="O56" s="48"/>
      <c r="P56" s="49">
        <f>Таблица6[[#This Row],[Столбец11]]+Таблица6[[#This Row],[Столбец12]]</f>
        <v>0</v>
      </c>
      <c r="Q56" s="5"/>
      <c r="R56" s="6"/>
      <c r="S56" s="215"/>
      <c r="T56" s="7"/>
      <c r="U56" s="8"/>
      <c r="V56" s="7"/>
      <c r="W56" s="8"/>
      <c r="X56" s="9">
        <f>Таблица6[[#This Row],[Столбец16]]-Таблица6[[#This Row],[Столбец13]]</f>
        <v>0</v>
      </c>
      <c r="Y56" s="10" t="e">
        <f>Таблица6[[#This Row],[Столбец21]]/Таблица6[[#This Row],[Столбец13]]</f>
        <v>#DIV/0!</v>
      </c>
    </row>
    <row r="57" spans="1:25" ht="16.5" thickBot="1" x14ac:dyDescent="0.3">
      <c r="A57" s="33">
        <v>56</v>
      </c>
      <c r="B57" s="33"/>
      <c r="C57" s="33"/>
      <c r="D57" s="33"/>
      <c r="E57" s="33"/>
      <c r="F57" s="33"/>
      <c r="G57" s="33"/>
      <c r="H57" s="139"/>
      <c r="I57" s="33"/>
      <c r="J57" s="33">
        <v>13</v>
      </c>
      <c r="K57" s="139" t="str">
        <f t="shared" si="0"/>
        <v>0056-10</v>
      </c>
      <c r="L57" s="33">
        <v>56</v>
      </c>
      <c r="M57" s="33"/>
      <c r="N57" s="47"/>
      <c r="O57" s="48"/>
      <c r="P57" s="49">
        <f>Таблица6[[#This Row],[Столбец11]]+Таблица6[[#This Row],[Столбец12]]</f>
        <v>0</v>
      </c>
      <c r="Q57" s="5"/>
      <c r="R57" s="6"/>
      <c r="S57" s="215"/>
      <c r="T57" s="7"/>
      <c r="U57" s="8"/>
      <c r="V57" s="7"/>
      <c r="W57" s="8"/>
      <c r="X57" s="9">
        <f>Таблица6[[#This Row],[Столбец16]]-Таблица6[[#This Row],[Столбец13]]</f>
        <v>0</v>
      </c>
      <c r="Y57" s="10" t="e">
        <f>Таблица6[[#This Row],[Столбец21]]/Таблица6[[#This Row],[Столбец13]]</f>
        <v>#DIV/0!</v>
      </c>
    </row>
    <row r="58" spans="1:25" ht="16.5" thickBot="1" x14ac:dyDescent="0.3">
      <c r="A58" s="32">
        <v>57</v>
      </c>
      <c r="B58" s="32"/>
      <c r="C58" s="33"/>
      <c r="D58" s="33"/>
      <c r="E58" s="33"/>
      <c r="F58" s="33"/>
      <c r="G58" s="33"/>
      <c r="H58" s="139"/>
      <c r="I58" s="33"/>
      <c r="J58" s="32">
        <v>14</v>
      </c>
      <c r="K58" s="138" t="str">
        <f t="shared" si="0"/>
        <v>0057-10</v>
      </c>
      <c r="L58" s="33">
        <v>57</v>
      </c>
      <c r="M58" s="33"/>
      <c r="N58" s="47"/>
      <c r="O58" s="48"/>
      <c r="P58" s="49">
        <f>Таблица6[[#This Row],[Столбец11]]+Таблица6[[#This Row],[Столбец12]]</f>
        <v>0</v>
      </c>
      <c r="Q58" s="5"/>
      <c r="R58" s="5"/>
      <c r="S58" s="215"/>
      <c r="T58" s="7"/>
      <c r="U58" s="8"/>
      <c r="V58" s="7"/>
      <c r="W58" s="8"/>
      <c r="X58" s="9">
        <f>Таблица6[[#This Row],[Столбец16]]-Таблица6[[#This Row],[Столбец13]]</f>
        <v>0</v>
      </c>
      <c r="Y58" s="10" t="e">
        <f>Таблица6[[#This Row],[Столбец21]]/Таблица6[[#This Row],[Столбец13]]</f>
        <v>#DIV/0!</v>
      </c>
    </row>
    <row r="59" spans="1:25" ht="16.5" thickBot="1" x14ac:dyDescent="0.3">
      <c r="A59" s="33">
        <v>58</v>
      </c>
      <c r="B59" s="33"/>
      <c r="C59" s="33"/>
      <c r="D59" s="33"/>
      <c r="E59" s="33"/>
      <c r="F59" s="33"/>
      <c r="G59" s="33"/>
      <c r="H59" s="139"/>
      <c r="I59" s="33"/>
      <c r="J59" s="33">
        <v>15</v>
      </c>
      <c r="K59" s="139" t="str">
        <f t="shared" si="0"/>
        <v>0058-10</v>
      </c>
      <c r="L59" s="33">
        <v>58</v>
      </c>
      <c r="M59" s="33"/>
      <c r="N59" s="47"/>
      <c r="O59" s="48"/>
      <c r="P59" s="49">
        <f>Таблица6[[#This Row],[Столбец11]]+Таблица6[[#This Row],[Столбец12]]</f>
        <v>0</v>
      </c>
      <c r="Q59" s="5"/>
      <c r="R59" s="5"/>
      <c r="S59" s="215"/>
      <c r="T59" s="7"/>
      <c r="U59" s="8"/>
      <c r="V59" s="7"/>
      <c r="W59" s="8"/>
      <c r="X59" s="9">
        <f>Таблица6[[#This Row],[Столбец16]]-Таблица6[[#This Row],[Столбец13]]</f>
        <v>0</v>
      </c>
      <c r="Y59" s="10" t="e">
        <f>Таблица6[[#This Row],[Столбец21]]/Таблица6[[#This Row],[Столбец13]]</f>
        <v>#DIV/0!</v>
      </c>
    </row>
    <row r="60" spans="1:25" ht="16.5" thickBot="1" x14ac:dyDescent="0.3">
      <c r="A60" s="32">
        <v>59</v>
      </c>
      <c r="B60" s="32"/>
      <c r="C60" s="33"/>
      <c r="D60" s="33"/>
      <c r="E60" s="33"/>
      <c r="F60" s="33"/>
      <c r="G60" s="33"/>
      <c r="H60" s="139"/>
      <c r="I60" s="33"/>
      <c r="J60" s="32">
        <v>16</v>
      </c>
      <c r="K60" s="138" t="str">
        <f t="shared" si="0"/>
        <v>0059-10</v>
      </c>
      <c r="L60" s="33">
        <v>59</v>
      </c>
      <c r="M60" s="33"/>
      <c r="N60" s="47"/>
      <c r="O60" s="48"/>
      <c r="P60" s="49">
        <f>Таблица6[[#This Row],[Столбец11]]+Таблица6[[#This Row],[Столбец12]]</f>
        <v>0</v>
      </c>
      <c r="Q60" s="5"/>
      <c r="R60" s="5"/>
      <c r="S60" s="215"/>
      <c r="T60" s="7"/>
      <c r="U60" s="8"/>
      <c r="V60" s="7"/>
      <c r="W60" s="8"/>
      <c r="X60" s="9">
        <f>Таблица6[[#This Row],[Столбец16]]-Таблица6[[#This Row],[Столбец13]]</f>
        <v>0</v>
      </c>
      <c r="Y60" s="10" t="e">
        <f>Таблица6[[#This Row],[Столбец21]]/Таблица6[[#This Row],[Столбец13]]</f>
        <v>#DIV/0!</v>
      </c>
    </row>
    <row r="61" spans="1:25" ht="16.5" thickBot="1" x14ac:dyDescent="0.3">
      <c r="A61" s="33">
        <v>60</v>
      </c>
      <c r="B61" s="33"/>
      <c r="C61" s="33"/>
      <c r="D61" s="33"/>
      <c r="E61" s="33"/>
      <c r="F61" s="33"/>
      <c r="G61" s="33"/>
      <c r="H61" s="139"/>
      <c r="I61" s="33"/>
      <c r="J61" s="33">
        <v>17</v>
      </c>
      <c r="K61" s="139" t="str">
        <f t="shared" si="0"/>
        <v>0060-10</v>
      </c>
      <c r="L61" s="33">
        <v>60</v>
      </c>
      <c r="M61" s="33"/>
      <c r="N61" s="47"/>
      <c r="O61" s="48"/>
      <c r="P61" s="49">
        <f>Таблица6[[#This Row],[Столбец11]]+Таблица6[[#This Row],[Столбец12]]</f>
        <v>0</v>
      </c>
      <c r="Q61" s="5"/>
      <c r="R61" s="5"/>
      <c r="S61" s="215"/>
      <c r="T61" s="7"/>
      <c r="U61" s="8"/>
      <c r="V61" s="7"/>
      <c r="W61" s="8"/>
      <c r="X61" s="9">
        <f>Таблица6[[#This Row],[Столбец16]]-Таблица6[[#This Row],[Столбец13]]</f>
        <v>0</v>
      </c>
      <c r="Y61" s="10" t="e">
        <f>Таблица6[[#This Row],[Столбец21]]/Таблица6[[#This Row],[Столбец13]]</f>
        <v>#DIV/0!</v>
      </c>
    </row>
    <row r="62" spans="1:25" ht="16.5" thickBot="1" x14ac:dyDescent="0.3">
      <c r="A62" s="33">
        <v>61</v>
      </c>
      <c r="B62" s="32"/>
      <c r="C62" s="33"/>
      <c r="D62" s="33"/>
      <c r="E62" s="33"/>
      <c r="F62" s="33"/>
      <c r="G62" s="33"/>
      <c r="H62" s="139"/>
      <c r="I62" s="33"/>
      <c r="J62" s="32">
        <v>18</v>
      </c>
      <c r="K62" s="138" t="str">
        <f t="shared" si="0"/>
        <v>0061-10</v>
      </c>
      <c r="L62" s="33">
        <v>61</v>
      </c>
      <c r="M62" s="33"/>
      <c r="N62" s="47"/>
      <c r="O62" s="48"/>
      <c r="P62" s="49">
        <f>Таблица6[[#This Row],[Столбец11]]+Таблица6[[#This Row],[Столбец12]]</f>
        <v>0</v>
      </c>
      <c r="Q62" s="5"/>
      <c r="R62" s="5"/>
      <c r="S62" s="215"/>
      <c r="T62" s="7"/>
      <c r="U62" s="8"/>
      <c r="V62" s="7"/>
      <c r="W62" s="8"/>
      <c r="X62" s="9">
        <f>Таблица6[[#This Row],[Столбец16]]-Таблица6[[#This Row],[Столбец13]]</f>
        <v>0</v>
      </c>
      <c r="Y62" s="10" t="e">
        <f>Таблица6[[#This Row],[Столбец21]]/Таблица6[[#This Row],[Столбец13]]</f>
        <v>#DIV/0!</v>
      </c>
    </row>
    <row r="63" spans="1:25" ht="16.5" thickBot="1" x14ac:dyDescent="0.3">
      <c r="A63" s="33">
        <v>62</v>
      </c>
      <c r="B63" s="33"/>
      <c r="C63" s="33"/>
      <c r="D63" s="33"/>
      <c r="E63" s="33"/>
      <c r="F63" s="33"/>
      <c r="G63" s="33"/>
      <c r="H63" s="139"/>
      <c r="I63" s="33"/>
      <c r="J63" s="33">
        <v>19</v>
      </c>
      <c r="K63" s="139" t="str">
        <f t="shared" si="0"/>
        <v>0062-10</v>
      </c>
      <c r="L63" s="33">
        <v>62</v>
      </c>
      <c r="M63" s="33"/>
      <c r="N63" s="47"/>
      <c r="O63" s="48"/>
      <c r="P63" s="49">
        <f>Таблица6[[#This Row],[Столбец11]]+Таблица6[[#This Row],[Столбец12]]</f>
        <v>0</v>
      </c>
      <c r="Q63" s="5"/>
      <c r="R63" s="5"/>
      <c r="S63" s="215"/>
      <c r="T63" s="7"/>
      <c r="U63" s="8"/>
      <c r="V63" s="7"/>
      <c r="W63" s="8"/>
      <c r="X63" s="9">
        <f>Таблица6[[#This Row],[Столбец16]]-Таблица6[[#This Row],[Столбец13]]</f>
        <v>0</v>
      </c>
      <c r="Y63" s="10" t="e">
        <f>Таблица6[[#This Row],[Столбец21]]/Таблица6[[#This Row],[Столбец13]]</f>
        <v>#DIV/0!</v>
      </c>
    </row>
    <row r="64" spans="1:25" ht="16.5" thickBot="1" x14ac:dyDescent="0.3">
      <c r="A64" s="32">
        <v>63</v>
      </c>
      <c r="B64" s="32"/>
      <c r="C64" s="33"/>
      <c r="D64" s="33"/>
      <c r="E64" s="33"/>
      <c r="F64" s="33"/>
      <c r="G64" s="33"/>
      <c r="H64" s="139"/>
      <c r="I64" s="33"/>
      <c r="J64" s="32">
        <v>20</v>
      </c>
      <c r="K64" s="138" t="str">
        <f t="shared" si="0"/>
        <v>0063-10</v>
      </c>
      <c r="L64" s="33">
        <v>63</v>
      </c>
      <c r="M64" s="33"/>
      <c r="N64" s="47"/>
      <c r="O64" s="48"/>
      <c r="P64" s="49">
        <f>Таблица6[[#This Row],[Столбец11]]+Таблица6[[#This Row],[Столбец12]]</f>
        <v>0</v>
      </c>
      <c r="Q64" s="5"/>
      <c r="R64" s="5"/>
      <c r="S64" s="215"/>
      <c r="T64" s="7"/>
      <c r="U64" s="8"/>
      <c r="V64" s="7"/>
      <c r="W64" s="8"/>
      <c r="X64" s="9">
        <f>Таблица6[[#This Row],[Столбец16]]-Таблица6[[#This Row],[Столбец13]]</f>
        <v>0</v>
      </c>
      <c r="Y64" s="10" t="e">
        <f>Таблица6[[#This Row],[Столбец21]]/Таблица6[[#This Row],[Столбец13]]</f>
        <v>#DIV/0!</v>
      </c>
    </row>
    <row r="65" spans="1:25" ht="16.5" thickBot="1" x14ac:dyDescent="0.3">
      <c r="A65" s="33">
        <v>64</v>
      </c>
      <c r="B65" s="33"/>
      <c r="C65" s="33"/>
      <c r="D65" s="33"/>
      <c r="E65" s="33"/>
      <c r="F65" s="33"/>
      <c r="G65" s="33"/>
      <c r="H65" s="139"/>
      <c r="I65" s="33"/>
      <c r="J65" s="33">
        <v>21</v>
      </c>
      <c r="K65" s="139" t="str">
        <f t="shared" si="0"/>
        <v>0063-10</v>
      </c>
      <c r="L65" s="33">
        <v>63</v>
      </c>
      <c r="M65" s="33"/>
      <c r="N65" s="47"/>
      <c r="O65" s="48"/>
      <c r="P65" s="49">
        <f>Таблица6[[#This Row],[Столбец11]]+Таблица6[[#This Row],[Столбец12]]</f>
        <v>0</v>
      </c>
      <c r="Q65" s="5"/>
      <c r="R65" s="5"/>
      <c r="S65" s="215"/>
      <c r="T65" s="7"/>
      <c r="U65" s="8"/>
      <c r="V65" s="7"/>
      <c r="W65" s="8"/>
      <c r="X65" s="9">
        <f>Таблица6[[#This Row],[Столбец16]]-Таблица6[[#This Row],[Столбец13]]</f>
        <v>0</v>
      </c>
      <c r="Y65" s="10" t="e">
        <f>Таблица6[[#This Row],[Столбец21]]/Таблица6[[#This Row],[Столбец13]]</f>
        <v>#DIV/0!</v>
      </c>
    </row>
    <row r="66" spans="1:25" ht="16.5" thickBot="1" x14ac:dyDescent="0.3">
      <c r="A66" s="32">
        <v>65</v>
      </c>
      <c r="B66" s="32"/>
      <c r="C66" s="33"/>
      <c r="D66" s="33"/>
      <c r="E66" s="33"/>
      <c r="F66" s="33"/>
      <c r="G66" s="33"/>
      <c r="H66" s="139"/>
      <c r="I66" s="33"/>
      <c r="J66" s="32">
        <v>22</v>
      </c>
      <c r="K66" s="138" t="str">
        <f t="shared" si="0"/>
        <v>0065-10</v>
      </c>
      <c r="L66" s="33">
        <v>65</v>
      </c>
      <c r="M66" s="33"/>
      <c r="N66" s="47"/>
      <c r="O66" s="48"/>
      <c r="P66" s="49">
        <f>Таблица6[[#This Row],[Столбец11]]+Таблица6[[#This Row],[Столбец12]]</f>
        <v>0</v>
      </c>
      <c r="Q66" s="5"/>
      <c r="R66" s="5"/>
      <c r="S66" s="215"/>
      <c r="T66" s="7"/>
      <c r="U66" s="8"/>
      <c r="V66" s="7"/>
      <c r="W66" s="8"/>
      <c r="X66" s="9">
        <f>Таблица6[[#This Row],[Столбец16]]-Таблица6[[#This Row],[Столбец13]]</f>
        <v>0</v>
      </c>
      <c r="Y66" s="10" t="e">
        <f>Таблица6[[#This Row],[Столбец21]]/Таблица6[[#This Row],[Столбец13]]</f>
        <v>#DIV/0!</v>
      </c>
    </row>
    <row r="67" spans="1:25" ht="16.5" thickBot="1" x14ac:dyDescent="0.3">
      <c r="A67" s="33">
        <v>66</v>
      </c>
      <c r="B67" s="33"/>
      <c r="C67" s="33"/>
      <c r="D67" s="33"/>
      <c r="E67" s="33"/>
      <c r="F67" s="33"/>
      <c r="G67" s="33"/>
      <c r="H67" s="139"/>
      <c r="I67" s="33"/>
      <c r="J67" s="33">
        <v>23</v>
      </c>
      <c r="K67" s="139" t="str">
        <f t="shared" si="0"/>
        <v>0066-10</v>
      </c>
      <c r="L67" s="33">
        <v>66</v>
      </c>
      <c r="M67" s="33"/>
      <c r="N67" s="47"/>
      <c r="O67" s="48"/>
      <c r="P67" s="49">
        <f>Таблица6[[#This Row],[Столбец11]]+Таблица6[[#This Row],[Столбец12]]</f>
        <v>0</v>
      </c>
      <c r="Q67" s="5"/>
      <c r="R67" s="5"/>
      <c r="S67" s="215"/>
      <c r="T67" s="7"/>
      <c r="U67" s="8"/>
      <c r="V67" s="7"/>
      <c r="W67" s="8"/>
      <c r="X67" s="9">
        <f>Таблица6[[#This Row],[Столбец16]]-Таблица6[[#This Row],[Столбец13]]</f>
        <v>0</v>
      </c>
      <c r="Y67" s="10" t="e">
        <f>Таблица6[[#This Row],[Столбец21]]/Таблица6[[#This Row],[Столбец13]]</f>
        <v>#DIV/0!</v>
      </c>
    </row>
    <row r="68" spans="1:25" ht="16.5" thickBot="1" x14ac:dyDescent="0.3">
      <c r="A68" s="32">
        <v>67</v>
      </c>
      <c r="B68" s="32"/>
      <c r="C68" s="33"/>
      <c r="D68" s="33"/>
      <c r="E68" s="33"/>
      <c r="F68" s="33"/>
      <c r="G68" s="33"/>
      <c r="H68" s="139"/>
      <c r="I68" s="33"/>
      <c r="J68" s="32">
        <v>24</v>
      </c>
      <c r="K68" s="138" t="str">
        <f t="shared" si="0"/>
        <v>0067-10</v>
      </c>
      <c r="L68" s="33">
        <v>67</v>
      </c>
      <c r="M68" s="33"/>
      <c r="N68" s="47"/>
      <c r="O68" s="48"/>
      <c r="P68" s="49">
        <f>Таблица6[[#This Row],[Столбец11]]+Таблица6[[#This Row],[Столбец12]]</f>
        <v>0</v>
      </c>
      <c r="Q68" s="5"/>
      <c r="R68" s="5"/>
      <c r="S68" s="215"/>
      <c r="T68" s="7"/>
      <c r="U68" s="8"/>
      <c r="V68" s="7"/>
      <c r="W68" s="8"/>
      <c r="X68" s="9">
        <f>Таблица6[[#This Row],[Столбец16]]-Таблица6[[#This Row],[Столбец13]]</f>
        <v>0</v>
      </c>
      <c r="Y68" s="10" t="e">
        <f>Таблица6[[#This Row],[Столбец21]]/Таблица6[[#This Row],[Столбец13]]</f>
        <v>#DIV/0!</v>
      </c>
    </row>
    <row r="69" spans="1:25" ht="16.5" thickBot="1" x14ac:dyDescent="0.3">
      <c r="A69" s="33">
        <v>68</v>
      </c>
      <c r="B69" s="33"/>
      <c r="C69" s="33"/>
      <c r="D69" s="33"/>
      <c r="E69" s="33"/>
      <c r="F69" s="33"/>
      <c r="G69" s="33"/>
      <c r="H69" s="139"/>
      <c r="I69" s="33"/>
      <c r="J69" s="33">
        <v>25</v>
      </c>
      <c r="K69" s="139" t="str">
        <f t="shared" ref="K69:K119" si="1">"00"&amp;TEXT($L69,"0")&amp;"-10"</f>
        <v>0068-10</v>
      </c>
      <c r="L69" s="33">
        <v>68</v>
      </c>
      <c r="M69" s="33"/>
      <c r="N69" s="47"/>
      <c r="O69" s="48"/>
      <c r="P69" s="49">
        <f>Таблица6[[#This Row],[Столбец11]]+Таблица6[[#This Row],[Столбец12]]</f>
        <v>0</v>
      </c>
      <c r="Q69" s="5"/>
      <c r="R69" s="5"/>
      <c r="S69" s="215"/>
      <c r="T69" s="7"/>
      <c r="U69" s="8"/>
      <c r="V69" s="7"/>
      <c r="W69" s="8"/>
      <c r="X69" s="9">
        <f>Таблица6[[#This Row],[Столбец16]]-Таблица6[[#This Row],[Столбец13]]</f>
        <v>0</v>
      </c>
      <c r="Y69" s="10" t="e">
        <f>Таблица6[[#This Row],[Столбец21]]/Таблица6[[#This Row],[Столбец13]]</f>
        <v>#DIV/0!</v>
      </c>
    </row>
    <row r="70" spans="1:25" ht="16.5" thickBot="1" x14ac:dyDescent="0.3">
      <c r="A70" s="32">
        <v>69</v>
      </c>
      <c r="B70" s="32"/>
      <c r="C70" s="33"/>
      <c r="D70" s="33"/>
      <c r="E70" s="33"/>
      <c r="F70" s="33"/>
      <c r="G70" s="33"/>
      <c r="H70" s="139"/>
      <c r="I70" s="33"/>
      <c r="J70" s="32">
        <v>26</v>
      </c>
      <c r="K70" s="138" t="str">
        <f t="shared" si="1"/>
        <v>0069-10</v>
      </c>
      <c r="L70" s="33">
        <v>69</v>
      </c>
      <c r="M70" s="33"/>
      <c r="N70" s="47"/>
      <c r="O70" s="48"/>
      <c r="P70" s="49">
        <f>Таблица6[[#This Row],[Столбец11]]+Таблица6[[#This Row],[Столбец12]]</f>
        <v>0</v>
      </c>
      <c r="Q70" s="5"/>
      <c r="R70" s="5"/>
      <c r="S70" s="215"/>
      <c r="T70" s="7"/>
      <c r="U70" s="8"/>
      <c r="V70" s="7"/>
      <c r="W70" s="8"/>
      <c r="X70" s="9">
        <f>Таблица6[[#This Row],[Столбец16]]-Таблица6[[#This Row],[Столбец13]]</f>
        <v>0</v>
      </c>
      <c r="Y70" s="10" t="e">
        <f>Таблица6[[#This Row],[Столбец21]]/Таблица6[[#This Row],[Столбец13]]</f>
        <v>#DIV/0!</v>
      </c>
    </row>
    <row r="71" spans="1:25" ht="16.5" thickBot="1" x14ac:dyDescent="0.3">
      <c r="A71" s="33">
        <v>70</v>
      </c>
      <c r="B71" s="33"/>
      <c r="C71" s="33"/>
      <c r="D71" s="33"/>
      <c r="E71" s="33"/>
      <c r="F71" s="33"/>
      <c r="G71" s="33"/>
      <c r="H71" s="139"/>
      <c r="I71" s="33"/>
      <c r="J71" s="33">
        <v>27</v>
      </c>
      <c r="K71" s="139" t="str">
        <f t="shared" si="1"/>
        <v>0070-10</v>
      </c>
      <c r="L71" s="33">
        <v>70</v>
      </c>
      <c r="M71" s="33"/>
      <c r="N71" s="47"/>
      <c r="O71" s="48"/>
      <c r="P71" s="49">
        <f>Таблица6[[#This Row],[Столбец11]]+Таблица6[[#This Row],[Столбец12]]</f>
        <v>0</v>
      </c>
      <c r="Q71" s="5"/>
      <c r="R71" s="5"/>
      <c r="S71" s="215"/>
      <c r="T71" s="7"/>
      <c r="U71" s="8"/>
      <c r="V71" s="7"/>
      <c r="W71" s="8"/>
      <c r="X71" s="9">
        <f>Таблица6[[#This Row],[Столбец16]]-Таблица6[[#This Row],[Столбец13]]</f>
        <v>0</v>
      </c>
      <c r="Y71" s="10" t="e">
        <f>Таблица6[[#This Row],[Столбец21]]/Таблица6[[#This Row],[Столбец13]]</f>
        <v>#DIV/0!</v>
      </c>
    </row>
    <row r="72" spans="1:25" ht="16.5" thickBot="1" x14ac:dyDescent="0.3">
      <c r="A72" s="32">
        <v>71</v>
      </c>
      <c r="B72" s="32"/>
      <c r="C72" s="33"/>
      <c r="D72" s="33"/>
      <c r="E72" s="33"/>
      <c r="F72" s="33"/>
      <c r="G72" s="33"/>
      <c r="H72" s="139"/>
      <c r="I72" s="33"/>
      <c r="J72" s="32">
        <v>28</v>
      </c>
      <c r="K72" s="138" t="str">
        <f t="shared" si="1"/>
        <v>0071-10</v>
      </c>
      <c r="L72" s="33">
        <v>71</v>
      </c>
      <c r="M72" s="33"/>
      <c r="N72" s="47"/>
      <c r="O72" s="48"/>
      <c r="P72" s="49">
        <f>Таблица6[[#This Row],[Столбец11]]+Таблица6[[#This Row],[Столбец12]]</f>
        <v>0</v>
      </c>
      <c r="Q72" s="5"/>
      <c r="R72" s="5"/>
      <c r="S72" s="215"/>
      <c r="T72" s="7"/>
      <c r="U72" s="8"/>
      <c r="V72" s="7"/>
      <c r="W72" s="8"/>
      <c r="X72" s="9">
        <f>Таблица6[[#This Row],[Столбец16]]-Таблица6[[#This Row],[Столбец13]]</f>
        <v>0</v>
      </c>
      <c r="Y72" s="10" t="e">
        <f>Таблица6[[#This Row],[Столбец21]]/Таблица6[[#This Row],[Столбец13]]</f>
        <v>#DIV/0!</v>
      </c>
    </row>
    <row r="73" spans="1:25" ht="16.5" thickBot="1" x14ac:dyDescent="0.3">
      <c r="A73" s="33">
        <v>72</v>
      </c>
      <c r="B73" s="33"/>
      <c r="C73" s="33"/>
      <c r="D73" s="33"/>
      <c r="E73" s="33"/>
      <c r="F73" s="33"/>
      <c r="G73" s="33"/>
      <c r="H73" s="139"/>
      <c r="I73" s="33"/>
      <c r="J73" s="33">
        <v>29</v>
      </c>
      <c r="K73" s="139" t="str">
        <f t="shared" si="1"/>
        <v>0072-10</v>
      </c>
      <c r="L73" s="33">
        <v>72</v>
      </c>
      <c r="M73" s="33"/>
      <c r="N73" s="47"/>
      <c r="O73" s="48"/>
      <c r="P73" s="49">
        <f>Таблица6[[#This Row],[Столбец11]]+Таблица6[[#This Row],[Столбец12]]</f>
        <v>0</v>
      </c>
      <c r="Q73" s="5"/>
      <c r="R73" s="5"/>
      <c r="S73" s="215"/>
      <c r="T73" s="7"/>
      <c r="U73" s="8"/>
      <c r="V73" s="7"/>
      <c r="W73" s="8"/>
      <c r="X73" s="9">
        <f>Таблица6[[#This Row],[Столбец16]]-Таблица6[[#This Row],[Столбец13]]</f>
        <v>0</v>
      </c>
      <c r="Y73" s="10" t="e">
        <f>Таблица6[[#This Row],[Столбец21]]/Таблица6[[#This Row],[Столбец13]]</f>
        <v>#DIV/0!</v>
      </c>
    </row>
    <row r="74" spans="1:25" ht="16.5" thickBot="1" x14ac:dyDescent="0.3">
      <c r="A74" s="32">
        <v>73</v>
      </c>
      <c r="B74" s="32"/>
      <c r="C74" s="33"/>
      <c r="D74" s="33"/>
      <c r="E74" s="33"/>
      <c r="F74" s="33"/>
      <c r="G74" s="33"/>
      <c r="H74" s="139"/>
      <c r="I74" s="33"/>
      <c r="J74" s="32">
        <v>30</v>
      </c>
      <c r="K74" s="138" t="str">
        <f t="shared" si="1"/>
        <v>0073-10</v>
      </c>
      <c r="L74" s="33">
        <v>73</v>
      </c>
      <c r="M74" s="33"/>
      <c r="N74" s="47"/>
      <c r="O74" s="48"/>
      <c r="P74" s="49">
        <f>Таблица6[[#This Row],[Столбец11]]+Таблица6[[#This Row],[Столбец12]]</f>
        <v>0</v>
      </c>
      <c r="Q74" s="5"/>
      <c r="R74" s="5"/>
      <c r="S74" s="215"/>
      <c r="T74" s="7"/>
      <c r="U74" s="8"/>
      <c r="V74" s="7"/>
      <c r="W74" s="8"/>
      <c r="X74" s="9">
        <f>Таблица6[[#This Row],[Столбец16]]-Таблица6[[#This Row],[Столбец13]]</f>
        <v>0</v>
      </c>
      <c r="Y74" s="10" t="e">
        <f>Таблица6[[#This Row],[Столбец21]]/Таблица6[[#This Row],[Столбец13]]</f>
        <v>#DIV/0!</v>
      </c>
    </row>
    <row r="75" spans="1:25" ht="16.5" thickBot="1" x14ac:dyDescent="0.3">
      <c r="A75" s="33">
        <v>74</v>
      </c>
      <c r="B75" s="33"/>
      <c r="C75" s="33"/>
      <c r="D75" s="33"/>
      <c r="E75" s="33"/>
      <c r="F75" s="33"/>
      <c r="G75" s="33"/>
      <c r="H75" s="139"/>
      <c r="I75" s="33"/>
      <c r="J75" s="33">
        <v>31</v>
      </c>
      <c r="K75" s="139" t="str">
        <f t="shared" si="1"/>
        <v>0074-10</v>
      </c>
      <c r="L75" s="33">
        <v>74</v>
      </c>
      <c r="M75" s="33"/>
      <c r="N75" s="47"/>
      <c r="O75" s="48"/>
      <c r="P75" s="49">
        <f>Таблица6[[#This Row],[Столбец11]]+Таблица6[[#This Row],[Столбец12]]</f>
        <v>0</v>
      </c>
      <c r="Q75" s="5"/>
      <c r="R75" s="5"/>
      <c r="S75" s="215"/>
      <c r="T75" s="7"/>
      <c r="U75" s="8"/>
      <c r="V75" s="7"/>
      <c r="W75" s="8"/>
      <c r="X75" s="9">
        <f>Таблица6[[#This Row],[Столбец16]]-Таблица6[[#This Row],[Столбец13]]</f>
        <v>0</v>
      </c>
      <c r="Y75" s="10" t="e">
        <f>Таблица6[[#This Row],[Столбец21]]/Таблица6[[#This Row],[Столбец13]]</f>
        <v>#DIV/0!</v>
      </c>
    </row>
    <row r="76" spans="1:25" ht="16.5" thickBot="1" x14ac:dyDescent="0.3">
      <c r="A76" s="32">
        <v>75</v>
      </c>
      <c r="B76" s="32"/>
      <c r="C76" s="33"/>
      <c r="D76" s="33"/>
      <c r="E76" s="33"/>
      <c r="F76" s="33"/>
      <c r="G76" s="33"/>
      <c r="H76" s="139"/>
      <c r="I76" s="33"/>
      <c r="J76" s="32">
        <v>1</v>
      </c>
      <c r="K76" s="138" t="str">
        <f t="shared" si="1"/>
        <v>0075-10</v>
      </c>
      <c r="L76" s="33">
        <v>75</v>
      </c>
      <c r="M76" s="33"/>
      <c r="N76" s="47"/>
      <c r="O76" s="48"/>
      <c r="P76" s="49">
        <f>Таблица6[[#This Row],[Столбец11]]+Таблица6[[#This Row],[Столбец12]]</f>
        <v>0</v>
      </c>
      <c r="Q76" s="5"/>
      <c r="R76" s="5"/>
      <c r="S76" s="215"/>
      <c r="T76" s="7"/>
      <c r="U76" s="8"/>
      <c r="V76" s="7"/>
      <c r="W76" s="8"/>
      <c r="X76" s="9">
        <f>Таблица6[[#This Row],[Столбец16]]-Таблица6[[#This Row],[Столбец13]]</f>
        <v>0</v>
      </c>
      <c r="Y76" s="10" t="e">
        <f>Таблица6[[#This Row],[Столбец21]]/Таблица6[[#This Row],[Столбец13]]</f>
        <v>#DIV/0!</v>
      </c>
    </row>
    <row r="77" spans="1:25" ht="16.5" thickBot="1" x14ac:dyDescent="0.3">
      <c r="A77" s="33">
        <v>76</v>
      </c>
      <c r="B77" s="33"/>
      <c r="C77" s="33"/>
      <c r="D77" s="33"/>
      <c r="E77" s="33"/>
      <c r="F77" s="33"/>
      <c r="G77" s="33"/>
      <c r="H77" s="139"/>
      <c r="I77" s="33"/>
      <c r="J77" s="33">
        <v>2</v>
      </c>
      <c r="K77" s="139" t="str">
        <f t="shared" si="1"/>
        <v>0076-10</v>
      </c>
      <c r="L77" s="33">
        <v>76</v>
      </c>
      <c r="M77" s="33"/>
      <c r="N77" s="47"/>
      <c r="O77" s="48"/>
      <c r="P77" s="49">
        <f>Таблица6[[#This Row],[Столбец11]]+Таблица6[[#This Row],[Столбец12]]</f>
        <v>0</v>
      </c>
      <c r="Q77" s="5"/>
      <c r="R77" s="5"/>
      <c r="S77" s="215"/>
      <c r="T77" s="7"/>
      <c r="U77" s="8"/>
      <c r="V77" s="7"/>
      <c r="W77" s="8"/>
      <c r="X77" s="9">
        <f>Таблица6[[#This Row],[Столбец16]]-Таблица6[[#This Row],[Столбец13]]</f>
        <v>0</v>
      </c>
      <c r="Y77" s="10" t="e">
        <f>Таблица6[[#This Row],[Столбец21]]/Таблица6[[#This Row],[Столбец13]]</f>
        <v>#DIV/0!</v>
      </c>
    </row>
    <row r="78" spans="1:25" ht="16.5" thickBot="1" x14ac:dyDescent="0.3">
      <c r="A78" s="32">
        <v>77</v>
      </c>
      <c r="B78" s="32"/>
      <c r="C78" s="33"/>
      <c r="D78" s="33"/>
      <c r="E78" s="33"/>
      <c r="F78" s="33"/>
      <c r="G78" s="33"/>
      <c r="H78" s="139"/>
      <c r="I78" s="33"/>
      <c r="J78" s="32">
        <v>3</v>
      </c>
      <c r="K78" s="138" t="str">
        <f t="shared" si="1"/>
        <v>0077-10</v>
      </c>
      <c r="L78" s="33">
        <v>77</v>
      </c>
      <c r="M78" s="33"/>
      <c r="N78" s="47"/>
      <c r="O78" s="48"/>
      <c r="P78" s="49">
        <f>Таблица6[[#This Row],[Столбец11]]+Таблица6[[#This Row],[Столбец12]]</f>
        <v>0</v>
      </c>
      <c r="Q78" s="5"/>
      <c r="R78" s="5"/>
      <c r="S78" s="215"/>
      <c r="T78" s="7"/>
      <c r="U78" s="8"/>
      <c r="V78" s="7"/>
      <c r="W78" s="8"/>
      <c r="X78" s="9">
        <f>Таблица6[[#This Row],[Столбец16]]-Таблица6[[#This Row],[Столбец13]]</f>
        <v>0</v>
      </c>
      <c r="Y78" s="10" t="e">
        <f>Таблица6[[#This Row],[Столбец21]]/Таблица6[[#This Row],[Столбец13]]</f>
        <v>#DIV/0!</v>
      </c>
    </row>
    <row r="79" spans="1:25" ht="16.5" thickBot="1" x14ac:dyDescent="0.3">
      <c r="A79" s="33">
        <v>78</v>
      </c>
      <c r="B79" s="33"/>
      <c r="C79" s="33"/>
      <c r="D79" s="33"/>
      <c r="E79" s="33"/>
      <c r="F79" s="33"/>
      <c r="G79" s="33"/>
      <c r="H79" s="139"/>
      <c r="I79" s="33"/>
      <c r="J79" s="33">
        <v>4</v>
      </c>
      <c r="K79" s="139" t="str">
        <f t="shared" si="1"/>
        <v>0078-10</v>
      </c>
      <c r="L79" s="33">
        <v>78</v>
      </c>
      <c r="M79" s="33"/>
      <c r="N79" s="47"/>
      <c r="O79" s="48"/>
      <c r="P79" s="49">
        <f>Таблица6[[#This Row],[Столбец11]]+Таблица6[[#This Row],[Столбец12]]</f>
        <v>0</v>
      </c>
      <c r="Q79" s="5"/>
      <c r="R79" s="5"/>
      <c r="S79" s="215"/>
      <c r="T79" s="7"/>
      <c r="U79" s="8"/>
      <c r="V79" s="7"/>
      <c r="W79" s="8"/>
      <c r="X79" s="9">
        <f>Таблица6[[#This Row],[Столбец16]]-Таблица6[[#This Row],[Столбец13]]</f>
        <v>0</v>
      </c>
      <c r="Y79" s="10" t="e">
        <f>Таблица6[[#This Row],[Столбец21]]/Таблица6[[#This Row],[Столбец13]]</f>
        <v>#DIV/0!</v>
      </c>
    </row>
    <row r="80" spans="1:25" ht="16.5" thickBot="1" x14ac:dyDescent="0.3">
      <c r="A80" s="32">
        <v>79</v>
      </c>
      <c r="B80" s="32"/>
      <c r="C80" s="33"/>
      <c r="D80" s="33"/>
      <c r="E80" s="33"/>
      <c r="F80" s="33"/>
      <c r="G80" s="33"/>
      <c r="H80" s="139"/>
      <c r="I80" s="33"/>
      <c r="J80" s="32">
        <v>5</v>
      </c>
      <c r="K80" s="138" t="str">
        <f t="shared" si="1"/>
        <v>0079-10</v>
      </c>
      <c r="L80" s="33">
        <v>79</v>
      </c>
      <c r="M80" s="33"/>
      <c r="N80" s="47"/>
      <c r="O80" s="48"/>
      <c r="P80" s="49">
        <f>Таблица6[[#This Row],[Столбец11]]+Таблица6[[#This Row],[Столбец12]]</f>
        <v>0</v>
      </c>
      <c r="Q80" s="5"/>
      <c r="R80" s="5"/>
      <c r="S80" s="215"/>
      <c r="T80" s="7"/>
      <c r="U80" s="8"/>
      <c r="V80" s="7"/>
      <c r="W80" s="8"/>
      <c r="X80" s="9">
        <f>Таблица6[[#This Row],[Столбец16]]-Таблица6[[#This Row],[Столбец13]]</f>
        <v>0</v>
      </c>
      <c r="Y80" s="10" t="e">
        <f>Таблица6[[#This Row],[Столбец21]]/Таблица6[[#This Row],[Столбец13]]</f>
        <v>#DIV/0!</v>
      </c>
    </row>
    <row r="81" spans="1:25" ht="16.5" thickBot="1" x14ac:dyDescent="0.3">
      <c r="A81" s="33">
        <v>80</v>
      </c>
      <c r="B81" s="33"/>
      <c r="C81" s="33"/>
      <c r="D81" s="33"/>
      <c r="E81" s="33"/>
      <c r="F81" s="33"/>
      <c r="G81" s="33"/>
      <c r="H81" s="139"/>
      <c r="I81" s="33"/>
      <c r="J81" s="33">
        <v>6</v>
      </c>
      <c r="K81" s="139" t="str">
        <f t="shared" si="1"/>
        <v>0080-10</v>
      </c>
      <c r="L81" s="33">
        <v>80</v>
      </c>
      <c r="M81" s="33"/>
      <c r="N81" s="47"/>
      <c r="O81" s="48"/>
      <c r="P81" s="49">
        <f>Таблица6[[#This Row],[Столбец11]]+Таблица6[[#This Row],[Столбец12]]</f>
        <v>0</v>
      </c>
      <c r="Q81" s="5"/>
      <c r="R81" s="5"/>
      <c r="S81" s="215"/>
      <c r="T81" s="7"/>
      <c r="U81" s="8"/>
      <c r="V81" s="7"/>
      <c r="W81" s="8"/>
      <c r="X81" s="9">
        <f>Таблица6[[#This Row],[Столбец16]]-Таблица6[[#This Row],[Столбец13]]</f>
        <v>0</v>
      </c>
      <c r="Y81" s="10" t="e">
        <f>Таблица6[[#This Row],[Столбец21]]/Таблица6[[#This Row],[Столбец13]]</f>
        <v>#DIV/0!</v>
      </c>
    </row>
    <row r="82" spans="1:25" ht="16.5" thickBot="1" x14ac:dyDescent="0.3">
      <c r="A82" s="32">
        <v>81</v>
      </c>
      <c r="B82" s="32"/>
      <c r="C82" s="33"/>
      <c r="D82" s="33"/>
      <c r="E82" s="33"/>
      <c r="F82" s="33"/>
      <c r="G82" s="33"/>
      <c r="H82" s="139"/>
      <c r="I82" s="33"/>
      <c r="J82" s="32">
        <v>7</v>
      </c>
      <c r="K82" s="138" t="str">
        <f t="shared" si="1"/>
        <v>0081-10</v>
      </c>
      <c r="L82" s="33">
        <v>81</v>
      </c>
      <c r="M82" s="33"/>
      <c r="N82" s="47"/>
      <c r="O82" s="48"/>
      <c r="P82" s="49">
        <f>Таблица6[[#This Row],[Столбец11]]+Таблица6[[#This Row],[Столбец12]]</f>
        <v>0</v>
      </c>
      <c r="Q82" s="5"/>
      <c r="R82" s="5"/>
      <c r="S82" s="215"/>
      <c r="T82" s="7"/>
      <c r="U82" s="8"/>
      <c r="V82" s="7"/>
      <c r="W82" s="8"/>
      <c r="X82" s="9">
        <f>Таблица6[[#This Row],[Столбец16]]-Таблица6[[#This Row],[Столбец13]]</f>
        <v>0</v>
      </c>
      <c r="Y82" s="10" t="e">
        <f>Таблица6[[#This Row],[Столбец21]]/Таблица6[[#This Row],[Столбец13]]</f>
        <v>#DIV/0!</v>
      </c>
    </row>
    <row r="83" spans="1:25" ht="16.5" thickBot="1" x14ac:dyDescent="0.3">
      <c r="A83" s="33">
        <v>82</v>
      </c>
      <c r="B83" s="33"/>
      <c r="C83" s="33"/>
      <c r="D83" s="33"/>
      <c r="E83" s="33"/>
      <c r="F83" s="33"/>
      <c r="G83" s="33"/>
      <c r="H83" s="139"/>
      <c r="I83" s="33"/>
      <c r="J83" s="33">
        <v>8</v>
      </c>
      <c r="K83" s="139" t="str">
        <f t="shared" si="1"/>
        <v>0082-10</v>
      </c>
      <c r="L83" s="33">
        <v>82</v>
      </c>
      <c r="M83" s="33"/>
      <c r="N83" s="47"/>
      <c r="O83" s="48"/>
      <c r="P83" s="49">
        <f>Таблица6[[#This Row],[Столбец11]]+Таблица6[[#This Row],[Столбец12]]</f>
        <v>0</v>
      </c>
      <c r="Q83" s="5"/>
      <c r="R83" s="5"/>
      <c r="S83" s="215"/>
      <c r="T83" s="7"/>
      <c r="U83" s="8"/>
      <c r="V83" s="7"/>
      <c r="W83" s="8"/>
      <c r="X83" s="9">
        <f>Таблица6[[#This Row],[Столбец16]]-Таблица6[[#This Row],[Столбец13]]</f>
        <v>0</v>
      </c>
      <c r="Y83" s="10" t="e">
        <f>Таблица6[[#This Row],[Столбец21]]/Таблица6[[#This Row],[Столбец13]]</f>
        <v>#DIV/0!</v>
      </c>
    </row>
    <row r="84" spans="1:25" ht="16.5" thickBot="1" x14ac:dyDescent="0.3">
      <c r="A84" s="32">
        <v>83</v>
      </c>
      <c r="B84" s="32"/>
      <c r="C84" s="33"/>
      <c r="D84" s="33"/>
      <c r="E84" s="33"/>
      <c r="F84" s="33"/>
      <c r="G84" s="33"/>
      <c r="H84" s="139"/>
      <c r="I84" s="33"/>
      <c r="J84" s="32">
        <v>9</v>
      </c>
      <c r="K84" s="138" t="str">
        <f t="shared" si="1"/>
        <v>0083-10</v>
      </c>
      <c r="L84" s="33">
        <v>83</v>
      </c>
      <c r="M84" s="33"/>
      <c r="N84" s="47"/>
      <c r="O84" s="48"/>
      <c r="P84" s="49">
        <f>Таблица6[[#This Row],[Столбец11]]+Таблица6[[#This Row],[Столбец12]]</f>
        <v>0</v>
      </c>
      <c r="Q84" s="5"/>
      <c r="R84" s="5"/>
      <c r="S84" s="215"/>
      <c r="T84" s="7"/>
      <c r="U84" s="8"/>
      <c r="V84" s="7"/>
      <c r="W84" s="8"/>
      <c r="X84" s="9">
        <f>Таблица6[[#This Row],[Столбец16]]-Таблица6[[#This Row],[Столбец13]]</f>
        <v>0</v>
      </c>
      <c r="Y84" s="10" t="e">
        <f>Таблица6[[#This Row],[Столбец21]]/Таблица6[[#This Row],[Столбец13]]</f>
        <v>#DIV/0!</v>
      </c>
    </row>
    <row r="85" spans="1:25" ht="16.5" thickBot="1" x14ac:dyDescent="0.3">
      <c r="A85" s="33">
        <v>84</v>
      </c>
      <c r="B85" s="33"/>
      <c r="C85" s="33"/>
      <c r="D85" s="33"/>
      <c r="E85" s="33"/>
      <c r="F85" s="33"/>
      <c r="G85" s="33"/>
      <c r="H85" s="139"/>
      <c r="I85" s="33"/>
      <c r="J85" s="33">
        <v>10</v>
      </c>
      <c r="K85" s="139" t="str">
        <f t="shared" si="1"/>
        <v>0084-10</v>
      </c>
      <c r="L85" s="33">
        <v>84</v>
      </c>
      <c r="M85" s="33"/>
      <c r="N85" s="47"/>
      <c r="O85" s="48"/>
      <c r="P85" s="49">
        <f>Таблица6[[#This Row],[Столбец11]]+Таблица6[[#This Row],[Столбец12]]</f>
        <v>0</v>
      </c>
      <c r="Q85" s="5"/>
      <c r="R85" s="5"/>
      <c r="S85" s="215"/>
      <c r="T85" s="7"/>
      <c r="U85" s="8"/>
      <c r="V85" s="7"/>
      <c r="W85" s="8"/>
      <c r="X85" s="9">
        <f>Таблица6[[#This Row],[Столбец16]]-Таблица6[[#This Row],[Столбец13]]</f>
        <v>0</v>
      </c>
      <c r="Y85" s="10" t="e">
        <f>Таблица6[[#This Row],[Столбец21]]/Таблица6[[#This Row],[Столбец13]]</f>
        <v>#DIV/0!</v>
      </c>
    </row>
    <row r="86" spans="1:25" ht="16.5" thickBot="1" x14ac:dyDescent="0.3">
      <c r="A86" s="32">
        <v>85</v>
      </c>
      <c r="B86" s="32"/>
      <c r="C86" s="33"/>
      <c r="D86" s="33"/>
      <c r="E86" s="33"/>
      <c r="F86" s="33"/>
      <c r="G86" s="33"/>
      <c r="H86" s="139"/>
      <c r="I86" s="33"/>
      <c r="J86" s="32">
        <v>11</v>
      </c>
      <c r="K86" s="138" t="str">
        <f t="shared" si="1"/>
        <v>0085-10</v>
      </c>
      <c r="L86" s="33">
        <v>85</v>
      </c>
      <c r="M86" s="33"/>
      <c r="N86" s="47"/>
      <c r="O86" s="48"/>
      <c r="P86" s="49">
        <f>Таблица6[[#This Row],[Столбец11]]+Таблица6[[#This Row],[Столбец12]]</f>
        <v>0</v>
      </c>
      <c r="Q86" s="5"/>
      <c r="R86" s="5"/>
      <c r="S86" s="215"/>
      <c r="T86" s="7"/>
      <c r="U86" s="8"/>
      <c r="V86" s="7"/>
      <c r="W86" s="8"/>
      <c r="X86" s="9">
        <f>Таблица6[[#This Row],[Столбец16]]-Таблица6[[#This Row],[Столбец13]]</f>
        <v>0</v>
      </c>
      <c r="Y86" s="10" t="e">
        <f>Таблица6[[#This Row],[Столбец21]]/Таблица6[[#This Row],[Столбец13]]</f>
        <v>#DIV/0!</v>
      </c>
    </row>
    <row r="87" spans="1:25" ht="16.5" thickBot="1" x14ac:dyDescent="0.3">
      <c r="A87" s="33">
        <v>86</v>
      </c>
      <c r="B87" s="33"/>
      <c r="C87" s="33"/>
      <c r="D87" s="33"/>
      <c r="E87" s="33"/>
      <c r="F87" s="33"/>
      <c r="G87" s="33"/>
      <c r="H87" s="139"/>
      <c r="I87" s="33"/>
      <c r="J87" s="33">
        <v>12</v>
      </c>
      <c r="K87" s="139" t="str">
        <f t="shared" si="1"/>
        <v>0086-10</v>
      </c>
      <c r="L87" s="33">
        <v>86</v>
      </c>
      <c r="M87" s="33"/>
      <c r="N87" s="47"/>
      <c r="O87" s="48"/>
      <c r="P87" s="49">
        <f>Таблица6[[#This Row],[Столбец11]]+Таблица6[[#This Row],[Столбец12]]</f>
        <v>0</v>
      </c>
      <c r="Q87" s="5"/>
      <c r="R87" s="5"/>
      <c r="S87" s="215"/>
      <c r="T87" s="7"/>
      <c r="U87" s="8"/>
      <c r="V87" s="7"/>
      <c r="W87" s="8"/>
      <c r="X87" s="9">
        <f>Таблица6[[#This Row],[Столбец16]]-Таблица6[[#This Row],[Столбец13]]</f>
        <v>0</v>
      </c>
      <c r="Y87" s="10" t="e">
        <f>Таблица6[[#This Row],[Столбец21]]/Таблица6[[#This Row],[Столбец13]]</f>
        <v>#DIV/0!</v>
      </c>
    </row>
    <row r="88" spans="1:25" ht="16.5" thickBot="1" x14ac:dyDescent="0.3">
      <c r="A88" s="32">
        <v>87</v>
      </c>
      <c r="B88" s="32"/>
      <c r="C88" s="33"/>
      <c r="D88" s="33"/>
      <c r="E88" s="33"/>
      <c r="F88" s="33"/>
      <c r="G88" s="33"/>
      <c r="H88" s="139"/>
      <c r="I88" s="33"/>
      <c r="J88" s="32">
        <v>13</v>
      </c>
      <c r="K88" s="138" t="str">
        <f t="shared" si="1"/>
        <v>0087-10</v>
      </c>
      <c r="L88" s="33">
        <v>87</v>
      </c>
      <c r="M88" s="33"/>
      <c r="N88" s="47"/>
      <c r="O88" s="48"/>
      <c r="P88" s="49">
        <f>Таблица6[[#This Row],[Столбец11]]+Таблица6[[#This Row],[Столбец12]]</f>
        <v>0</v>
      </c>
      <c r="Q88" s="5"/>
      <c r="R88" s="5"/>
      <c r="S88" s="215"/>
      <c r="T88" s="7"/>
      <c r="U88" s="8"/>
      <c r="V88" s="7"/>
      <c r="W88" s="8"/>
      <c r="X88" s="9">
        <f>Таблица6[[#This Row],[Столбец16]]-Таблица6[[#This Row],[Столбец13]]</f>
        <v>0</v>
      </c>
      <c r="Y88" s="10" t="e">
        <f>Таблица6[[#This Row],[Столбец21]]/Таблица6[[#This Row],[Столбец13]]</f>
        <v>#DIV/0!</v>
      </c>
    </row>
    <row r="89" spans="1:25" ht="16.5" thickBot="1" x14ac:dyDescent="0.3">
      <c r="A89" s="33">
        <v>88</v>
      </c>
      <c r="B89" s="33"/>
      <c r="C89" s="33"/>
      <c r="D89" s="33"/>
      <c r="E89" s="33"/>
      <c r="F89" s="33"/>
      <c r="G89" s="33"/>
      <c r="H89" s="139"/>
      <c r="I89" s="33"/>
      <c r="J89" s="33">
        <v>14</v>
      </c>
      <c r="K89" s="139" t="str">
        <f t="shared" si="1"/>
        <v>0088-10</v>
      </c>
      <c r="L89" s="33">
        <v>88</v>
      </c>
      <c r="M89" s="33"/>
      <c r="N89" s="47"/>
      <c r="O89" s="48"/>
      <c r="P89" s="49">
        <f>Таблица6[[#This Row],[Столбец11]]+Таблица6[[#This Row],[Столбец12]]</f>
        <v>0</v>
      </c>
      <c r="Q89" s="5"/>
      <c r="R89" s="5"/>
      <c r="S89" s="215"/>
      <c r="T89" s="7"/>
      <c r="U89" s="8"/>
      <c r="V89" s="7"/>
      <c r="W89" s="8"/>
      <c r="X89" s="9">
        <f>Таблица6[[#This Row],[Столбец16]]-Таблица6[[#This Row],[Столбец13]]</f>
        <v>0</v>
      </c>
      <c r="Y89" s="10" t="e">
        <f>Таблица6[[#This Row],[Столбец21]]/Таблица6[[#This Row],[Столбец13]]</f>
        <v>#DIV/0!</v>
      </c>
    </row>
    <row r="90" spans="1:25" ht="16.5" thickBot="1" x14ac:dyDescent="0.3">
      <c r="A90" s="32">
        <v>89</v>
      </c>
      <c r="B90" s="32"/>
      <c r="C90" s="33"/>
      <c r="D90" s="33"/>
      <c r="E90" s="33"/>
      <c r="F90" s="33"/>
      <c r="G90" s="33"/>
      <c r="H90" s="139"/>
      <c r="I90" s="33"/>
      <c r="J90" s="32">
        <v>15</v>
      </c>
      <c r="K90" s="138" t="str">
        <f t="shared" si="1"/>
        <v>0089-10</v>
      </c>
      <c r="L90" s="33">
        <v>89</v>
      </c>
      <c r="M90" s="33"/>
      <c r="N90" s="47"/>
      <c r="O90" s="48"/>
      <c r="P90" s="49">
        <f>Таблица6[[#This Row],[Столбец11]]+Таблица6[[#This Row],[Столбец12]]</f>
        <v>0</v>
      </c>
      <c r="Q90" s="5"/>
      <c r="R90" s="5"/>
      <c r="S90" s="215"/>
      <c r="T90" s="7"/>
      <c r="U90" s="8"/>
      <c r="V90" s="7"/>
      <c r="W90" s="8"/>
      <c r="X90" s="9">
        <f>Таблица6[[#This Row],[Столбец16]]-Таблица6[[#This Row],[Столбец13]]</f>
        <v>0</v>
      </c>
      <c r="Y90" s="10" t="e">
        <f>Таблица6[[#This Row],[Столбец21]]/Таблица6[[#This Row],[Столбец13]]</f>
        <v>#DIV/0!</v>
      </c>
    </row>
    <row r="91" spans="1:25" ht="16.5" thickBot="1" x14ac:dyDescent="0.3">
      <c r="A91" s="33">
        <v>90</v>
      </c>
      <c r="B91" s="33"/>
      <c r="C91" s="33"/>
      <c r="D91" s="33"/>
      <c r="E91" s="33"/>
      <c r="F91" s="33"/>
      <c r="G91" s="33"/>
      <c r="H91" s="139"/>
      <c r="I91" s="33"/>
      <c r="J91" s="33">
        <v>16</v>
      </c>
      <c r="K91" s="139" t="str">
        <f t="shared" si="1"/>
        <v>0090-10</v>
      </c>
      <c r="L91" s="33">
        <v>90</v>
      </c>
      <c r="M91" s="33"/>
      <c r="N91" s="47"/>
      <c r="O91" s="48"/>
      <c r="P91" s="49">
        <f>Таблица6[[#This Row],[Столбец11]]+Таблица6[[#This Row],[Столбец12]]</f>
        <v>0</v>
      </c>
      <c r="Q91" s="5"/>
      <c r="R91" s="5"/>
      <c r="S91" s="215"/>
      <c r="T91" s="7"/>
      <c r="U91" s="8"/>
      <c r="V91" s="7"/>
      <c r="W91" s="8"/>
      <c r="X91" s="9">
        <f>Таблица6[[#This Row],[Столбец16]]-Таблица6[[#This Row],[Столбец13]]</f>
        <v>0</v>
      </c>
      <c r="Y91" s="10" t="e">
        <f>Таблица6[[#This Row],[Столбец21]]/Таблица6[[#This Row],[Столбец13]]</f>
        <v>#DIV/0!</v>
      </c>
    </row>
    <row r="92" spans="1:25" ht="16.5" thickBot="1" x14ac:dyDescent="0.3">
      <c r="A92" s="32">
        <v>91</v>
      </c>
      <c r="B92" s="32"/>
      <c r="C92" s="33"/>
      <c r="D92" s="33"/>
      <c r="E92" s="33"/>
      <c r="F92" s="33"/>
      <c r="G92" s="33"/>
      <c r="H92" s="139"/>
      <c r="I92" s="33"/>
      <c r="J92" s="32">
        <v>17</v>
      </c>
      <c r="K92" s="138" t="str">
        <f t="shared" si="1"/>
        <v>0091-10</v>
      </c>
      <c r="L92" s="33">
        <v>91</v>
      </c>
      <c r="M92" s="33"/>
      <c r="N92" s="47"/>
      <c r="O92" s="48"/>
      <c r="P92" s="49"/>
      <c r="Q92" s="5"/>
      <c r="R92" s="5"/>
      <c r="S92" s="215"/>
      <c r="T92" s="7"/>
      <c r="U92" s="8"/>
      <c r="V92" s="7"/>
      <c r="W92" s="8"/>
      <c r="X92" s="9">
        <f>Таблица6[[#This Row],[Столбец16]]-Таблица6[[#This Row],[Столбец13]]</f>
        <v>0</v>
      </c>
      <c r="Y92" s="10"/>
    </row>
    <row r="93" spans="1:25" ht="16.5" thickBot="1" x14ac:dyDescent="0.3">
      <c r="A93" s="33">
        <v>92</v>
      </c>
      <c r="B93" s="33"/>
      <c r="C93" s="33"/>
      <c r="D93" s="33"/>
      <c r="E93" s="33"/>
      <c r="F93" s="33"/>
      <c r="G93" s="33"/>
      <c r="H93" s="139"/>
      <c r="I93" s="33"/>
      <c r="J93" s="33">
        <v>18</v>
      </c>
      <c r="K93" s="139" t="str">
        <f t="shared" si="1"/>
        <v>0092-10</v>
      </c>
      <c r="L93" s="33">
        <v>92</v>
      </c>
      <c r="M93" s="33"/>
      <c r="N93" s="47"/>
      <c r="O93" s="48"/>
      <c r="P93" s="49">
        <f>Таблица6[[#This Row],[Столбец11]]+Таблица6[[#This Row],[Столбец12]]</f>
        <v>0</v>
      </c>
      <c r="Q93" s="5"/>
      <c r="R93" s="5"/>
      <c r="S93" s="215"/>
      <c r="T93" s="7"/>
      <c r="U93" s="8"/>
      <c r="V93" s="7"/>
      <c r="W93" s="8"/>
      <c r="X93" s="9">
        <f>Таблица6[[#This Row],[Столбец16]]-Таблица6[[#This Row],[Столбец13]]</f>
        <v>0</v>
      </c>
      <c r="Y93" s="10" t="e">
        <f>Таблица6[[#This Row],[Столбец21]]/Таблица6[[#This Row],[Столбец13]]</f>
        <v>#DIV/0!</v>
      </c>
    </row>
    <row r="94" spans="1:25" ht="16.5" outlineLevel="1" thickBot="1" x14ac:dyDescent="0.3">
      <c r="A94" s="32">
        <v>93</v>
      </c>
      <c r="B94" s="32"/>
      <c r="C94" s="33"/>
      <c r="D94" s="33"/>
      <c r="E94" s="33"/>
      <c r="F94" s="33"/>
      <c r="G94" s="33"/>
      <c r="H94" s="139"/>
      <c r="I94" s="33"/>
      <c r="J94" s="32">
        <v>19</v>
      </c>
      <c r="K94" s="138" t="str">
        <f t="shared" si="1"/>
        <v>0093-10</v>
      </c>
      <c r="L94" s="33">
        <v>93</v>
      </c>
      <c r="M94" s="33"/>
      <c r="N94" s="47"/>
      <c r="O94" s="48"/>
      <c r="P94" s="49">
        <f>Таблица6[[#This Row],[Столбец11]]+Таблица6[[#This Row],[Столбец12]]</f>
        <v>0</v>
      </c>
      <c r="Q94" s="5"/>
      <c r="R94" s="5"/>
      <c r="S94" s="215"/>
      <c r="T94" s="7"/>
      <c r="U94" s="8"/>
      <c r="V94" s="7"/>
      <c r="W94" s="8"/>
      <c r="X94" s="9">
        <f>Таблица6[[#This Row],[Столбец16]]-Таблица6[[#This Row],[Столбец13]]</f>
        <v>0</v>
      </c>
      <c r="Y94" s="10" t="e">
        <f>Таблица6[[#This Row],[Столбец21]]/Таблица6[[#This Row],[Столбец13]]</f>
        <v>#DIV/0!</v>
      </c>
    </row>
    <row r="95" spans="1:25" ht="16.5" outlineLevel="1" thickBot="1" x14ac:dyDescent="0.3">
      <c r="A95" s="33">
        <v>94</v>
      </c>
      <c r="B95" s="33"/>
      <c r="C95" s="33"/>
      <c r="D95" s="33"/>
      <c r="E95" s="33"/>
      <c r="F95" s="33"/>
      <c r="G95" s="33"/>
      <c r="H95" s="139"/>
      <c r="I95" s="33"/>
      <c r="J95" s="33">
        <v>20</v>
      </c>
      <c r="K95" s="139" t="str">
        <f t="shared" si="1"/>
        <v>0094-10</v>
      </c>
      <c r="L95" s="33">
        <v>94</v>
      </c>
      <c r="M95" s="33"/>
      <c r="N95" s="47"/>
      <c r="O95" s="48"/>
      <c r="P95" s="49">
        <f>Таблица6[[#This Row],[Столбец11]]+Таблица6[[#This Row],[Столбец12]]</f>
        <v>0</v>
      </c>
      <c r="Q95" s="5"/>
      <c r="R95" s="5"/>
      <c r="S95" s="215"/>
      <c r="T95" s="7"/>
      <c r="U95" s="8"/>
      <c r="V95" s="7"/>
      <c r="W95" s="8"/>
      <c r="X95" s="9">
        <f>Таблица6[[#This Row],[Столбец16]]-Таблица6[[#This Row],[Столбец13]]</f>
        <v>0</v>
      </c>
      <c r="Y95" s="10" t="e">
        <f>Таблица6[[#This Row],[Столбец21]]/Таблица6[[#This Row],[Столбец13]]</f>
        <v>#DIV/0!</v>
      </c>
    </row>
    <row r="96" spans="1:25" ht="16.5" outlineLevel="1" thickBot="1" x14ac:dyDescent="0.3">
      <c r="A96" s="32">
        <v>95</v>
      </c>
      <c r="B96" s="32"/>
      <c r="C96" s="33"/>
      <c r="D96" s="33"/>
      <c r="E96" s="33"/>
      <c r="F96" s="33"/>
      <c r="G96" s="33"/>
      <c r="H96" s="139"/>
      <c r="I96" s="33"/>
      <c r="J96" s="32">
        <v>21</v>
      </c>
      <c r="K96" s="138" t="str">
        <f t="shared" si="1"/>
        <v>0095-10</v>
      </c>
      <c r="L96" s="33">
        <v>95</v>
      </c>
      <c r="M96" s="33"/>
      <c r="N96" s="47"/>
      <c r="O96" s="48"/>
      <c r="P96" s="49">
        <f>Таблица6[[#This Row],[Столбец11]]+Таблица6[[#This Row],[Столбец12]]</f>
        <v>0</v>
      </c>
      <c r="Q96" s="5"/>
      <c r="R96" s="5"/>
      <c r="S96" s="218"/>
      <c r="T96" s="7"/>
      <c r="U96" s="8"/>
      <c r="V96" s="7"/>
      <c r="W96" s="8"/>
      <c r="X96" s="9">
        <f>Таблица6[[#This Row],[Столбец16]]-Таблица6[[#This Row],[Столбец13]]</f>
        <v>0</v>
      </c>
      <c r="Y96" s="10" t="e">
        <f>Таблица6[[#This Row],[Столбец21]]/Таблица6[[#This Row],[Столбец13]]</f>
        <v>#DIV/0!</v>
      </c>
    </row>
    <row r="97" spans="1:29" ht="16.5" outlineLevel="1" thickBot="1" x14ac:dyDescent="0.3">
      <c r="A97" s="33">
        <v>96</v>
      </c>
      <c r="B97" s="33"/>
      <c r="C97" s="33"/>
      <c r="D97" s="33"/>
      <c r="E97" s="33"/>
      <c r="F97" s="33"/>
      <c r="G97" s="33"/>
      <c r="H97" s="139"/>
      <c r="I97" s="33"/>
      <c r="J97" s="33">
        <v>22</v>
      </c>
      <c r="K97" s="139" t="str">
        <f t="shared" si="1"/>
        <v>0096-10</v>
      </c>
      <c r="L97" s="33">
        <v>96</v>
      </c>
      <c r="M97" s="33"/>
      <c r="N97" s="47"/>
      <c r="O97" s="48"/>
      <c r="P97" s="49">
        <f>Таблица6[[#This Row],[Столбец11]]+Таблица6[[#This Row],[Столбец12]]</f>
        <v>0</v>
      </c>
      <c r="Q97" s="5"/>
      <c r="R97" s="5"/>
      <c r="S97" s="215"/>
      <c r="T97" s="7"/>
      <c r="U97" s="8"/>
      <c r="V97" s="7"/>
      <c r="W97" s="8"/>
      <c r="X97" s="9">
        <f>Таблица6[[#This Row],[Столбец16]]-Таблица6[[#This Row],[Столбец13]]</f>
        <v>0</v>
      </c>
      <c r="Y97" s="10" t="e">
        <f>Таблица6[[#This Row],[Столбец21]]/Таблица6[[#This Row],[Столбец13]]</f>
        <v>#DIV/0!</v>
      </c>
    </row>
    <row r="98" spans="1:29" ht="16.5" outlineLevel="1" thickBot="1" x14ac:dyDescent="0.3">
      <c r="A98" s="32">
        <v>97</v>
      </c>
      <c r="B98" s="32"/>
      <c r="C98" s="33"/>
      <c r="D98" s="33"/>
      <c r="E98" s="33"/>
      <c r="F98" s="33"/>
      <c r="G98" s="33"/>
      <c r="H98" s="139"/>
      <c r="I98" s="33"/>
      <c r="J98" s="32">
        <v>23</v>
      </c>
      <c r="K98" s="138" t="str">
        <f t="shared" si="1"/>
        <v>0097-10</v>
      </c>
      <c r="L98" s="33">
        <v>97</v>
      </c>
      <c r="M98" s="33"/>
      <c r="N98" s="47"/>
      <c r="O98" s="48"/>
      <c r="P98" s="49">
        <f>Таблица6[[#This Row],[Столбец11]]+Таблица6[[#This Row],[Столбец12]]</f>
        <v>0</v>
      </c>
      <c r="Q98" s="5"/>
      <c r="R98" s="5"/>
      <c r="S98" s="215"/>
      <c r="T98" s="7"/>
      <c r="U98" s="8"/>
      <c r="V98" s="7"/>
      <c r="W98" s="8"/>
      <c r="X98" s="9">
        <f>Таблица6[[#This Row],[Столбец16]]-Таблица6[[#This Row],[Столбец13]]</f>
        <v>0</v>
      </c>
      <c r="Y98" s="10" t="e">
        <f>Таблица6[[#This Row],[Столбец21]]/Таблица6[[#This Row],[Столбец13]]</f>
        <v>#DIV/0!</v>
      </c>
    </row>
    <row r="99" spans="1:29" ht="16.5" outlineLevel="1" thickBot="1" x14ac:dyDescent="0.3">
      <c r="A99" s="33">
        <v>98</v>
      </c>
      <c r="B99" s="33"/>
      <c r="C99" s="33"/>
      <c r="D99" s="33"/>
      <c r="E99" s="33"/>
      <c r="F99" s="33"/>
      <c r="G99" s="33"/>
      <c r="H99" s="139"/>
      <c r="I99" s="33"/>
      <c r="J99" s="33">
        <v>24</v>
      </c>
      <c r="K99" s="139" t="str">
        <f t="shared" si="1"/>
        <v>0098-10</v>
      </c>
      <c r="L99" s="33">
        <v>98</v>
      </c>
      <c r="M99" s="33"/>
      <c r="N99" s="47"/>
      <c r="O99" s="48"/>
      <c r="P99" s="49">
        <f>Таблица6[[#This Row],[Столбец11]]+Таблица6[[#This Row],[Столбец12]]</f>
        <v>0</v>
      </c>
      <c r="Q99" s="5"/>
      <c r="R99" s="5"/>
      <c r="S99" s="218"/>
      <c r="T99" s="7"/>
      <c r="U99" s="8"/>
      <c r="V99" s="7"/>
      <c r="W99" s="8"/>
      <c r="X99" s="9">
        <f>Таблица6[[#This Row],[Столбец16]]-Таблица6[[#This Row],[Столбец13]]</f>
        <v>0</v>
      </c>
      <c r="Y99" s="10" t="e">
        <f>Таблица6[[#This Row],[Столбец21]]/Таблица6[[#This Row],[Столбец13]]</f>
        <v>#DIV/0!</v>
      </c>
    </row>
    <row r="100" spans="1:29" ht="16.5" outlineLevel="1" thickBot="1" x14ac:dyDescent="0.3">
      <c r="A100" s="32">
        <v>99</v>
      </c>
      <c r="B100" s="32"/>
      <c r="C100" s="33"/>
      <c r="D100" s="33"/>
      <c r="E100" s="33"/>
      <c r="F100" s="33"/>
      <c r="G100" s="33"/>
      <c r="H100" s="139"/>
      <c r="I100" s="33"/>
      <c r="J100" s="32">
        <v>25</v>
      </c>
      <c r="K100" s="138" t="str">
        <f t="shared" si="1"/>
        <v>0099-10</v>
      </c>
      <c r="L100" s="33">
        <v>99</v>
      </c>
      <c r="M100" s="32"/>
      <c r="N100" s="47"/>
      <c r="O100" s="48"/>
      <c r="P100" s="49">
        <f>Таблица6[[#This Row],[Столбец11]]+Таблица6[[#This Row],[Столбец12]]</f>
        <v>0</v>
      </c>
      <c r="Q100" s="5"/>
      <c r="R100" s="5"/>
      <c r="S100" s="218"/>
      <c r="T100" s="7"/>
      <c r="U100" s="8"/>
      <c r="V100" s="7"/>
      <c r="W100" s="8"/>
      <c r="X100" s="9">
        <f>Таблица6[[#This Row],[Столбец16]]-Таблица6[[#This Row],[Столбец13]]</f>
        <v>0</v>
      </c>
      <c r="Y100" s="10" t="e">
        <f>Таблица6[[#This Row],[Столбец21]]/Таблица6[[#This Row],[Столбец13]]</f>
        <v>#DIV/0!</v>
      </c>
    </row>
    <row r="101" spans="1:29" ht="16.5" outlineLevel="1" thickBot="1" x14ac:dyDescent="0.3">
      <c r="A101" s="33">
        <v>100</v>
      </c>
      <c r="B101" s="33"/>
      <c r="C101" s="33"/>
      <c r="D101" s="33"/>
      <c r="E101" s="33"/>
      <c r="F101" s="33"/>
      <c r="G101" s="33"/>
      <c r="H101" s="139"/>
      <c r="I101" s="33"/>
      <c r="J101" s="33">
        <v>26</v>
      </c>
      <c r="K101" s="139" t="str">
        <f t="shared" si="1"/>
        <v>00100-10</v>
      </c>
      <c r="L101" s="33">
        <v>100</v>
      </c>
      <c r="M101" s="33"/>
      <c r="N101" s="47"/>
      <c r="O101" s="48"/>
      <c r="P101" s="49">
        <f>Таблица6[[#This Row],[Столбец11]]+Таблица6[[#This Row],[Столбец12]]</f>
        <v>0</v>
      </c>
      <c r="Q101" s="5"/>
      <c r="R101" s="5"/>
      <c r="S101" s="218"/>
      <c r="T101" s="7"/>
      <c r="U101" s="8"/>
      <c r="V101" s="7"/>
      <c r="W101" s="8"/>
      <c r="X101" s="9">
        <f>Таблица6[[#This Row],[Столбец16]]-Таблица6[[#This Row],[Столбец13]]</f>
        <v>0</v>
      </c>
      <c r="Y101" s="10" t="e">
        <f>Таблица6[[#This Row],[Столбец21]]/Таблица6[[#This Row],[Столбец13]]</f>
        <v>#DIV/0!</v>
      </c>
    </row>
    <row r="102" spans="1:29" ht="16.5" outlineLevel="1" thickBot="1" x14ac:dyDescent="0.3">
      <c r="A102" s="32">
        <v>101</v>
      </c>
      <c r="B102" s="32"/>
      <c r="C102" s="33"/>
      <c r="D102" s="33"/>
      <c r="E102" s="33"/>
      <c r="F102" s="33"/>
      <c r="G102" s="33"/>
      <c r="H102" s="139"/>
      <c r="I102" s="33"/>
      <c r="J102" s="32">
        <v>27</v>
      </c>
      <c r="K102" s="138" t="str">
        <f t="shared" si="1"/>
        <v>00101-10</v>
      </c>
      <c r="L102" s="33">
        <v>101</v>
      </c>
      <c r="M102" s="32"/>
      <c r="N102" s="47"/>
      <c r="O102" s="48"/>
      <c r="P102" s="49">
        <f>Таблица6[[#This Row],[Столбец11]]+Таблица6[[#This Row],[Столбец12]]</f>
        <v>0</v>
      </c>
      <c r="Q102" s="5"/>
      <c r="R102" s="5"/>
      <c r="S102" s="218"/>
      <c r="T102" s="7"/>
      <c r="U102" s="8"/>
      <c r="V102" s="7"/>
      <c r="W102" s="8"/>
      <c r="X102" s="9">
        <f>Таблица6[[#This Row],[Столбец16]]-Таблица6[[#This Row],[Столбец13]]</f>
        <v>0</v>
      </c>
      <c r="Y102" s="10" t="e">
        <f>Таблица6[[#This Row],[Столбец21]]/Таблица6[[#This Row],[Столбец13]]</f>
        <v>#DIV/0!</v>
      </c>
    </row>
    <row r="103" spans="1:29" ht="16.5" outlineLevel="1" thickBot="1" x14ac:dyDescent="0.3">
      <c r="A103" s="33">
        <v>102</v>
      </c>
      <c r="B103" s="33"/>
      <c r="C103" s="33"/>
      <c r="D103" s="33"/>
      <c r="E103" s="33"/>
      <c r="F103" s="33"/>
      <c r="G103" s="33"/>
      <c r="H103" s="139"/>
      <c r="I103" s="33"/>
      <c r="J103" s="33">
        <v>28</v>
      </c>
      <c r="K103" s="139" t="str">
        <f t="shared" si="1"/>
        <v>00102-10</v>
      </c>
      <c r="L103" s="33">
        <v>102</v>
      </c>
      <c r="M103" s="33"/>
      <c r="N103" s="47"/>
      <c r="O103" s="48"/>
      <c r="P103" s="49">
        <f>Таблица6[[#This Row],[Столбец11]]+Таблица6[[#This Row],[Столбец12]]</f>
        <v>0</v>
      </c>
      <c r="Q103" s="5"/>
      <c r="R103" s="5"/>
      <c r="S103" s="218"/>
      <c r="T103" s="7"/>
      <c r="U103" s="8"/>
      <c r="V103" s="7"/>
      <c r="W103" s="8"/>
      <c r="X103" s="9">
        <f>Таблица6[[#This Row],[Столбец16]]-Таблица6[[#This Row],[Столбец13]]</f>
        <v>0</v>
      </c>
      <c r="Y103" s="10" t="e">
        <f>Таблица6[[#This Row],[Столбец21]]/Таблица6[[#This Row],[Столбец13]]</f>
        <v>#DIV/0!</v>
      </c>
    </row>
    <row r="104" spans="1:29" ht="16.5" outlineLevel="1" thickBot="1" x14ac:dyDescent="0.3">
      <c r="A104" s="32">
        <v>103</v>
      </c>
      <c r="B104" s="32"/>
      <c r="C104" s="33"/>
      <c r="D104" s="33"/>
      <c r="E104" s="33"/>
      <c r="F104" s="33"/>
      <c r="G104" s="33"/>
      <c r="H104" s="139"/>
      <c r="I104" s="33"/>
      <c r="J104" s="32">
        <v>29</v>
      </c>
      <c r="K104" s="138" t="str">
        <f t="shared" si="1"/>
        <v>00103-10</v>
      </c>
      <c r="L104" s="33">
        <v>103</v>
      </c>
      <c r="M104" s="32"/>
      <c r="N104" s="47"/>
      <c r="O104" s="48"/>
      <c r="P104" s="49">
        <f>Таблица6[[#This Row],[Столбец11]]+Таблица6[[#This Row],[Столбец12]]</f>
        <v>0</v>
      </c>
      <c r="Q104" s="5"/>
      <c r="R104" s="5"/>
      <c r="S104" s="233"/>
      <c r="T104" s="7"/>
      <c r="U104" s="8"/>
      <c r="V104" s="7"/>
      <c r="W104" s="8"/>
      <c r="X104" s="9">
        <f>Таблица6[[#This Row],[Столбец16]]-Таблица6[[#This Row],[Столбец13]]</f>
        <v>0</v>
      </c>
      <c r="Y104" s="10" t="e">
        <f>Таблица6[[#This Row],[Столбец21]]/Таблица6[[#This Row],[Столбец13]]</f>
        <v>#DIV/0!</v>
      </c>
    </row>
    <row r="105" spans="1:29" ht="16.5" outlineLevel="1" thickBot="1" x14ac:dyDescent="0.3">
      <c r="A105" s="33">
        <v>104</v>
      </c>
      <c r="B105" s="33"/>
      <c r="C105" s="33"/>
      <c r="D105" s="33"/>
      <c r="E105" s="33"/>
      <c r="F105" s="33"/>
      <c r="G105" s="33"/>
      <c r="H105" s="139"/>
      <c r="I105" s="33"/>
      <c r="J105" s="32">
        <v>30</v>
      </c>
      <c r="K105" s="139" t="str">
        <f t="shared" si="1"/>
        <v>00104-10</v>
      </c>
      <c r="L105" s="33">
        <v>104</v>
      </c>
      <c r="M105" s="33"/>
      <c r="N105" s="47"/>
      <c r="O105" s="48"/>
      <c r="P105" s="49">
        <f>Таблица6[[#This Row],[Столбец11]]+Таблица6[[#This Row],[Столбец12]]</f>
        <v>0</v>
      </c>
      <c r="Q105" s="5"/>
      <c r="R105" s="5"/>
      <c r="S105" s="218"/>
      <c r="T105" s="7"/>
      <c r="U105" s="8"/>
      <c r="V105" s="7"/>
      <c r="W105" s="8"/>
      <c r="X105" s="9">
        <f>Таблица6[[#This Row],[Столбец16]]-Таблица6[[#This Row],[Столбец13]]</f>
        <v>0</v>
      </c>
      <c r="Y105" s="10" t="e">
        <f>Таблица6[[#This Row],[Столбец21]]/Таблица6[[#This Row],[Столбец13]]</f>
        <v>#DIV/0!</v>
      </c>
    </row>
    <row r="106" spans="1:29" ht="16.5" outlineLevel="1" thickBot="1" x14ac:dyDescent="0.3">
      <c r="A106" s="32">
        <v>105</v>
      </c>
      <c r="B106" s="32"/>
      <c r="C106" s="33"/>
      <c r="D106" s="33"/>
      <c r="E106" s="33"/>
      <c r="F106" s="33"/>
      <c r="G106" s="33"/>
      <c r="H106" s="139"/>
      <c r="I106" s="33"/>
      <c r="J106" s="32">
        <v>31</v>
      </c>
      <c r="K106" s="138" t="str">
        <f t="shared" si="1"/>
        <v>00105-10</v>
      </c>
      <c r="L106" s="33">
        <v>105</v>
      </c>
      <c r="M106" s="32"/>
      <c r="N106" s="47"/>
      <c r="O106" s="48"/>
      <c r="P106" s="49">
        <f>Таблица6[[#This Row],[Столбец11]]+Таблица6[[#This Row],[Столбец12]]</f>
        <v>0</v>
      </c>
      <c r="Q106" s="5"/>
      <c r="R106" s="5"/>
      <c r="S106" s="218"/>
      <c r="T106" s="7"/>
      <c r="U106" s="8"/>
      <c r="V106" s="7"/>
      <c r="W106" s="8"/>
      <c r="X106" s="9">
        <f>Таблица6[[#This Row],[Столбец16]]-Таблица6[[#This Row],[Столбец13]]</f>
        <v>0</v>
      </c>
      <c r="Y106" s="10" t="e">
        <f>Таблица6[[#This Row],[Столбец21]]/Таблица6[[#This Row],[Столбец13]]</f>
        <v>#DIV/0!</v>
      </c>
      <c r="AB106" s="220"/>
    </row>
    <row r="107" spans="1:29" ht="16.5" outlineLevel="1" thickBot="1" x14ac:dyDescent="0.3">
      <c r="A107" s="33">
        <v>106</v>
      </c>
      <c r="B107" s="33"/>
      <c r="C107" s="33"/>
      <c r="D107" s="33"/>
      <c r="E107" s="33"/>
      <c r="F107" s="33"/>
      <c r="G107" s="33"/>
      <c r="H107" s="139"/>
      <c r="I107" s="33"/>
      <c r="J107" s="32">
        <v>32</v>
      </c>
      <c r="K107" s="139" t="str">
        <f t="shared" si="1"/>
        <v>00106-10</v>
      </c>
      <c r="L107" s="33">
        <v>106</v>
      </c>
      <c r="M107" s="33"/>
      <c r="N107" s="47"/>
      <c r="O107" s="48"/>
      <c r="P107" s="49">
        <f>Таблица6[[#This Row],[Столбец11]]+Таблица6[[#This Row],[Столбец12]]</f>
        <v>0</v>
      </c>
      <c r="Q107" s="5"/>
      <c r="R107" s="5"/>
      <c r="S107" s="233"/>
      <c r="T107" s="7"/>
      <c r="U107" s="8"/>
      <c r="V107" s="7"/>
      <c r="W107" s="8"/>
      <c r="X107" s="9">
        <f>Таблица6[[#This Row],[Столбец16]]-Таблица6[[#This Row],[Столбец13]]</f>
        <v>0</v>
      </c>
      <c r="Y107" s="10" t="e">
        <f>Таблица6[[#This Row],[Столбец21]]/Таблица6[[#This Row],[Столбец13]]</f>
        <v>#DIV/0!</v>
      </c>
    </row>
    <row r="108" spans="1:29" ht="16.5" outlineLevel="1" thickBot="1" x14ac:dyDescent="0.3">
      <c r="A108" s="32">
        <v>107</v>
      </c>
      <c r="B108" s="32"/>
      <c r="C108" s="33"/>
      <c r="D108" s="33"/>
      <c r="E108" s="33"/>
      <c r="F108" s="33"/>
      <c r="G108" s="33"/>
      <c r="H108" s="139"/>
      <c r="I108" s="33"/>
      <c r="J108" s="32">
        <v>33</v>
      </c>
      <c r="K108" s="138" t="str">
        <f t="shared" si="1"/>
        <v>00107-10</v>
      </c>
      <c r="L108" s="33">
        <v>107</v>
      </c>
      <c r="M108" s="32"/>
      <c r="N108" s="47"/>
      <c r="O108" s="48"/>
      <c r="P108" s="49">
        <f>Таблица6[[#This Row],[Столбец11]]+Таблица6[[#This Row],[Столбец12]]</f>
        <v>0</v>
      </c>
      <c r="Q108" s="5"/>
      <c r="R108" s="5"/>
      <c r="S108" s="218"/>
      <c r="T108" s="7"/>
      <c r="U108" s="8"/>
      <c r="V108" s="7"/>
      <c r="W108" s="8"/>
      <c r="X108" s="9">
        <f>Таблица6[[#This Row],[Столбец16]]-Таблица6[[#This Row],[Столбец13]]</f>
        <v>0</v>
      </c>
      <c r="Y108" s="10" t="e">
        <f>Таблица6[[#This Row],[Столбец21]]/Таблица6[[#This Row],[Столбец13]]</f>
        <v>#DIV/0!</v>
      </c>
    </row>
    <row r="109" spans="1:29" ht="16.5" outlineLevel="1" thickBot="1" x14ac:dyDescent="0.3">
      <c r="A109" s="33">
        <v>108</v>
      </c>
      <c r="B109" s="33"/>
      <c r="C109" s="33"/>
      <c r="D109" s="33"/>
      <c r="E109" s="33"/>
      <c r="F109" s="33"/>
      <c r="G109" s="33"/>
      <c r="H109" s="139"/>
      <c r="I109" s="33"/>
      <c r="J109" s="32">
        <v>34</v>
      </c>
      <c r="K109" s="139" t="str">
        <f t="shared" si="1"/>
        <v>00108-10</v>
      </c>
      <c r="L109" s="33">
        <v>108</v>
      </c>
      <c r="M109" s="33"/>
      <c r="N109" s="47"/>
      <c r="O109" s="48"/>
      <c r="P109" s="49">
        <f>Таблица6[[#This Row],[Столбец11]]+Таблица6[[#This Row],[Столбец12]]</f>
        <v>0</v>
      </c>
      <c r="Q109" s="5"/>
      <c r="R109" s="5"/>
      <c r="S109" s="233"/>
      <c r="T109" s="7"/>
      <c r="U109" s="8"/>
      <c r="V109" s="7"/>
      <c r="W109" s="8"/>
      <c r="X109" s="9">
        <f>Таблица6[[#This Row],[Столбец16]]-Таблица6[[#This Row],[Столбец13]]</f>
        <v>0</v>
      </c>
      <c r="Y109" s="10" t="e">
        <f>Таблица6[[#This Row],[Столбец21]]/Таблица6[[#This Row],[Столбец13]]</f>
        <v>#DIV/0!</v>
      </c>
    </row>
    <row r="110" spans="1:29" ht="16.5" outlineLevel="1" thickBot="1" x14ac:dyDescent="0.3">
      <c r="A110" s="32">
        <v>109</v>
      </c>
      <c r="B110" s="32"/>
      <c r="C110" s="33"/>
      <c r="D110" s="33"/>
      <c r="E110" s="33"/>
      <c r="F110" s="33"/>
      <c r="G110" s="33"/>
      <c r="H110" s="139"/>
      <c r="I110" s="33"/>
      <c r="J110" s="32">
        <v>35</v>
      </c>
      <c r="K110" s="138" t="str">
        <f t="shared" si="1"/>
        <v>00109-10</v>
      </c>
      <c r="L110" s="33">
        <v>109</v>
      </c>
      <c r="M110" s="32"/>
      <c r="N110" s="47"/>
      <c r="O110" s="48"/>
      <c r="P110" s="49">
        <f>Таблица6[[#This Row],[Столбец11]]+Таблица6[[#This Row],[Столбец12]]</f>
        <v>0</v>
      </c>
      <c r="Q110" s="5"/>
      <c r="R110" s="5"/>
      <c r="S110" s="233"/>
      <c r="T110" s="7"/>
      <c r="U110" s="8"/>
      <c r="V110" s="7"/>
      <c r="W110" s="8"/>
      <c r="X110" s="9">
        <f>Таблица6[[#This Row],[Столбец16]]-Таблица6[[#This Row],[Столбец13]]</f>
        <v>0</v>
      </c>
      <c r="Y110" s="10" t="e">
        <f>Таблица6[[#This Row],[Столбец21]]/Таблица6[[#This Row],[Столбец13]]</f>
        <v>#DIV/0!</v>
      </c>
    </row>
    <row r="111" spans="1:29" ht="16.5" outlineLevel="1" thickBot="1" x14ac:dyDescent="0.3">
      <c r="A111" s="33">
        <v>110</v>
      </c>
      <c r="B111" s="33"/>
      <c r="C111" s="33"/>
      <c r="D111" s="33"/>
      <c r="E111" s="33"/>
      <c r="F111" s="33"/>
      <c r="G111" s="33"/>
      <c r="H111" s="139"/>
      <c r="I111" s="33"/>
      <c r="J111" s="32">
        <v>36</v>
      </c>
      <c r="K111" s="139" t="str">
        <f t="shared" si="1"/>
        <v>00110-10</v>
      </c>
      <c r="L111" s="33">
        <v>110</v>
      </c>
      <c r="M111" s="33"/>
      <c r="N111" s="47"/>
      <c r="O111" s="48"/>
      <c r="P111" s="49">
        <f>Таблица6[[#This Row],[Столбец11]]+Таблица6[[#This Row],[Столбец12]]</f>
        <v>0</v>
      </c>
      <c r="Q111" s="5"/>
      <c r="R111" s="5"/>
      <c r="S111" s="233"/>
      <c r="T111" s="7"/>
      <c r="U111" s="8"/>
      <c r="V111" s="7"/>
      <c r="W111" s="8"/>
      <c r="X111" s="9">
        <f>Таблица6[[#This Row],[Столбец16]]-Таблица6[[#This Row],[Столбец13]]</f>
        <v>0</v>
      </c>
      <c r="Y111" s="10" t="e">
        <f>Таблица6[[#This Row],[Столбец21]]/Таблица6[[#This Row],[Столбец13]]</f>
        <v>#DIV/0!</v>
      </c>
    </row>
    <row r="112" spans="1:29" ht="16.5" outlineLevel="1" thickBot="1" x14ac:dyDescent="0.3">
      <c r="A112" s="32">
        <v>111</v>
      </c>
      <c r="B112" s="32"/>
      <c r="C112" s="33"/>
      <c r="D112" s="33"/>
      <c r="E112" s="33"/>
      <c r="F112" s="33"/>
      <c r="G112" s="33"/>
      <c r="H112" s="139"/>
      <c r="I112" s="33"/>
      <c r="J112" s="32">
        <v>37</v>
      </c>
      <c r="K112" s="138" t="str">
        <f t="shared" si="1"/>
        <v>00111-10</v>
      </c>
      <c r="L112" s="33">
        <v>111</v>
      </c>
      <c r="M112" s="32"/>
      <c r="N112" s="47"/>
      <c r="O112" s="48"/>
      <c r="P112" s="49">
        <f>Таблица6[[#This Row],[Столбец11]]+Таблица6[[#This Row],[Столбец12]]</f>
        <v>0</v>
      </c>
      <c r="Q112" s="5"/>
      <c r="R112" s="5"/>
      <c r="S112" s="233"/>
      <c r="T112" s="7"/>
      <c r="U112" s="8"/>
      <c r="V112" s="7"/>
      <c r="W112" s="8"/>
      <c r="X112" s="9">
        <f>Таблица6[[#This Row],[Столбец16]]-Таблица6[[#This Row],[Столбец13]]</f>
        <v>0</v>
      </c>
      <c r="Y112" s="10" t="e">
        <f>Таблица6[[#This Row],[Столбец21]]/Таблица6[[#This Row],[Столбец13]]</f>
        <v>#DIV/0!</v>
      </c>
      <c r="AB112" s="220"/>
      <c r="AC112" s="220"/>
    </row>
    <row r="113" spans="1:30" ht="16.5" outlineLevel="1" thickBot="1" x14ac:dyDescent="0.3">
      <c r="A113" s="33">
        <v>112</v>
      </c>
      <c r="B113" s="33"/>
      <c r="C113" s="33"/>
      <c r="D113" s="33"/>
      <c r="E113" s="33"/>
      <c r="F113" s="33"/>
      <c r="G113" s="33"/>
      <c r="H113" s="139"/>
      <c r="I113" s="33"/>
      <c r="J113" s="32">
        <v>38</v>
      </c>
      <c r="K113" s="139" t="str">
        <f t="shared" si="1"/>
        <v>00112-10</v>
      </c>
      <c r="L113" s="33">
        <v>112</v>
      </c>
      <c r="M113" s="33"/>
      <c r="N113" s="47"/>
      <c r="O113" s="48"/>
      <c r="P113" s="49">
        <f>Таблица6[[#This Row],[Столбец11]]+Таблица6[[#This Row],[Столбец12]]</f>
        <v>0</v>
      </c>
      <c r="Q113" s="5"/>
      <c r="R113" s="5"/>
      <c r="S113" s="233"/>
      <c r="T113" s="7"/>
      <c r="U113" s="8"/>
      <c r="V113" s="7"/>
      <c r="W113" s="8"/>
      <c r="X113" s="9">
        <f>Таблица6[[#This Row],[Столбец16]]-Таблица6[[#This Row],[Столбец13]]</f>
        <v>0</v>
      </c>
      <c r="Y113" s="10" t="e">
        <f>Таблица6[[#This Row],[Столбец21]]/Таблица6[[#This Row],[Столбец13]]</f>
        <v>#DIV/0!</v>
      </c>
    </row>
    <row r="114" spans="1:30" ht="16.5" outlineLevel="1" thickBot="1" x14ac:dyDescent="0.3">
      <c r="A114" s="32">
        <v>113</v>
      </c>
      <c r="B114" s="32"/>
      <c r="C114" s="33"/>
      <c r="D114" s="33"/>
      <c r="E114" s="33"/>
      <c r="F114" s="33"/>
      <c r="G114" s="33"/>
      <c r="H114" s="139"/>
      <c r="I114" s="33"/>
      <c r="J114" s="32">
        <v>39</v>
      </c>
      <c r="K114" s="138" t="str">
        <f t="shared" si="1"/>
        <v>00113-10</v>
      </c>
      <c r="L114" s="33">
        <v>113</v>
      </c>
      <c r="M114" s="32"/>
      <c r="N114" s="47"/>
      <c r="O114" s="48"/>
      <c r="P114" s="49">
        <f>Таблица6[[#This Row],[Столбец11]]+Таблица6[[#This Row],[Столбец12]]</f>
        <v>0</v>
      </c>
      <c r="Q114" s="5"/>
      <c r="R114" s="5"/>
      <c r="S114" s="233"/>
      <c r="T114" s="7"/>
      <c r="U114" s="8"/>
      <c r="V114" s="7"/>
      <c r="W114" s="8"/>
      <c r="X114" s="9">
        <f>Таблица6[[#This Row],[Столбец16]]-Таблица6[[#This Row],[Столбец13]]</f>
        <v>0</v>
      </c>
      <c r="Y114" s="10" t="e">
        <f>Таблица6[[#This Row],[Столбец21]]/Таблица6[[#This Row],[Столбец13]]</f>
        <v>#DIV/0!</v>
      </c>
    </row>
    <row r="115" spans="1:30" ht="16.5" outlineLevel="1" thickBot="1" x14ac:dyDescent="0.3">
      <c r="A115" s="33">
        <v>114</v>
      </c>
      <c r="B115" s="33"/>
      <c r="C115" s="33"/>
      <c r="D115" s="33"/>
      <c r="E115" s="33"/>
      <c r="F115" s="33"/>
      <c r="G115" s="33"/>
      <c r="H115" s="139"/>
      <c r="I115" s="33"/>
      <c r="J115" s="32">
        <v>40</v>
      </c>
      <c r="K115" s="139" t="str">
        <f t="shared" si="1"/>
        <v>00114-10</v>
      </c>
      <c r="L115" s="33">
        <v>114</v>
      </c>
      <c r="M115" s="33"/>
      <c r="N115" s="47"/>
      <c r="O115" s="48"/>
      <c r="P115" s="49">
        <f>Таблица6[[#This Row],[Столбец11]]+Таблица6[[#This Row],[Столбец12]]</f>
        <v>0</v>
      </c>
      <c r="Q115" s="5"/>
      <c r="R115" s="5"/>
      <c r="S115" s="233"/>
      <c r="T115" s="7"/>
      <c r="U115" s="8"/>
      <c r="V115" s="7"/>
      <c r="W115" s="8"/>
      <c r="X115" s="9">
        <f>Таблица6[[#This Row],[Столбец16]]-Таблица6[[#This Row],[Столбец13]]</f>
        <v>0</v>
      </c>
      <c r="Y115" s="10" t="e">
        <f>Таблица6[[#This Row],[Столбец21]]/Таблица6[[#This Row],[Столбец13]]</f>
        <v>#DIV/0!</v>
      </c>
    </row>
    <row r="116" spans="1:30" ht="16.5" outlineLevel="1" thickBot="1" x14ac:dyDescent="0.3">
      <c r="A116" s="32">
        <v>115</v>
      </c>
      <c r="B116" s="32"/>
      <c r="C116" s="33"/>
      <c r="D116" s="33"/>
      <c r="E116" s="33"/>
      <c r="F116" s="33"/>
      <c r="G116" s="33"/>
      <c r="H116" s="139"/>
      <c r="I116" s="33"/>
      <c r="J116" s="32">
        <v>41</v>
      </c>
      <c r="K116" s="138" t="str">
        <f t="shared" si="1"/>
        <v>00115-10</v>
      </c>
      <c r="L116" s="33">
        <v>115</v>
      </c>
      <c r="M116" s="63"/>
      <c r="N116" s="47"/>
      <c r="O116" s="48"/>
      <c r="P116" s="49"/>
      <c r="Q116" s="5"/>
      <c r="R116" s="5"/>
      <c r="S116" s="233"/>
      <c r="T116" s="7"/>
      <c r="U116" s="8"/>
      <c r="V116" s="7"/>
      <c r="W116" s="8"/>
      <c r="X116" s="9"/>
      <c r="Y116" s="10"/>
    </row>
    <row r="117" spans="1:30" ht="16.5" outlineLevel="1" thickBot="1" x14ac:dyDescent="0.3">
      <c r="A117" s="33">
        <v>116</v>
      </c>
      <c r="B117" s="33"/>
      <c r="C117" s="33"/>
      <c r="D117" s="33"/>
      <c r="E117" s="33"/>
      <c r="F117" s="33"/>
      <c r="G117" s="33"/>
      <c r="H117" s="139"/>
      <c r="I117" s="33"/>
      <c r="J117" s="32">
        <v>42</v>
      </c>
      <c r="K117" s="139" t="str">
        <f t="shared" si="1"/>
        <v>00116-10</v>
      </c>
      <c r="L117" s="33">
        <v>116</v>
      </c>
      <c r="M117" s="32"/>
      <c r="N117" s="47"/>
      <c r="O117" s="48"/>
      <c r="P117" s="49">
        <f>Таблица6[[#This Row],[Столбец11]]+Таблица6[[#This Row],[Столбец12]]</f>
        <v>0</v>
      </c>
      <c r="Q117" s="5"/>
      <c r="R117" s="5"/>
      <c r="S117" s="233"/>
      <c r="T117" s="7"/>
      <c r="U117" s="8"/>
      <c r="V117" s="7"/>
      <c r="W117" s="8"/>
      <c r="X117" s="9">
        <f>Таблица6[[#This Row],[Столбец16]]-Таблица6[[#This Row],[Столбец13]]</f>
        <v>0</v>
      </c>
      <c r="Y117" s="10" t="e">
        <f>Таблица6[[#This Row],[Столбец21]]/Таблица6[[#This Row],[Столбец13]]</f>
        <v>#DIV/0!</v>
      </c>
    </row>
    <row r="118" spans="1:30" ht="16.5" outlineLevel="1" thickBot="1" x14ac:dyDescent="0.3">
      <c r="A118" s="32">
        <v>117</v>
      </c>
      <c r="B118" s="32"/>
      <c r="C118" s="33"/>
      <c r="D118" s="33"/>
      <c r="E118" s="33"/>
      <c r="F118" s="33"/>
      <c r="G118" s="33"/>
      <c r="H118" s="139"/>
      <c r="I118" s="33"/>
      <c r="J118" s="32">
        <v>43</v>
      </c>
      <c r="K118" s="138" t="str">
        <f t="shared" si="1"/>
        <v>00117-10</v>
      </c>
      <c r="L118" s="33">
        <v>117</v>
      </c>
      <c r="M118" s="63"/>
      <c r="N118" s="47"/>
      <c r="O118" s="48"/>
      <c r="P118" s="49"/>
      <c r="Q118" s="5"/>
      <c r="R118" s="6"/>
      <c r="S118" s="233"/>
      <c r="T118" s="7"/>
      <c r="U118" s="8"/>
      <c r="V118" s="7"/>
      <c r="W118" s="8"/>
      <c r="X118" s="9"/>
      <c r="Y118" s="10"/>
    </row>
    <row r="119" spans="1:30" ht="16.5" outlineLevel="1" thickBot="1" x14ac:dyDescent="0.3">
      <c r="A119" s="33">
        <v>118</v>
      </c>
      <c r="B119" s="33"/>
      <c r="C119" s="33"/>
      <c r="D119" s="33"/>
      <c r="E119" s="33"/>
      <c r="F119" s="33"/>
      <c r="G119" s="33"/>
      <c r="H119" s="139"/>
      <c r="I119" s="33"/>
      <c r="J119" s="32">
        <v>44</v>
      </c>
      <c r="K119" s="139" t="str">
        <f t="shared" si="1"/>
        <v>00118-10</v>
      </c>
      <c r="L119" s="33">
        <v>118</v>
      </c>
      <c r="M119" s="214"/>
      <c r="N119" s="47"/>
      <c r="O119" s="48"/>
      <c r="P119" s="49"/>
      <c r="Q119" s="5"/>
      <c r="R119" s="6"/>
      <c r="S119" s="233"/>
      <c r="T119" s="7"/>
      <c r="U119" s="8"/>
      <c r="V119" s="7"/>
      <c r="W119" s="8"/>
      <c r="X119" s="9"/>
      <c r="Y119" s="10"/>
    </row>
    <row r="120" spans="1:30" ht="16.5" outlineLevel="1" thickBot="1" x14ac:dyDescent="0.3">
      <c r="A120" s="32">
        <v>119</v>
      </c>
      <c r="B120" s="32"/>
      <c r="C120" s="33"/>
      <c r="D120" s="33"/>
      <c r="E120" s="33"/>
      <c r="F120" s="33"/>
      <c r="G120" s="33"/>
      <c r="H120" s="139"/>
      <c r="I120" s="33"/>
      <c r="J120" s="32"/>
      <c r="K120" s="138"/>
      <c r="L120" s="33"/>
      <c r="M120" s="32"/>
      <c r="N120" s="47"/>
      <c r="O120" s="48"/>
      <c r="P120" s="49"/>
      <c r="Q120" s="5"/>
      <c r="R120" s="6"/>
      <c r="S120" s="233"/>
      <c r="T120" s="7"/>
      <c r="U120" s="8"/>
      <c r="V120" s="7"/>
      <c r="W120" s="8"/>
      <c r="X120" s="9"/>
      <c r="Y120" s="10"/>
    </row>
    <row r="121" spans="1:30" ht="16.5" outlineLevel="1" thickBot="1" x14ac:dyDescent="0.3">
      <c r="A121" s="33">
        <v>120</v>
      </c>
      <c r="B121" s="33"/>
      <c r="C121" s="33"/>
      <c r="D121" s="33"/>
      <c r="E121" s="33"/>
      <c r="F121" s="33"/>
      <c r="G121" s="33"/>
      <c r="H121" s="139"/>
      <c r="I121" s="33"/>
      <c r="J121" s="32"/>
      <c r="K121" s="138"/>
      <c r="L121" s="33"/>
      <c r="M121" s="33"/>
      <c r="N121" s="47"/>
      <c r="O121" s="48"/>
      <c r="P121" s="49"/>
      <c r="Q121" s="5"/>
      <c r="R121" s="6"/>
      <c r="S121" s="233"/>
      <c r="T121" s="7"/>
      <c r="U121" s="8"/>
      <c r="V121" s="7"/>
      <c r="W121" s="8"/>
      <c r="X121" s="9"/>
      <c r="Y121" s="10"/>
    </row>
    <row r="122" spans="1:30" ht="35.25" outlineLevel="1" thickBot="1" x14ac:dyDescent="0.5">
      <c r="A122" s="32">
        <v>121</v>
      </c>
      <c r="B122" s="32"/>
      <c r="C122" s="33"/>
      <c r="D122" s="33"/>
      <c r="E122" s="33"/>
      <c r="F122" s="33"/>
      <c r="G122" s="33"/>
      <c r="H122" s="139"/>
      <c r="I122" s="33"/>
      <c r="J122" s="33"/>
      <c r="K122" s="138"/>
      <c r="L122" s="33"/>
      <c r="M122" s="32"/>
      <c r="N122" s="47"/>
      <c r="O122" s="48"/>
      <c r="P122" s="230">
        <f>SUM(P2:P103)+P105+P106+P108+P126</f>
        <v>5000</v>
      </c>
      <c r="Q122" s="222"/>
      <c r="R122" s="223"/>
      <c r="S122" s="224">
        <f>SUM(S2:S103)+S105+S106+S108</f>
        <v>0</v>
      </c>
      <c r="T122" s="225"/>
      <c r="U122" s="226"/>
      <c r="V122" s="225"/>
      <c r="W122" s="226"/>
      <c r="X122" s="227">
        <f>Таблица6[[#This Row],[Столбец16]]-Таблица6[[#This Row],[Столбец13]]</f>
        <v>-5000</v>
      </c>
      <c r="Y122" s="228">
        <f>(Таблица6[[#This Row],[Столбец21]]-S32)/Таблица6[[#This Row],[Столбец13]]</f>
        <v>-1</v>
      </c>
      <c r="Z122" s="231"/>
      <c r="AA122" s="220"/>
      <c r="AB122" s="220"/>
      <c r="AC122" s="220"/>
      <c r="AD122" s="220"/>
    </row>
    <row r="123" spans="1:30" ht="25.5" outlineLevel="1" thickBot="1" x14ac:dyDescent="0.65">
      <c r="A123" s="33">
        <v>122</v>
      </c>
      <c r="B123" s="33"/>
      <c r="C123" s="33"/>
      <c r="D123" s="33"/>
      <c r="E123" s="33"/>
      <c r="F123" s="33"/>
      <c r="G123" s="33"/>
      <c r="H123" s="139"/>
      <c r="I123" s="33"/>
      <c r="J123" s="33"/>
      <c r="K123" s="138"/>
      <c r="L123" s="33"/>
      <c r="M123" s="33"/>
      <c r="N123" s="47"/>
      <c r="O123" s="48"/>
      <c r="P123" s="49"/>
      <c r="Q123" s="5"/>
      <c r="R123" s="6"/>
      <c r="S123" s="233"/>
      <c r="T123" s="7"/>
      <c r="U123" s="8"/>
      <c r="V123" s="7"/>
      <c r="W123" s="8"/>
      <c r="X123" s="229"/>
      <c r="Y123" s="10"/>
      <c r="Z123" s="232"/>
      <c r="AB123" s="221"/>
    </row>
    <row r="124" spans="1:30" ht="16.5" outlineLevel="1" thickBot="1" x14ac:dyDescent="0.3">
      <c r="A124" s="32">
        <v>123</v>
      </c>
      <c r="B124" s="32"/>
      <c r="C124" s="33"/>
      <c r="D124" s="33"/>
      <c r="E124" s="33"/>
      <c r="F124" s="33"/>
      <c r="G124" s="33"/>
      <c r="H124" s="139"/>
      <c r="I124" s="33"/>
      <c r="J124" s="33"/>
      <c r="K124" s="33"/>
      <c r="L124" s="33"/>
      <c r="M124" s="32"/>
      <c r="N124" s="47"/>
      <c r="O124" s="48"/>
      <c r="P124" s="49"/>
      <c r="Q124" s="5"/>
      <c r="R124" s="6"/>
      <c r="S124" s="233"/>
      <c r="T124" s="7"/>
      <c r="U124" s="8"/>
      <c r="V124" s="7"/>
      <c r="W124" s="8"/>
      <c r="X124" s="9"/>
      <c r="Y124" s="10"/>
    </row>
    <row r="125" spans="1:30" ht="16.5" thickBot="1" x14ac:dyDescent="0.3">
      <c r="A125" s="32">
        <v>124</v>
      </c>
      <c r="B125" s="32"/>
      <c r="C125" s="33" t="s">
        <v>172</v>
      </c>
      <c r="D125" s="33" t="s">
        <v>173</v>
      </c>
      <c r="E125" s="33"/>
      <c r="F125" s="33"/>
      <c r="G125" s="33"/>
      <c r="H125" s="139"/>
      <c r="I125" s="33"/>
      <c r="J125" s="33"/>
      <c r="K125" s="189"/>
      <c r="L125" s="32"/>
      <c r="M125" s="32"/>
      <c r="N125" s="47"/>
      <c r="O125" s="48"/>
      <c r="P125" s="49">
        <v>74800</v>
      </c>
      <c r="Q125" s="5"/>
      <c r="R125" s="5"/>
      <c r="S125" s="233"/>
      <c r="T125" s="7"/>
      <c r="U125" s="8"/>
      <c r="V125" s="7"/>
      <c r="W125" s="8"/>
      <c r="X125" s="9"/>
      <c r="Y125" s="10"/>
    </row>
    <row r="126" spans="1:30" ht="16.5" thickBot="1" x14ac:dyDescent="0.3">
      <c r="A126" s="32">
        <v>125</v>
      </c>
      <c r="B126" s="32"/>
      <c r="C126" s="33" t="s">
        <v>172</v>
      </c>
      <c r="D126" s="33" t="s">
        <v>173</v>
      </c>
      <c r="E126" s="33"/>
      <c r="F126" s="33"/>
      <c r="G126" s="33"/>
      <c r="H126" s="139">
        <v>46075</v>
      </c>
      <c r="I126" s="33"/>
      <c r="J126" s="33">
        <v>125</v>
      </c>
      <c r="K126" s="189"/>
      <c r="L126" s="32"/>
      <c r="M126" s="32">
        <v>100087</v>
      </c>
      <c r="N126" s="47" t="str">
        <f>'TANK M083277'!H9</f>
        <v>5 000,00</v>
      </c>
      <c r="O126" s="48"/>
      <c r="P126" s="49">
        <f>Таблица6[[#This Row],[Столбец11]]+Таблица6[[#This Row],[Столбец12]]</f>
        <v>5000</v>
      </c>
      <c r="Q126" s="5"/>
      <c r="R126" s="5"/>
      <c r="S126" s="233"/>
      <c r="T126" s="7"/>
      <c r="U126" s="8"/>
      <c r="V126" s="7"/>
      <c r="W126" s="8"/>
      <c r="X126" s="9"/>
      <c r="Y126" s="10"/>
    </row>
    <row r="127" spans="1:30" s="35" customFormat="1" ht="25.5" x14ac:dyDescent="0.35">
      <c r="A127" s="33"/>
      <c r="B127" s="34"/>
      <c r="C127" s="33"/>
      <c r="D127" s="33"/>
      <c r="E127" s="33"/>
      <c r="F127" s="33"/>
      <c r="G127" s="33"/>
      <c r="H127" s="33"/>
      <c r="I127" s="33"/>
      <c r="J127" s="33"/>
      <c r="K127" s="198" t="s">
        <v>200</v>
      </c>
      <c r="L127" s="33"/>
      <c r="M127" s="33"/>
      <c r="N127" s="50">
        <f>SUM( N2:N126)</f>
        <v>0</v>
      </c>
      <c r="O127" s="51">
        <f>SUM(O2:O126)</f>
        <v>0</v>
      </c>
      <c r="P127" s="52">
        <f>SUM(P2:P120)+P125+P126</f>
        <v>79800</v>
      </c>
      <c r="Q127" s="40">
        <f>SUM(Q2:Q126)</f>
        <v>0</v>
      </c>
      <c r="R127" s="39">
        <f>SUM(R2:R126)</f>
        <v>0</v>
      </c>
      <c r="S127" s="234">
        <f>SUM(S2:S120)</f>
        <v>0</v>
      </c>
      <c r="T127" s="38">
        <f>Таблица6[[#This Row],[Столбец14]]-Таблица6[[#This Row],[Столбец11]]</f>
        <v>0</v>
      </c>
      <c r="U127" s="36" t="e">
        <f>Таблица6[[#This Row],[Столбец17]]/Таблица6[[#This Row],[Столбец11]]</f>
        <v>#DIV/0!</v>
      </c>
      <c r="V127" s="38">
        <f>Таблица6[[#This Row],[Столбец15]]-Таблица6[[#This Row],[Столбец12]]</f>
        <v>0</v>
      </c>
      <c r="W127" s="36" t="e">
        <f>Таблица6[[#This Row],[Столбец19]]/Таблица6[[#This Row],[Столбец12]]</f>
        <v>#DIV/0!</v>
      </c>
      <c r="X127" s="235">
        <f>Таблица6[[#This Row],[Столбец16]]-Таблица6[[#This Row],[Столбец13]]</f>
        <v>-79800</v>
      </c>
      <c r="Y127" s="37">
        <f>(Таблица6[[#This Row],[Столбец21]])/Таблица6[[#This Row],[Столбец13]]</f>
        <v>-1</v>
      </c>
      <c r="Z127" s="236"/>
      <c r="AC127" s="1"/>
      <c r="AD127" s="1"/>
    </row>
    <row r="128" spans="1:30" ht="21" x14ac:dyDescent="0.35">
      <c r="A128" s="32"/>
      <c r="B128" s="33"/>
      <c r="C128" s="33"/>
      <c r="D128" s="33"/>
      <c r="E128" s="33"/>
      <c r="F128" s="33"/>
      <c r="G128" s="33"/>
      <c r="H128" s="139"/>
      <c r="I128" s="33"/>
      <c r="J128" s="33"/>
      <c r="K128" s="188" t="s">
        <v>192</v>
      </c>
      <c r="L128" s="183"/>
      <c r="M128" s="183"/>
      <c r="N128" s="53"/>
      <c r="O128" s="53"/>
      <c r="P128" s="53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C128" s="13"/>
    </row>
    <row r="129" spans="1:26" ht="21" x14ac:dyDescent="0.35">
      <c r="A129" s="33"/>
      <c r="B129" s="33"/>
      <c r="C129" s="33"/>
      <c r="D129" s="33"/>
      <c r="E129" s="33"/>
      <c r="F129" s="33"/>
      <c r="G129" s="33"/>
      <c r="H129" s="139"/>
      <c r="I129" s="33"/>
      <c r="J129" s="33"/>
      <c r="K129" s="187" t="s">
        <v>182</v>
      </c>
      <c r="L129" s="184"/>
      <c r="M129" s="33"/>
      <c r="N129" s="53"/>
      <c r="O129" s="53"/>
      <c r="P129" s="216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6" ht="21" x14ac:dyDescent="0.35">
      <c r="A130" s="32"/>
      <c r="B130" s="33"/>
      <c r="C130" s="33"/>
      <c r="D130" s="33"/>
      <c r="E130" s="33"/>
      <c r="F130" s="33"/>
      <c r="G130" s="33"/>
      <c r="H130" s="139"/>
      <c r="I130" s="33"/>
      <c r="J130" s="33"/>
      <c r="K130" s="186" t="s">
        <v>191</v>
      </c>
      <c r="L130" s="183"/>
      <c r="M130" s="210"/>
      <c r="N130" s="53"/>
      <c r="O130" s="209"/>
      <c r="P130" s="217"/>
      <c r="Q130" s="25"/>
      <c r="R130" s="25"/>
      <c r="S130" s="25"/>
      <c r="T130" s="25"/>
      <c r="U130" s="25"/>
      <c r="V130" s="25"/>
      <c r="W130" s="25"/>
      <c r="X130" s="25"/>
      <c r="Y130" s="25"/>
      <c r="Z130" s="220"/>
    </row>
    <row r="131" spans="1:26" ht="23.25" x14ac:dyDescent="0.35">
      <c r="A131" s="32"/>
      <c r="B131" s="33"/>
      <c r="C131" s="33"/>
      <c r="D131" s="33"/>
      <c r="E131" s="33"/>
      <c r="F131" s="33"/>
      <c r="G131" s="65"/>
      <c r="H131" s="65"/>
      <c r="I131" s="65"/>
      <c r="J131" s="65"/>
      <c r="K131" s="191" t="s">
        <v>193</v>
      </c>
      <c r="L131" s="190"/>
      <c r="M131" s="151"/>
      <c r="N131" s="53"/>
      <c r="O131" s="146"/>
      <c r="P131" s="146"/>
      <c r="Q131" s="146"/>
      <c r="R131" s="146"/>
      <c r="S131" s="25"/>
      <c r="T131" s="25"/>
      <c r="U131" s="25"/>
      <c r="V131" s="25"/>
      <c r="W131" s="25"/>
      <c r="X131" s="25"/>
      <c r="Y131" s="25"/>
    </row>
    <row r="132" spans="1:26" ht="25.5" hidden="1" outlineLevel="1" x14ac:dyDescent="0.25">
      <c r="A132" s="33"/>
      <c r="B132" s="33"/>
      <c r="C132" s="33"/>
      <c r="D132" s="33"/>
      <c r="E132" s="33"/>
      <c r="F132" s="33"/>
      <c r="G132" s="64"/>
      <c r="H132" s="64"/>
      <c r="I132" s="64"/>
      <c r="J132" s="64"/>
      <c r="K132" s="185" t="s">
        <v>184</v>
      </c>
      <c r="L132" s="168" t="s">
        <v>180</v>
      </c>
      <c r="M132" s="168" t="s">
        <v>181</v>
      </c>
      <c r="N132" s="168" t="s">
        <v>182</v>
      </c>
      <c r="O132" s="168" t="s">
        <v>191</v>
      </c>
      <c r="P132" s="53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6" ht="27.75" hidden="1" outlineLevel="1" x14ac:dyDescent="0.25">
      <c r="A133" s="32"/>
      <c r="B133" s="32"/>
      <c r="C133" s="32"/>
      <c r="D133" s="32"/>
      <c r="E133" s="32"/>
      <c r="F133" s="32"/>
      <c r="G133" s="65"/>
      <c r="H133" s="65"/>
      <c r="I133" s="65"/>
      <c r="J133" s="65"/>
      <c r="K133" s="166" t="s">
        <v>179</v>
      </c>
      <c r="L133" s="170">
        <v>74</v>
      </c>
      <c r="M133" s="171">
        <v>71</v>
      </c>
      <c r="N133" s="171">
        <v>58</v>
      </c>
      <c r="O133" s="171"/>
      <c r="P133" s="54"/>
      <c r="Q133" s="27"/>
      <c r="R133" s="27"/>
      <c r="S133" s="25"/>
      <c r="T133" s="27"/>
      <c r="U133" s="27"/>
      <c r="V133" s="27"/>
      <c r="W133" s="27"/>
      <c r="X133" s="27"/>
      <c r="Y133" s="27"/>
    </row>
    <row r="134" spans="1:26" ht="31.5" hidden="1" outlineLevel="1" x14ac:dyDescent="0.5">
      <c r="A134" s="33"/>
      <c r="B134" s="33"/>
      <c r="C134" s="33"/>
      <c r="D134" s="33"/>
      <c r="E134" s="33"/>
      <c r="F134" s="33"/>
      <c r="G134" s="64"/>
      <c r="H134" s="64"/>
      <c r="I134" s="64"/>
      <c r="J134" s="64"/>
      <c r="K134" s="150" t="s">
        <v>183</v>
      </c>
      <c r="L134" s="169"/>
      <c r="M134" s="173">
        <v>3680304.9999999995</v>
      </c>
      <c r="N134" s="172">
        <v>2775790.73</v>
      </c>
      <c r="O134" s="172"/>
      <c r="P134" s="53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6" ht="28.5" hidden="1" outlineLevel="1" x14ac:dyDescent="0.45">
      <c r="A135" s="32"/>
      <c r="B135" s="32"/>
      <c r="C135" s="32"/>
      <c r="D135" s="32"/>
      <c r="E135" s="32"/>
      <c r="F135" s="32"/>
      <c r="G135" s="65"/>
      <c r="H135" s="65"/>
      <c r="I135" s="65"/>
      <c r="J135" s="65"/>
      <c r="K135" s="174"/>
      <c r="L135" s="174"/>
      <c r="M135" s="174"/>
      <c r="N135" s="174">
        <f>N134-M134</f>
        <v>-904514.26999999955</v>
      </c>
      <c r="O135" s="174"/>
      <c r="P135" s="54"/>
      <c r="Q135" s="27"/>
      <c r="R135" s="27"/>
      <c r="S135" s="25"/>
      <c r="T135" s="27"/>
      <c r="U135" s="27"/>
      <c r="V135" s="27"/>
      <c r="W135" s="27"/>
      <c r="X135" s="27"/>
      <c r="Y135" s="27"/>
    </row>
    <row r="136" spans="1:26" ht="25.5" hidden="1" outlineLevel="1" x14ac:dyDescent="0.25">
      <c r="G136" s="64"/>
      <c r="H136" s="64"/>
      <c r="I136" s="64"/>
      <c r="J136" s="64"/>
      <c r="K136" s="167" t="s">
        <v>185</v>
      </c>
      <c r="L136" s="168" t="s">
        <v>180</v>
      </c>
      <c r="M136" s="168" t="s">
        <v>181</v>
      </c>
      <c r="N136" s="168" t="s">
        <v>182</v>
      </c>
      <c r="O136" s="168" t="s">
        <v>191</v>
      </c>
      <c r="P136" s="53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6" ht="27.75" hidden="1" outlineLevel="1" x14ac:dyDescent="0.25">
      <c r="A137" s="32"/>
      <c r="B137" s="32"/>
      <c r="C137" s="32"/>
      <c r="D137" s="32"/>
      <c r="E137" s="32"/>
      <c r="F137" s="32"/>
      <c r="G137" s="65"/>
      <c r="H137" s="65"/>
      <c r="I137" s="65"/>
      <c r="J137" s="65"/>
      <c r="K137" s="166" t="s">
        <v>179</v>
      </c>
      <c r="L137" s="170">
        <v>24</v>
      </c>
      <c r="M137" s="171">
        <v>24</v>
      </c>
      <c r="N137" s="171">
        <v>22</v>
      </c>
      <c r="O137" s="171"/>
      <c r="P137" s="54"/>
      <c r="Q137" s="27"/>
      <c r="R137" s="27"/>
      <c r="S137" s="25"/>
      <c r="T137" s="28"/>
      <c r="U137" s="27"/>
      <c r="V137" s="27"/>
      <c r="W137" s="29"/>
      <c r="X137" s="27"/>
      <c r="Y137" s="27"/>
    </row>
    <row r="138" spans="1:26" ht="31.5" hidden="1" outlineLevel="1" x14ac:dyDescent="0.5">
      <c r="A138" s="33"/>
      <c r="B138" s="33"/>
      <c r="C138" s="33"/>
      <c r="D138" s="33"/>
      <c r="E138" s="33"/>
      <c r="F138" s="33"/>
      <c r="G138" s="64"/>
      <c r="H138" s="64"/>
      <c r="I138" s="64"/>
      <c r="J138" s="64"/>
      <c r="K138" s="150" t="s">
        <v>183</v>
      </c>
      <c r="L138" s="169"/>
      <c r="M138" s="173">
        <v>3587970.4600000004</v>
      </c>
      <c r="N138" s="172">
        <v>3287119.6900000004</v>
      </c>
      <c r="O138" s="172"/>
      <c r="P138" s="53"/>
      <c r="Q138" s="25"/>
      <c r="R138" s="25"/>
      <c r="S138" s="25"/>
      <c r="T138" s="26"/>
      <c r="U138" s="25"/>
      <c r="V138" s="25"/>
      <c r="W138" s="30"/>
      <c r="X138" s="25"/>
      <c r="Y138" s="25"/>
    </row>
    <row r="139" spans="1:26" ht="28.5" hidden="1" outlineLevel="1" x14ac:dyDescent="0.45">
      <c r="A139" s="32"/>
      <c r="B139" s="32"/>
      <c r="C139" s="32"/>
      <c r="D139" s="32"/>
      <c r="E139" s="32"/>
      <c r="F139" s="32"/>
      <c r="G139" s="65"/>
      <c r="H139" s="65"/>
      <c r="I139" s="65"/>
      <c r="J139" s="65"/>
      <c r="K139" s="174"/>
      <c r="L139" s="174"/>
      <c r="M139" s="174"/>
      <c r="N139" s="174">
        <f>N138-M138</f>
        <v>-300850.77</v>
      </c>
      <c r="O139" s="174"/>
      <c r="P139" s="54"/>
      <c r="Q139" s="27"/>
      <c r="R139" s="27"/>
      <c r="S139" s="25"/>
      <c r="T139" s="27"/>
      <c r="U139" s="27"/>
      <c r="V139" s="27"/>
      <c r="W139" s="27"/>
      <c r="X139" s="27"/>
      <c r="Y139" s="27"/>
    </row>
    <row r="140" spans="1:26" ht="27.75" hidden="1" outlineLevel="1" x14ac:dyDescent="0.25">
      <c r="A140" s="33"/>
      <c r="B140" s="33"/>
      <c r="C140" s="33"/>
      <c r="D140" s="33"/>
      <c r="E140" s="33"/>
      <c r="F140" s="33"/>
      <c r="G140" s="64"/>
      <c r="H140" s="64"/>
      <c r="I140" s="64"/>
      <c r="J140" s="64"/>
      <c r="K140" s="175" t="s">
        <v>186</v>
      </c>
      <c r="L140" s="168" t="s">
        <v>180</v>
      </c>
      <c r="M140" s="176" t="s">
        <v>181</v>
      </c>
      <c r="N140" s="176" t="s">
        <v>182</v>
      </c>
      <c r="O140" s="176" t="s">
        <v>191</v>
      </c>
      <c r="P140" s="53"/>
      <c r="Q140" s="25"/>
      <c r="R140" s="25"/>
      <c r="S140" s="25"/>
      <c r="T140" s="26"/>
      <c r="U140" s="25"/>
      <c r="V140" s="25"/>
      <c r="W140" s="30"/>
      <c r="X140" s="25"/>
      <c r="Y140" s="25"/>
    </row>
    <row r="141" spans="1:26" ht="27.75" hidden="1" outlineLevel="1" x14ac:dyDescent="0.25">
      <c r="A141" s="32"/>
      <c r="B141" s="32"/>
      <c r="C141" s="32"/>
      <c r="D141" s="32"/>
      <c r="E141" s="32"/>
      <c r="F141" s="32"/>
      <c r="G141" s="65"/>
      <c r="H141" s="65"/>
      <c r="I141" s="65"/>
      <c r="J141" s="65"/>
      <c r="K141" s="166" t="s">
        <v>179</v>
      </c>
      <c r="L141" s="177" t="s">
        <v>187</v>
      </c>
      <c r="M141" s="178" t="s">
        <v>188</v>
      </c>
      <c r="N141" s="178" t="s">
        <v>189</v>
      </c>
      <c r="O141" s="178"/>
      <c r="P141" s="54"/>
      <c r="Q141" s="27"/>
      <c r="R141" s="27"/>
      <c r="S141" s="25"/>
      <c r="T141" s="28"/>
      <c r="U141" s="27"/>
      <c r="V141" s="27"/>
      <c r="W141" s="29"/>
      <c r="X141" s="27"/>
      <c r="Y141" s="27"/>
    </row>
    <row r="142" spans="1:26" ht="31.5" hidden="1" outlineLevel="1" x14ac:dyDescent="0.5">
      <c r="A142" s="33"/>
      <c r="B142" s="33"/>
      <c r="C142" s="33"/>
      <c r="D142" s="33"/>
      <c r="E142" s="33"/>
      <c r="F142" s="33"/>
      <c r="G142" s="64"/>
      <c r="H142" s="64"/>
      <c r="I142" s="64"/>
      <c r="J142" s="64"/>
      <c r="K142" s="179" t="s">
        <v>183</v>
      </c>
      <c r="L142" s="180"/>
      <c r="M142" s="173">
        <f>M138+M134</f>
        <v>7268275.46</v>
      </c>
      <c r="N142" s="172">
        <f>N138+N134</f>
        <v>6062910.4199999999</v>
      </c>
      <c r="O142" s="172"/>
      <c r="P142" s="53"/>
      <c r="Q142" s="25"/>
      <c r="R142" s="25"/>
      <c r="S142" s="25"/>
      <c r="T142" s="26"/>
      <c r="U142" s="25"/>
      <c r="V142" s="25"/>
      <c r="W142" s="30"/>
      <c r="X142" s="25"/>
      <c r="Y142" s="25"/>
    </row>
    <row r="143" spans="1:26" ht="28.5" hidden="1" outlineLevel="1" x14ac:dyDescent="0.45">
      <c r="A143" s="32"/>
      <c r="B143" s="32"/>
      <c r="C143" s="32"/>
      <c r="D143" s="32"/>
      <c r="E143" s="32"/>
      <c r="F143" s="32"/>
      <c r="G143" s="64"/>
      <c r="H143" s="140"/>
      <c r="I143" s="144"/>
      <c r="J143" s="144"/>
      <c r="K143" s="179"/>
      <c r="L143" s="181"/>
      <c r="M143" s="149"/>
      <c r="N143" s="182">
        <f>N142-M142</f>
        <v>-1205365.04</v>
      </c>
      <c r="O143" s="182"/>
      <c r="P143" s="54"/>
      <c r="Q143" s="27"/>
      <c r="R143" s="27"/>
      <c r="S143" s="25"/>
      <c r="T143" s="28"/>
      <c r="U143" s="27"/>
      <c r="V143" s="27"/>
      <c r="W143" s="29"/>
      <c r="X143" s="27"/>
      <c r="Y143" s="27"/>
    </row>
    <row r="144" spans="1:26" ht="23.25" collapsed="1" x14ac:dyDescent="0.35">
      <c r="A144" s="33"/>
      <c r="B144" s="33"/>
      <c r="C144" s="33"/>
      <c r="D144" s="33"/>
      <c r="E144" s="33"/>
      <c r="F144" s="33"/>
      <c r="G144" s="33"/>
      <c r="H144" s="139"/>
      <c r="I144" s="145"/>
      <c r="J144" s="145"/>
      <c r="K144" s="219"/>
      <c r="L144" s="219"/>
      <c r="M144" s="219"/>
      <c r="N144" s="192"/>
      <c r="O144" s="192"/>
      <c r="P144" s="53"/>
      <c r="Q144" s="25"/>
      <c r="R144" s="25"/>
      <c r="S144" s="25"/>
      <c r="T144" s="26"/>
      <c r="U144" s="25"/>
      <c r="V144" s="25"/>
      <c r="W144" s="30"/>
      <c r="X144" s="25"/>
      <c r="Y144" s="25"/>
    </row>
    <row r="145" spans="1:25" ht="25.5" hidden="1" outlineLevel="1" x14ac:dyDescent="0.25">
      <c r="A145" s="32"/>
      <c r="B145" s="32"/>
      <c r="C145" s="32"/>
      <c r="D145" s="32"/>
      <c r="E145" s="32"/>
      <c r="F145" s="32"/>
      <c r="G145" s="32"/>
      <c r="H145" s="138"/>
      <c r="I145" s="32"/>
      <c r="J145" s="32"/>
      <c r="K145" s="167" t="s">
        <v>184</v>
      </c>
      <c r="L145" s="168" t="s">
        <v>180</v>
      </c>
      <c r="M145" s="168" t="s">
        <v>181</v>
      </c>
      <c r="N145" s="168" t="s">
        <v>182</v>
      </c>
      <c r="O145" s="168" t="s">
        <v>191</v>
      </c>
      <c r="P145" s="54"/>
      <c r="Q145" s="27"/>
      <c r="R145" s="27"/>
      <c r="S145" s="25"/>
      <c r="T145" s="28"/>
      <c r="U145" s="27"/>
      <c r="V145" s="27"/>
      <c r="W145" s="29"/>
      <c r="X145" s="27"/>
      <c r="Y145" s="27"/>
    </row>
    <row r="146" spans="1:25" ht="27.75" hidden="1" outlineLevel="1" x14ac:dyDescent="0.25">
      <c r="K146" s="166" t="s">
        <v>197</v>
      </c>
      <c r="L146" s="170">
        <v>93</v>
      </c>
      <c r="M146" s="171">
        <v>73</v>
      </c>
      <c r="N146" s="171">
        <v>71</v>
      </c>
      <c r="O146" s="171">
        <v>39</v>
      </c>
      <c r="P146" s="53"/>
      <c r="Q146" s="25"/>
      <c r="R146" s="25"/>
      <c r="S146" s="25"/>
      <c r="T146" s="26"/>
      <c r="U146" s="25"/>
      <c r="V146" s="25"/>
      <c r="W146" s="30"/>
      <c r="X146" s="25"/>
      <c r="Y146" s="25"/>
    </row>
    <row r="147" spans="1:25" ht="31.5" hidden="1" outlineLevel="1" x14ac:dyDescent="0.5">
      <c r="A147" s="32"/>
      <c r="B147" s="32"/>
      <c r="C147" s="33"/>
      <c r="D147" s="33"/>
      <c r="E147" s="33"/>
      <c r="F147" s="33"/>
      <c r="G147" s="33"/>
      <c r="H147" s="139"/>
      <c r="I147" s="33"/>
      <c r="J147" s="32"/>
      <c r="K147" s="150" t="s">
        <v>194</v>
      </c>
      <c r="L147" s="169"/>
      <c r="M147" s="173">
        <v>3846021.9999999995</v>
      </c>
      <c r="N147" s="172">
        <v>3680304.9999999995</v>
      </c>
      <c r="O147" s="193">
        <v>1359053.2600000002</v>
      </c>
      <c r="P147" s="54"/>
      <c r="Q147" s="27"/>
      <c r="R147" s="27"/>
      <c r="S147" s="25"/>
      <c r="T147" s="28"/>
      <c r="U147" s="27"/>
      <c r="V147" s="27"/>
      <c r="W147" s="29"/>
      <c r="X147" s="27"/>
      <c r="Y147" s="27"/>
    </row>
    <row r="148" spans="1:25" ht="28.5" hidden="1" outlineLevel="1" x14ac:dyDescent="0.45">
      <c r="A148" s="33"/>
      <c r="B148" s="33"/>
      <c r="C148" s="33"/>
      <c r="D148" s="33"/>
      <c r="E148" s="33"/>
      <c r="F148" s="33"/>
      <c r="G148" s="33"/>
      <c r="H148" s="139"/>
      <c r="I148" s="33"/>
      <c r="J148" s="33"/>
      <c r="K148" s="179"/>
      <c r="L148" s="181"/>
      <c r="M148" s="149"/>
      <c r="N148" s="196">
        <f>N147-M147</f>
        <v>-165717</v>
      </c>
      <c r="O148" s="197">
        <f>O147-N147</f>
        <v>-2321251.7399999993</v>
      </c>
      <c r="P148" s="53"/>
      <c r="Q148" s="25"/>
      <c r="R148" s="25"/>
      <c r="S148" s="25"/>
      <c r="T148" s="26"/>
      <c r="U148" s="25"/>
      <c r="V148" s="25"/>
      <c r="W148" s="30"/>
      <c r="X148" s="25"/>
      <c r="Y148" s="25"/>
    </row>
    <row r="149" spans="1:25" ht="25.5" hidden="1" outlineLevel="1" x14ac:dyDescent="0.25">
      <c r="A149" s="32"/>
      <c r="B149" s="32"/>
      <c r="C149" s="32"/>
      <c r="D149" s="32"/>
      <c r="E149" s="32"/>
      <c r="F149" s="32"/>
      <c r="G149" s="32"/>
      <c r="H149" s="138"/>
      <c r="I149" s="32"/>
      <c r="J149" s="32"/>
      <c r="K149" s="167" t="s">
        <v>185</v>
      </c>
      <c r="L149" s="168" t="s">
        <v>180</v>
      </c>
      <c r="M149" s="168" t="s">
        <v>181</v>
      </c>
      <c r="N149" s="168" t="s">
        <v>182</v>
      </c>
      <c r="O149" s="168" t="s">
        <v>191</v>
      </c>
      <c r="P149" s="54"/>
      <c r="Q149" s="27"/>
      <c r="R149" s="27"/>
      <c r="S149" s="25"/>
      <c r="T149" s="28"/>
      <c r="U149" s="27"/>
      <c r="V149" s="27"/>
      <c r="W149" s="29"/>
      <c r="X149" s="27"/>
      <c r="Y149" s="27"/>
    </row>
    <row r="150" spans="1:25" ht="27.75" hidden="1" outlineLevel="1" x14ac:dyDescent="0.25">
      <c r="A150" s="33"/>
      <c r="B150" s="33"/>
      <c r="C150" s="33"/>
      <c r="D150" s="33"/>
      <c r="E150" s="33"/>
      <c r="F150" s="33"/>
      <c r="G150" s="33"/>
      <c r="H150" s="139"/>
      <c r="I150" s="33"/>
      <c r="J150" s="33"/>
      <c r="K150" s="166" t="s">
        <v>197</v>
      </c>
      <c r="L150" s="170">
        <v>29</v>
      </c>
      <c r="M150" s="171">
        <v>29</v>
      </c>
      <c r="N150" s="171">
        <v>24</v>
      </c>
      <c r="O150" s="171">
        <v>13</v>
      </c>
      <c r="P150" s="53"/>
      <c r="Q150" s="25"/>
      <c r="R150" s="25"/>
      <c r="S150" s="25"/>
      <c r="T150" s="26"/>
      <c r="U150" s="25"/>
      <c r="V150" s="25"/>
      <c r="W150" s="30"/>
      <c r="X150" s="25"/>
      <c r="Y150" s="25"/>
    </row>
    <row r="151" spans="1:25" ht="31.5" hidden="1" outlineLevel="1" x14ac:dyDescent="0.5">
      <c r="A151" s="32"/>
      <c r="B151" s="32"/>
      <c r="C151" s="32"/>
      <c r="D151" s="32"/>
      <c r="E151" s="32"/>
      <c r="F151" s="32"/>
      <c r="G151" s="32"/>
      <c r="H151" s="138"/>
      <c r="I151" s="32"/>
      <c r="J151" s="32"/>
      <c r="K151" s="150" t="s">
        <v>194</v>
      </c>
      <c r="L151" s="169"/>
      <c r="M151" s="173">
        <v>4000889.3700000006</v>
      </c>
      <c r="N151" s="172">
        <v>3587970.4600000004</v>
      </c>
      <c r="O151" s="193">
        <v>1152812.73</v>
      </c>
      <c r="P151" s="54"/>
      <c r="Q151" s="27"/>
      <c r="R151" s="27"/>
      <c r="S151" s="25"/>
      <c r="T151" s="28"/>
      <c r="U151" s="27"/>
      <c r="V151" s="27"/>
      <c r="W151" s="29"/>
      <c r="X151" s="27"/>
      <c r="Y151" s="27"/>
    </row>
    <row r="152" spans="1:25" ht="28.5" hidden="1" outlineLevel="1" x14ac:dyDescent="0.45">
      <c r="A152" s="33"/>
      <c r="B152" s="33"/>
      <c r="C152" s="33"/>
      <c r="D152" s="33"/>
      <c r="E152" s="33"/>
      <c r="F152" s="33"/>
      <c r="G152" s="33"/>
      <c r="H152" s="139"/>
      <c r="I152" s="33"/>
      <c r="J152" s="33"/>
      <c r="K152" s="179"/>
      <c r="L152" s="181"/>
      <c r="M152" s="149"/>
      <c r="N152" s="196">
        <f>N151-M151</f>
        <v>-412918.91000000015</v>
      </c>
      <c r="O152" s="197">
        <f>O151-N151</f>
        <v>-2435157.7300000004</v>
      </c>
      <c r="P152" s="60"/>
      <c r="Q152" s="11"/>
      <c r="R152" s="2"/>
      <c r="S152" s="25"/>
      <c r="T152" s="12"/>
      <c r="U152" s="3"/>
      <c r="V152" s="4"/>
      <c r="W152" s="4"/>
      <c r="X152" s="4"/>
      <c r="Y152" s="4"/>
    </row>
    <row r="153" spans="1:25" ht="27.75" hidden="1" outlineLevel="1" x14ac:dyDescent="0.25">
      <c r="A153" s="32"/>
      <c r="B153" s="32"/>
      <c r="C153" s="32"/>
      <c r="D153" s="32"/>
      <c r="E153" s="32"/>
      <c r="F153" s="32"/>
      <c r="G153" s="32"/>
      <c r="H153" s="138"/>
      <c r="I153" s="32"/>
      <c r="J153" s="32"/>
      <c r="K153" s="175" t="s">
        <v>186</v>
      </c>
      <c r="L153" s="168" t="s">
        <v>180</v>
      </c>
      <c r="M153" s="176" t="s">
        <v>181</v>
      </c>
      <c r="N153" s="176" t="s">
        <v>182</v>
      </c>
      <c r="O153" s="176" t="s">
        <v>191</v>
      </c>
      <c r="P153" s="54"/>
      <c r="Q153" s="27"/>
      <c r="R153" s="27"/>
      <c r="S153" s="25"/>
      <c r="T153" s="28"/>
      <c r="U153" s="27"/>
      <c r="V153" s="27"/>
      <c r="W153" s="29"/>
      <c r="X153" s="27"/>
      <c r="Y153" s="27"/>
    </row>
    <row r="154" spans="1:25" ht="27.75" hidden="1" outlineLevel="1" x14ac:dyDescent="0.25">
      <c r="A154" s="33"/>
      <c r="B154" s="33"/>
      <c r="C154" s="33"/>
      <c r="D154" s="33"/>
      <c r="E154" s="33"/>
      <c r="F154" s="33"/>
      <c r="G154" s="33"/>
      <c r="H154" s="139"/>
      <c r="I154" s="33"/>
      <c r="J154" s="33"/>
      <c r="K154" s="166" t="s">
        <v>197</v>
      </c>
      <c r="L154" s="177" t="s">
        <v>195</v>
      </c>
      <c r="M154" s="178" t="s">
        <v>198</v>
      </c>
      <c r="N154" s="178" t="s">
        <v>199</v>
      </c>
      <c r="O154" s="178" t="s">
        <v>196</v>
      </c>
      <c r="P154" s="53"/>
      <c r="Q154" s="25"/>
      <c r="R154" s="25"/>
      <c r="S154" s="25"/>
      <c r="T154" s="26"/>
      <c r="U154" s="25"/>
      <c r="V154" s="25"/>
      <c r="W154" s="30"/>
      <c r="X154" s="25"/>
      <c r="Y154" s="25"/>
    </row>
    <row r="155" spans="1:25" ht="31.5" hidden="1" outlineLevel="1" x14ac:dyDescent="0.5">
      <c r="A155" s="32"/>
      <c r="B155" s="32"/>
      <c r="C155" s="32"/>
      <c r="D155" s="32"/>
      <c r="E155" s="32"/>
      <c r="F155" s="32"/>
      <c r="G155" s="32"/>
      <c r="H155" s="138"/>
      <c r="I155" s="32"/>
      <c r="J155" s="32"/>
      <c r="K155" s="179" t="s">
        <v>194</v>
      </c>
      <c r="L155" s="180"/>
      <c r="M155" s="173">
        <f>M151+M147</f>
        <v>7846911.3700000001</v>
      </c>
      <c r="N155" s="172">
        <f>N151+N147</f>
        <v>7268275.46</v>
      </c>
      <c r="O155" s="193">
        <f>(O151+O147)</f>
        <v>2511865.9900000002</v>
      </c>
      <c r="P155" s="54"/>
      <c r="Q155" s="27"/>
      <c r="R155" s="27"/>
      <c r="S155" s="25"/>
      <c r="T155" s="28"/>
      <c r="U155" s="27"/>
      <c r="V155" s="27"/>
      <c r="W155" s="29"/>
      <c r="X155" s="27"/>
      <c r="Y155" s="27"/>
    </row>
    <row r="156" spans="1:25" ht="28.5" hidden="1" outlineLevel="1" x14ac:dyDescent="0.45">
      <c r="A156" s="33"/>
      <c r="B156" s="33"/>
      <c r="C156" s="33"/>
      <c r="D156" s="33"/>
      <c r="E156" s="33"/>
      <c r="F156" s="33"/>
      <c r="G156" s="33"/>
      <c r="H156" s="139"/>
      <c r="I156" s="33"/>
      <c r="J156" s="33"/>
      <c r="K156" s="179"/>
      <c r="L156" s="181"/>
      <c r="M156" s="149"/>
      <c r="N156" s="194">
        <f>N155-M155</f>
        <v>-578635.91000000015</v>
      </c>
      <c r="O156" s="195">
        <f>(O151+O147)-(N151+N147)</f>
        <v>-4756409.47</v>
      </c>
      <c r="P156" s="53"/>
      <c r="Q156" s="25"/>
      <c r="R156" s="25"/>
      <c r="S156" s="25"/>
      <c r="T156" s="26"/>
      <c r="U156" s="25"/>
      <c r="V156" s="25"/>
      <c r="W156" s="30"/>
      <c r="X156" s="25"/>
      <c r="Y156" s="25"/>
    </row>
    <row r="157" spans="1:25" ht="23.25" hidden="1" outlineLevel="1" x14ac:dyDescent="0.35">
      <c r="A157" s="33"/>
      <c r="B157" s="33"/>
      <c r="C157" s="33"/>
      <c r="D157" s="33"/>
      <c r="E157" s="33"/>
      <c r="F157" s="33"/>
      <c r="G157" s="33"/>
      <c r="H157" s="139"/>
      <c r="I157" s="145"/>
      <c r="J157" s="145"/>
      <c r="K157" s="192"/>
      <c r="L157" s="192"/>
      <c r="M157" s="192"/>
      <c r="N157" s="192"/>
      <c r="O157" s="192"/>
      <c r="P157" s="53"/>
      <c r="Q157" s="25"/>
      <c r="R157" s="25"/>
      <c r="S157" s="25"/>
      <c r="T157" s="26"/>
      <c r="U157" s="25"/>
      <c r="V157" s="25"/>
      <c r="W157" s="30"/>
      <c r="X157" s="25"/>
      <c r="Y157" s="25"/>
    </row>
    <row r="158" spans="1:25" ht="25.5" hidden="1" outlineLevel="1" x14ac:dyDescent="0.25">
      <c r="A158" s="33"/>
      <c r="B158" s="33"/>
      <c r="C158" s="33"/>
      <c r="D158" s="33"/>
      <c r="E158" s="33"/>
      <c r="F158" s="33"/>
      <c r="G158" s="33"/>
      <c r="H158" s="139"/>
      <c r="I158" s="33"/>
      <c r="J158" s="33"/>
      <c r="K158" s="167" t="s">
        <v>184</v>
      </c>
      <c r="L158" s="168" t="s">
        <v>180</v>
      </c>
      <c r="M158" s="168" t="s">
        <v>181</v>
      </c>
      <c r="N158" s="168" t="s">
        <v>182</v>
      </c>
      <c r="O158" s="168" t="s">
        <v>191</v>
      </c>
      <c r="P158" s="53"/>
      <c r="Q158" s="25"/>
      <c r="R158" s="25"/>
      <c r="S158" s="25"/>
      <c r="T158" s="26"/>
      <c r="U158" s="25"/>
      <c r="V158" s="25"/>
      <c r="W158" s="30"/>
      <c r="X158" s="25"/>
      <c r="Y158" s="25"/>
    </row>
    <row r="159" spans="1:25" ht="27.75" hidden="1" outlineLevel="1" x14ac:dyDescent="0.25">
      <c r="A159" s="32"/>
      <c r="B159" s="32"/>
      <c r="C159" s="32"/>
      <c r="D159" s="32"/>
      <c r="E159" s="32"/>
      <c r="F159" s="32"/>
      <c r="G159" s="32"/>
      <c r="H159" s="138"/>
      <c r="I159" s="32"/>
      <c r="J159" s="32"/>
      <c r="K159" s="166" t="s">
        <v>197</v>
      </c>
      <c r="L159" s="170">
        <v>102</v>
      </c>
      <c r="M159" s="171">
        <v>96</v>
      </c>
      <c r="N159" s="171">
        <v>78</v>
      </c>
      <c r="O159" s="171">
        <v>39</v>
      </c>
      <c r="P159" s="54"/>
      <c r="Q159" s="27"/>
      <c r="R159" s="27"/>
      <c r="S159" s="25"/>
      <c r="T159" s="28"/>
      <c r="U159" s="27"/>
      <c r="V159" s="27"/>
      <c r="W159" s="29"/>
      <c r="X159" s="27"/>
      <c r="Y159" s="27"/>
    </row>
    <row r="160" spans="1:25" ht="31.5" hidden="1" outlineLevel="1" x14ac:dyDescent="0.5">
      <c r="A160" s="33"/>
      <c r="B160" s="33"/>
      <c r="C160" s="33"/>
      <c r="D160" s="33"/>
      <c r="E160" s="33"/>
      <c r="F160" s="33"/>
      <c r="G160" s="33"/>
      <c r="H160" s="139"/>
      <c r="I160" s="33"/>
      <c r="J160" s="33"/>
      <c r="K160" s="150" t="s">
        <v>209</v>
      </c>
      <c r="L160" s="169"/>
      <c r="M160" s="173">
        <v>4717406.5999999996</v>
      </c>
      <c r="N160" s="172">
        <v>4002699.35</v>
      </c>
      <c r="O160" s="193">
        <v>1359053.2600000002</v>
      </c>
      <c r="P160" s="53"/>
      <c r="Q160" s="25"/>
      <c r="R160" s="25"/>
      <c r="S160" s="25"/>
      <c r="T160" s="26"/>
      <c r="U160" s="25"/>
      <c r="V160" s="25"/>
      <c r="W160" s="30"/>
      <c r="X160" s="25"/>
      <c r="Y160" s="25"/>
    </row>
    <row r="161" spans="1:25" ht="28.5" hidden="1" outlineLevel="1" x14ac:dyDescent="0.45">
      <c r="A161" s="32"/>
      <c r="B161" s="32"/>
      <c r="C161" s="32"/>
      <c r="D161" s="32"/>
      <c r="E161" s="32"/>
      <c r="F161" s="32"/>
      <c r="G161" s="32"/>
      <c r="H161" s="138"/>
      <c r="I161" s="32"/>
      <c r="J161" s="32"/>
      <c r="K161" s="179"/>
      <c r="L161" s="181"/>
      <c r="M161" s="149"/>
      <c r="N161" s="196">
        <f>N160-M160</f>
        <v>-714707.24999999953</v>
      </c>
      <c r="O161" s="197">
        <f>O160-N160</f>
        <v>-2643646.09</v>
      </c>
      <c r="P161" s="54"/>
      <c r="Q161" s="27"/>
      <c r="R161" s="27"/>
      <c r="S161" s="25"/>
      <c r="T161" s="28"/>
      <c r="U161" s="27"/>
      <c r="V161" s="27"/>
      <c r="W161" s="29"/>
      <c r="X161" s="27"/>
      <c r="Y161" s="27"/>
    </row>
    <row r="162" spans="1:25" ht="25.5" hidden="1" outlineLevel="1" x14ac:dyDescent="0.25">
      <c r="A162" s="33"/>
      <c r="B162" s="33"/>
      <c r="C162" s="33"/>
      <c r="D162" s="33"/>
      <c r="E162" s="33"/>
      <c r="F162" s="33"/>
      <c r="G162" s="33"/>
      <c r="H162" s="139"/>
      <c r="I162" s="33"/>
      <c r="J162" s="33"/>
      <c r="K162" s="167" t="s">
        <v>185</v>
      </c>
      <c r="L162" s="168" t="s">
        <v>180</v>
      </c>
      <c r="M162" s="168" t="s">
        <v>181</v>
      </c>
      <c r="N162" s="168" t="s">
        <v>182</v>
      </c>
      <c r="O162" s="168" t="s">
        <v>191</v>
      </c>
      <c r="P162" s="53"/>
      <c r="Q162" s="25"/>
      <c r="R162" s="25"/>
      <c r="S162" s="25"/>
      <c r="T162" s="26"/>
      <c r="U162" s="25"/>
      <c r="V162" s="25"/>
      <c r="W162" s="30"/>
      <c r="X162" s="25"/>
      <c r="Y162" s="25"/>
    </row>
    <row r="163" spans="1:25" ht="27.75" hidden="1" outlineLevel="1" x14ac:dyDescent="0.25">
      <c r="A163" s="32"/>
      <c r="B163" s="32"/>
      <c r="C163" s="32"/>
      <c r="D163" s="32"/>
      <c r="E163" s="32"/>
      <c r="F163" s="32"/>
      <c r="G163" s="32"/>
      <c r="H163" s="138"/>
      <c r="I163" s="32"/>
      <c r="J163" s="32"/>
      <c r="K163" s="166" t="s">
        <v>197</v>
      </c>
      <c r="L163" s="170">
        <v>32</v>
      </c>
      <c r="M163" s="171">
        <v>29</v>
      </c>
      <c r="N163" s="171">
        <v>29</v>
      </c>
      <c r="O163" s="171">
        <v>13</v>
      </c>
      <c r="P163" s="54"/>
      <c r="Q163" s="27"/>
      <c r="R163" s="27"/>
      <c r="S163" s="25"/>
      <c r="T163" s="28"/>
      <c r="U163" s="27"/>
      <c r="V163" s="27"/>
      <c r="W163" s="29"/>
      <c r="X163" s="27"/>
      <c r="Y163" s="27"/>
    </row>
    <row r="164" spans="1:25" ht="31.5" hidden="1" outlineLevel="1" x14ac:dyDescent="0.5">
      <c r="A164" s="33"/>
      <c r="B164" s="33"/>
      <c r="C164" s="33"/>
      <c r="D164" s="33"/>
      <c r="E164" s="33"/>
      <c r="F164" s="33"/>
      <c r="G164" s="33"/>
      <c r="H164" s="139"/>
      <c r="I164" s="33"/>
      <c r="J164" s="33"/>
      <c r="K164" s="150" t="s">
        <v>209</v>
      </c>
      <c r="L164" s="169"/>
      <c r="M164" s="173">
        <v>3986394.4400000004</v>
      </c>
      <c r="N164" s="172">
        <v>3986394.4400000004</v>
      </c>
      <c r="O164" s="193">
        <v>1152812.73</v>
      </c>
      <c r="P164" s="53"/>
      <c r="Q164" s="25"/>
      <c r="R164" s="25"/>
      <c r="S164" s="25"/>
      <c r="T164" s="26"/>
      <c r="U164" s="25"/>
      <c r="V164" s="25"/>
      <c r="W164" s="30"/>
      <c r="X164" s="25"/>
      <c r="Y164" s="25"/>
    </row>
    <row r="165" spans="1:25" ht="28.5" hidden="1" outlineLevel="1" x14ac:dyDescent="0.45">
      <c r="A165" s="32"/>
      <c r="B165" s="32"/>
      <c r="C165" s="32"/>
      <c r="D165" s="32"/>
      <c r="E165" s="32"/>
      <c r="F165" s="32"/>
      <c r="G165" s="32"/>
      <c r="H165" s="138"/>
      <c r="I165" s="32"/>
      <c r="J165" s="32"/>
      <c r="K165" s="179"/>
      <c r="L165" s="181"/>
      <c r="M165" s="149"/>
      <c r="N165" s="196">
        <f>N164-M164</f>
        <v>0</v>
      </c>
      <c r="O165" s="197">
        <f>O164-N164</f>
        <v>-2833581.7100000004</v>
      </c>
      <c r="P165" s="54"/>
      <c r="Q165" s="27"/>
      <c r="R165" s="27"/>
      <c r="S165" s="25"/>
      <c r="T165" s="28"/>
      <c r="U165" s="27"/>
      <c r="V165" s="27"/>
      <c r="W165" s="29"/>
      <c r="X165" s="27"/>
      <c r="Y165" s="27"/>
    </row>
    <row r="166" spans="1:25" ht="27.75" hidden="1" outlineLevel="1" x14ac:dyDescent="0.25">
      <c r="A166" s="33"/>
      <c r="B166" s="33"/>
      <c r="C166" s="33"/>
      <c r="D166" s="33"/>
      <c r="E166" s="33"/>
      <c r="F166" s="33"/>
      <c r="G166" s="33"/>
      <c r="H166" s="139"/>
      <c r="I166" s="33"/>
      <c r="J166" s="33"/>
      <c r="K166" s="175" t="s">
        <v>186</v>
      </c>
      <c r="L166" s="168" t="s">
        <v>180</v>
      </c>
      <c r="M166" s="176" t="s">
        <v>181</v>
      </c>
      <c r="N166" s="176" t="s">
        <v>182</v>
      </c>
      <c r="O166" s="176" t="s">
        <v>191</v>
      </c>
      <c r="P166" s="53"/>
      <c r="Q166" s="25"/>
      <c r="R166" s="25"/>
      <c r="S166" s="25"/>
      <c r="T166" s="26"/>
      <c r="U166" s="25"/>
      <c r="V166" s="25"/>
      <c r="W166" s="30"/>
      <c r="X166" s="25"/>
      <c r="Y166" s="25"/>
    </row>
    <row r="167" spans="1:25" ht="27.75" hidden="1" outlineLevel="1" x14ac:dyDescent="0.25">
      <c r="A167" s="32"/>
      <c r="B167" s="32"/>
      <c r="C167" s="32"/>
      <c r="D167" s="32"/>
      <c r="E167" s="32"/>
      <c r="F167" s="32"/>
      <c r="G167" s="32"/>
      <c r="H167" s="138"/>
      <c r="I167" s="32"/>
      <c r="J167" s="32"/>
      <c r="K167" s="166" t="s">
        <v>197</v>
      </c>
      <c r="L167" s="177" t="s">
        <v>210</v>
      </c>
      <c r="M167" s="178" t="s">
        <v>211</v>
      </c>
      <c r="N167" s="178" t="s">
        <v>212</v>
      </c>
      <c r="O167" s="178" t="s">
        <v>196</v>
      </c>
      <c r="P167" s="54"/>
      <c r="Q167" s="27"/>
      <c r="R167" s="27"/>
      <c r="S167" s="25"/>
      <c r="T167" s="28"/>
      <c r="U167" s="27"/>
      <c r="V167" s="27"/>
      <c r="W167" s="29"/>
      <c r="X167" s="27"/>
      <c r="Y167" s="27"/>
    </row>
    <row r="168" spans="1:25" ht="31.5" hidden="1" outlineLevel="1" x14ac:dyDescent="0.5">
      <c r="K168" s="150" t="s">
        <v>209</v>
      </c>
      <c r="L168" s="180"/>
      <c r="M168" s="173">
        <f>M164+M160</f>
        <v>8703801.0399999991</v>
      </c>
      <c r="N168" s="172">
        <f>N164+N160</f>
        <v>7989093.790000001</v>
      </c>
      <c r="O168" s="193">
        <f>(O164+O160)</f>
        <v>2511865.9900000002</v>
      </c>
      <c r="P168" s="60"/>
      <c r="Q168" s="11"/>
      <c r="R168" s="2"/>
      <c r="S168" s="25"/>
      <c r="T168" s="12"/>
      <c r="U168" s="3"/>
      <c r="V168" s="4"/>
      <c r="W168" s="4"/>
      <c r="X168" s="4"/>
      <c r="Y168" s="4"/>
    </row>
    <row r="169" spans="1:25" ht="28.5" hidden="1" outlineLevel="1" x14ac:dyDescent="0.45">
      <c r="A169" s="32"/>
      <c r="B169" s="32"/>
      <c r="C169" s="32"/>
      <c r="D169" s="32"/>
      <c r="E169" s="32"/>
      <c r="F169" s="32"/>
      <c r="G169" s="32"/>
      <c r="H169" s="138"/>
      <c r="I169" s="32"/>
      <c r="J169" s="32"/>
      <c r="K169" s="179"/>
      <c r="L169" s="181"/>
      <c r="M169" s="149"/>
      <c r="N169" s="194">
        <f>N168-M168</f>
        <v>-714707.24999999814</v>
      </c>
      <c r="O169" s="195">
        <f>(O164+O160)-(N164+N160)</f>
        <v>-5477227.8000000007</v>
      </c>
      <c r="P169" s="54"/>
      <c r="Q169" s="27"/>
      <c r="R169" s="27"/>
      <c r="S169" s="25"/>
      <c r="T169" s="28"/>
      <c r="U169" s="27"/>
      <c r="V169" s="27"/>
      <c r="W169" s="29"/>
      <c r="X169" s="27"/>
      <c r="Y169" s="27"/>
    </row>
    <row r="170" spans="1:25" hidden="1" outlineLevel="1" x14ac:dyDescent="0.25">
      <c r="A170" s="33"/>
      <c r="B170" s="33"/>
      <c r="C170" s="33"/>
      <c r="D170" s="33"/>
      <c r="E170" s="33"/>
      <c r="F170" s="33"/>
      <c r="G170" s="33"/>
      <c r="H170" s="139"/>
      <c r="I170" s="33"/>
      <c r="J170" s="33"/>
      <c r="K170" s="192"/>
      <c r="L170" s="192"/>
      <c r="M170" s="192"/>
      <c r="N170" s="192"/>
      <c r="O170" s="192"/>
      <c r="P170" s="53"/>
      <c r="Q170" s="25"/>
      <c r="R170" s="25"/>
      <c r="S170" s="25"/>
      <c r="T170" s="26"/>
      <c r="U170" s="25"/>
      <c r="V170" s="25"/>
      <c r="W170" s="30"/>
      <c r="X170" s="25"/>
      <c r="Y170" s="25"/>
    </row>
    <row r="171" spans="1:25" collapsed="1" x14ac:dyDescent="0.25">
      <c r="A171" s="32"/>
      <c r="B171" s="32"/>
      <c r="C171" s="32"/>
      <c r="D171" s="32"/>
      <c r="E171" s="32"/>
      <c r="F171" s="32"/>
      <c r="G171" s="32"/>
      <c r="H171" s="138"/>
      <c r="I171" s="32"/>
      <c r="J171" s="32"/>
      <c r="K171" s="32"/>
      <c r="L171" s="32"/>
      <c r="M171" s="32"/>
      <c r="N171" s="147"/>
      <c r="O171" s="56"/>
      <c r="P171" s="54"/>
      <c r="Q171" s="27"/>
      <c r="R171" s="27"/>
      <c r="S171" s="25"/>
      <c r="T171" s="28"/>
      <c r="U171" s="27"/>
      <c r="V171" s="27"/>
      <c r="W171" s="29"/>
      <c r="X171" s="27"/>
      <c r="Y171" s="27"/>
    </row>
    <row r="172" spans="1:25" x14ac:dyDescent="0.25">
      <c r="A172" s="33"/>
      <c r="B172" s="33"/>
      <c r="C172" s="33"/>
      <c r="D172" s="33"/>
      <c r="E172" s="33"/>
      <c r="F172" s="33"/>
      <c r="G172" s="33"/>
      <c r="H172" s="139"/>
      <c r="I172" s="33"/>
      <c r="J172" s="33"/>
      <c r="K172" s="33"/>
      <c r="L172" s="33"/>
      <c r="M172" s="33"/>
      <c r="N172" s="148"/>
      <c r="O172" s="58"/>
      <c r="P172" s="53"/>
      <c r="Q172" s="25"/>
      <c r="R172" s="25"/>
      <c r="S172" s="25"/>
      <c r="T172" s="26"/>
      <c r="U172" s="25"/>
      <c r="V172" s="25"/>
      <c r="W172" s="30"/>
      <c r="X172" s="25"/>
      <c r="Y172" s="25"/>
    </row>
    <row r="173" spans="1:25" x14ac:dyDescent="0.25">
      <c r="A173" s="32"/>
      <c r="B173" s="32"/>
      <c r="C173" s="32"/>
      <c r="D173" s="32"/>
      <c r="E173" s="32"/>
      <c r="F173" s="32"/>
      <c r="G173" s="32"/>
      <c r="H173" s="138"/>
      <c r="I173" s="32"/>
      <c r="J173" s="32"/>
      <c r="K173" s="32"/>
      <c r="L173" s="32"/>
      <c r="M173" s="32"/>
      <c r="N173" s="55"/>
      <c r="O173" s="56"/>
      <c r="P173" s="54"/>
      <c r="Q173" s="27"/>
      <c r="R173" s="27"/>
      <c r="S173" s="27"/>
      <c r="T173" s="28"/>
      <c r="U173" s="27"/>
      <c r="V173" s="27"/>
      <c r="W173" s="29"/>
      <c r="X173" s="27"/>
      <c r="Y173" s="27"/>
    </row>
    <row r="174" spans="1:25" x14ac:dyDescent="0.25">
      <c r="A174" s="33"/>
      <c r="B174" s="33"/>
      <c r="C174" s="33"/>
      <c r="D174" s="33"/>
      <c r="E174" s="33"/>
      <c r="F174" s="33"/>
      <c r="G174" s="33"/>
      <c r="H174" s="139"/>
      <c r="I174" s="33"/>
      <c r="J174" s="33"/>
      <c r="K174" s="33"/>
      <c r="L174" s="33"/>
      <c r="M174" s="33"/>
      <c r="N174" s="57"/>
      <c r="O174" s="58"/>
      <c r="P174" s="53"/>
      <c r="Q174" s="25"/>
      <c r="R174" s="25"/>
      <c r="S174" s="25"/>
      <c r="T174" s="26"/>
      <c r="U174" s="25"/>
      <c r="V174" s="25"/>
      <c r="W174" s="30"/>
      <c r="X174" s="25"/>
      <c r="Y174" s="25"/>
    </row>
    <row r="175" spans="1:25" x14ac:dyDescent="0.25">
      <c r="A175" s="32"/>
      <c r="B175" s="32"/>
      <c r="C175" s="32"/>
      <c r="D175" s="32"/>
      <c r="E175" s="32"/>
      <c r="F175" s="32"/>
      <c r="G175" s="32"/>
      <c r="H175" s="138"/>
      <c r="I175" s="32"/>
      <c r="J175" s="32"/>
      <c r="K175" s="32"/>
      <c r="L175" s="32"/>
      <c r="M175" s="32"/>
      <c r="N175" s="55"/>
      <c r="O175" s="56"/>
      <c r="P175" s="54"/>
      <c r="Q175" s="27"/>
      <c r="R175" s="27"/>
      <c r="S175" s="27"/>
      <c r="T175" s="28"/>
      <c r="U175" s="27"/>
      <c r="V175" s="27"/>
      <c r="W175" s="29"/>
      <c r="X175" s="27"/>
      <c r="Y175" s="27"/>
    </row>
    <row r="176" spans="1:25" x14ac:dyDescent="0.25">
      <c r="A176" s="33"/>
      <c r="B176" s="33"/>
      <c r="C176" s="33"/>
      <c r="D176" s="33"/>
      <c r="E176" s="33"/>
      <c r="F176" s="33"/>
      <c r="G176" s="33"/>
      <c r="H176" s="139"/>
      <c r="I176" s="33"/>
      <c r="J176" s="33"/>
      <c r="K176" s="33"/>
      <c r="L176" s="33"/>
      <c r="M176" s="33"/>
      <c r="N176" s="57"/>
      <c r="O176" s="58"/>
      <c r="P176" s="53"/>
      <c r="Q176" s="25"/>
      <c r="R176" s="25"/>
      <c r="S176" s="25"/>
      <c r="T176" s="26"/>
      <c r="U176" s="25"/>
      <c r="V176" s="25"/>
      <c r="W176" s="30"/>
      <c r="X176" s="25"/>
      <c r="Y176" s="25"/>
    </row>
    <row r="177" spans="1:25" x14ac:dyDescent="0.25">
      <c r="A177" s="32"/>
      <c r="B177" s="32"/>
      <c r="C177" s="32"/>
      <c r="D177" s="32"/>
      <c r="E177" s="32"/>
      <c r="F177" s="32"/>
      <c r="G177" s="32"/>
      <c r="H177" s="138"/>
      <c r="I177" s="32"/>
      <c r="J177" s="32"/>
      <c r="K177" s="32"/>
      <c r="L177" s="32"/>
      <c r="M177" s="32"/>
      <c r="N177" s="55"/>
      <c r="O177" s="56"/>
      <c r="P177" s="54"/>
      <c r="Q177" s="27"/>
      <c r="R177" s="27"/>
      <c r="S177" s="27"/>
      <c r="T177" s="28"/>
      <c r="U177" s="27"/>
      <c r="V177" s="27"/>
      <c r="W177" s="29"/>
      <c r="X177" s="27"/>
      <c r="Y177" s="27"/>
    </row>
    <row r="178" spans="1:25" x14ac:dyDescent="0.25">
      <c r="A178" s="33"/>
      <c r="B178" s="33"/>
      <c r="C178" s="33"/>
      <c r="D178" s="33"/>
      <c r="E178" s="33"/>
      <c r="F178" s="33"/>
      <c r="G178" s="33"/>
      <c r="H178" s="139"/>
      <c r="I178" s="33"/>
      <c r="J178" s="33"/>
      <c r="K178" s="33"/>
      <c r="L178" s="33"/>
      <c r="M178" s="33"/>
      <c r="N178" s="57"/>
      <c r="O178" s="58"/>
      <c r="P178" s="53"/>
      <c r="Q178" s="25"/>
      <c r="R178" s="25"/>
      <c r="S178" s="25"/>
      <c r="T178" s="26"/>
      <c r="U178" s="25"/>
      <c r="V178" s="25"/>
      <c r="W178" s="30"/>
      <c r="X178" s="25"/>
      <c r="Y178" s="25"/>
    </row>
    <row r="179" spans="1:25" x14ac:dyDescent="0.25">
      <c r="A179" s="32"/>
      <c r="B179" s="32"/>
      <c r="C179" s="32"/>
      <c r="D179" s="32"/>
      <c r="E179" s="32"/>
      <c r="F179" s="32"/>
      <c r="G179" s="32"/>
      <c r="H179" s="138"/>
      <c r="I179" s="32"/>
      <c r="J179" s="32"/>
      <c r="K179" s="32"/>
      <c r="L179" s="32"/>
      <c r="M179" s="32"/>
      <c r="N179" s="55"/>
      <c r="O179" s="56"/>
      <c r="P179" s="54"/>
      <c r="Q179" s="27"/>
      <c r="R179" s="27"/>
      <c r="S179" s="27"/>
      <c r="T179" s="28"/>
      <c r="U179" s="27"/>
      <c r="V179" s="27"/>
      <c r="W179" s="29"/>
      <c r="X179" s="27"/>
      <c r="Y179" s="27"/>
    </row>
    <row r="180" spans="1:25" x14ac:dyDescent="0.25">
      <c r="N180" s="57"/>
      <c r="O180" s="58"/>
      <c r="P180" s="53"/>
      <c r="Q180" s="25"/>
      <c r="R180" s="25"/>
      <c r="S180" s="25"/>
      <c r="T180" s="26"/>
      <c r="U180" s="25"/>
      <c r="V180" s="25"/>
      <c r="W180" s="30"/>
      <c r="X180" s="25"/>
      <c r="Y180" s="25"/>
    </row>
    <row r="181" spans="1:25" x14ac:dyDescent="0.25">
      <c r="A181" s="32"/>
      <c r="B181" s="32"/>
      <c r="C181" s="32"/>
      <c r="D181" s="32"/>
      <c r="E181" s="32"/>
      <c r="F181" s="32"/>
      <c r="G181" s="32"/>
      <c r="H181" s="138"/>
      <c r="I181" s="32"/>
      <c r="J181" s="32"/>
      <c r="K181" s="32"/>
      <c r="L181" s="32"/>
      <c r="M181" s="32"/>
      <c r="N181" s="55"/>
      <c r="O181" s="56"/>
      <c r="P181" s="54"/>
      <c r="Q181" s="27"/>
      <c r="R181" s="27"/>
      <c r="S181" s="27"/>
      <c r="T181" s="28"/>
      <c r="U181" s="27"/>
      <c r="V181" s="27"/>
      <c r="W181" s="29"/>
      <c r="X181" s="27"/>
      <c r="Y181" s="27"/>
    </row>
    <row r="182" spans="1:25" x14ac:dyDescent="0.25">
      <c r="A182" s="33"/>
      <c r="B182" s="33"/>
      <c r="C182" s="33"/>
      <c r="D182" s="33"/>
      <c r="E182" s="33"/>
      <c r="F182" s="33"/>
      <c r="G182" s="33"/>
      <c r="H182" s="139"/>
      <c r="I182" s="33"/>
      <c r="J182" s="33"/>
      <c r="K182" s="33"/>
      <c r="L182" s="33"/>
      <c r="M182" s="33"/>
      <c r="N182" s="57"/>
      <c r="O182" s="58"/>
      <c r="P182" s="53"/>
      <c r="Q182" s="25"/>
      <c r="R182" s="25"/>
      <c r="S182" s="25"/>
      <c r="T182" s="26"/>
      <c r="U182" s="25"/>
      <c r="V182" s="25"/>
      <c r="W182" s="30"/>
      <c r="X182" s="25"/>
      <c r="Y182" s="25"/>
    </row>
    <row r="183" spans="1:25" x14ac:dyDescent="0.25">
      <c r="A183" s="32"/>
      <c r="B183" s="32"/>
      <c r="C183" s="32"/>
      <c r="D183" s="32"/>
      <c r="E183" s="32"/>
      <c r="F183" s="32"/>
      <c r="G183" s="32"/>
      <c r="H183" s="138"/>
      <c r="I183" s="32"/>
      <c r="J183" s="32"/>
      <c r="K183" s="32"/>
      <c r="L183" s="32"/>
      <c r="M183" s="32"/>
      <c r="N183" s="55"/>
      <c r="O183" s="56"/>
      <c r="P183" s="54"/>
      <c r="Q183" s="27"/>
      <c r="R183" s="27"/>
      <c r="S183" s="27"/>
      <c r="T183" s="28"/>
      <c r="U183" s="27"/>
      <c r="V183" s="27"/>
      <c r="W183" s="29"/>
      <c r="X183" s="27"/>
      <c r="Y183" s="27"/>
    </row>
    <row r="184" spans="1:25" x14ac:dyDescent="0.25">
      <c r="A184" s="33"/>
      <c r="B184" s="33"/>
      <c r="C184" s="33"/>
      <c r="D184" s="33"/>
      <c r="E184" s="33"/>
      <c r="F184" s="33"/>
      <c r="G184" s="33"/>
      <c r="H184" s="139"/>
      <c r="I184" s="33"/>
      <c r="J184" s="33"/>
      <c r="K184" s="33"/>
      <c r="L184" s="33"/>
      <c r="M184" s="33"/>
      <c r="N184" s="59"/>
      <c r="O184" s="15"/>
      <c r="P184" s="60"/>
      <c r="Q184" s="11"/>
      <c r="R184" s="2"/>
      <c r="S184" s="2"/>
      <c r="T184" s="12"/>
      <c r="U184" s="3"/>
      <c r="V184" s="4"/>
      <c r="W184" s="4"/>
      <c r="X184" s="4"/>
      <c r="Y184" s="4"/>
    </row>
    <row r="185" spans="1:25" x14ac:dyDescent="0.25">
      <c r="A185" s="32"/>
      <c r="B185" s="32"/>
      <c r="C185" s="32"/>
      <c r="D185" s="32"/>
      <c r="E185" s="32"/>
      <c r="F185" s="32"/>
      <c r="G185" s="32"/>
      <c r="H185" s="138"/>
      <c r="I185" s="32"/>
      <c r="J185" s="32"/>
      <c r="K185" s="32"/>
      <c r="L185" s="32"/>
      <c r="M185" s="32"/>
      <c r="N185" s="55"/>
      <c r="O185" s="56"/>
      <c r="P185" s="54"/>
      <c r="Q185" s="27"/>
      <c r="R185" s="27"/>
      <c r="S185" s="27"/>
      <c r="T185" s="28"/>
      <c r="U185" s="27"/>
      <c r="V185" s="27"/>
      <c r="W185" s="29"/>
      <c r="X185" s="27"/>
      <c r="Y185" s="27"/>
    </row>
    <row r="186" spans="1:25" x14ac:dyDescent="0.25">
      <c r="A186" s="33"/>
      <c r="B186" s="33"/>
      <c r="C186" s="33"/>
      <c r="D186" s="33"/>
      <c r="E186" s="33"/>
      <c r="F186" s="33"/>
      <c r="G186" s="33"/>
      <c r="H186" s="139"/>
      <c r="I186" s="33"/>
      <c r="J186" s="33"/>
      <c r="K186" s="33"/>
      <c r="L186" s="33"/>
      <c r="M186" s="33"/>
      <c r="N186" s="57"/>
      <c r="O186" s="58"/>
      <c r="P186" s="53"/>
      <c r="Q186" s="25"/>
      <c r="R186" s="25"/>
      <c r="S186" s="25"/>
      <c r="T186" s="26"/>
      <c r="U186" s="25"/>
      <c r="V186" s="25"/>
      <c r="W186" s="30"/>
      <c r="X186" s="25"/>
      <c r="Y186" s="25"/>
    </row>
    <row r="187" spans="1:25" x14ac:dyDescent="0.25">
      <c r="A187" s="32"/>
      <c r="B187" s="32"/>
      <c r="C187" s="32"/>
      <c r="D187" s="32"/>
      <c r="E187" s="32"/>
      <c r="F187" s="32"/>
      <c r="G187" s="32"/>
      <c r="H187" s="138"/>
      <c r="I187" s="32"/>
      <c r="J187" s="32"/>
      <c r="K187" s="32"/>
      <c r="L187" s="32"/>
      <c r="M187" s="32"/>
      <c r="N187" s="55"/>
      <c r="O187" s="56"/>
      <c r="P187" s="54"/>
      <c r="Q187" s="27"/>
      <c r="R187" s="27"/>
      <c r="S187" s="27"/>
      <c r="T187" s="28"/>
      <c r="U187" s="27"/>
      <c r="V187" s="27"/>
      <c r="W187" s="29"/>
      <c r="X187" s="27"/>
      <c r="Y187" s="27"/>
    </row>
    <row r="188" spans="1:25" x14ac:dyDescent="0.25">
      <c r="A188" s="32"/>
      <c r="B188" s="32"/>
      <c r="C188" s="32"/>
      <c r="D188" s="32"/>
      <c r="E188" s="32"/>
      <c r="F188" s="32"/>
      <c r="G188" s="32"/>
      <c r="H188" s="138"/>
      <c r="I188" s="32"/>
      <c r="J188" s="32"/>
      <c r="K188" s="32"/>
      <c r="L188" s="32"/>
      <c r="M188" s="32"/>
      <c r="N188" s="57"/>
      <c r="O188" s="58"/>
      <c r="P188" s="53"/>
      <c r="Q188" s="25"/>
      <c r="R188" s="25"/>
      <c r="S188" s="25"/>
      <c r="T188" s="26"/>
      <c r="U188" s="25"/>
      <c r="V188" s="25"/>
      <c r="W188" s="30"/>
      <c r="X188" s="25"/>
      <c r="Y188" s="25"/>
    </row>
    <row r="189" spans="1:25" x14ac:dyDescent="0.25">
      <c r="A189" s="33"/>
      <c r="B189" s="33"/>
      <c r="C189" s="33"/>
      <c r="D189" s="33"/>
      <c r="E189" s="33"/>
      <c r="F189" s="33"/>
      <c r="G189" s="33"/>
      <c r="H189" s="139"/>
      <c r="I189" s="33"/>
      <c r="J189" s="33"/>
      <c r="K189" s="33"/>
      <c r="L189" s="33"/>
      <c r="M189" s="33"/>
      <c r="N189" s="55"/>
      <c r="O189" s="56"/>
      <c r="P189" s="54"/>
      <c r="Q189" s="27"/>
      <c r="R189" s="27"/>
      <c r="S189" s="27"/>
      <c r="T189" s="28"/>
      <c r="U189" s="27"/>
      <c r="V189" s="27"/>
      <c r="W189" s="29"/>
      <c r="X189" s="27"/>
      <c r="Y189" s="27"/>
    </row>
    <row r="190" spans="1:25" x14ac:dyDescent="0.25">
      <c r="A190" s="32"/>
      <c r="B190" s="32"/>
      <c r="C190" s="32"/>
      <c r="D190" s="32"/>
      <c r="E190" s="32"/>
      <c r="F190" s="32"/>
      <c r="G190" s="32"/>
      <c r="H190" s="138"/>
      <c r="I190" s="32"/>
      <c r="J190" s="32"/>
      <c r="K190" s="32"/>
      <c r="L190" s="32"/>
      <c r="M190" s="32"/>
      <c r="N190" s="57"/>
      <c r="O190" s="58"/>
      <c r="P190" s="53"/>
      <c r="Q190" s="25"/>
      <c r="R190" s="25"/>
      <c r="S190" s="25"/>
      <c r="T190" s="26"/>
      <c r="U190" s="25"/>
      <c r="V190" s="25"/>
      <c r="W190" s="30"/>
      <c r="X190" s="25"/>
      <c r="Y190" s="25"/>
    </row>
    <row r="191" spans="1:25" x14ac:dyDescent="0.25">
      <c r="A191" s="33"/>
      <c r="B191" s="33"/>
      <c r="C191" s="33"/>
      <c r="D191" s="33"/>
      <c r="E191" s="33"/>
      <c r="F191" s="33"/>
      <c r="G191" s="33"/>
      <c r="H191" s="139"/>
      <c r="I191" s="33"/>
      <c r="J191" s="33"/>
      <c r="K191" s="33"/>
      <c r="L191" s="33"/>
      <c r="M191" s="33"/>
      <c r="N191" s="55"/>
      <c r="O191" s="56"/>
      <c r="P191" s="54"/>
      <c r="Q191" s="27"/>
      <c r="R191" s="27"/>
      <c r="S191" s="27"/>
      <c r="T191" s="28"/>
      <c r="U191" s="27"/>
      <c r="V191" s="27"/>
      <c r="W191" s="29"/>
      <c r="X191" s="27"/>
      <c r="Y191" s="27"/>
    </row>
    <row r="192" spans="1:25" x14ac:dyDescent="0.25">
      <c r="A192" s="32"/>
      <c r="B192" s="32"/>
      <c r="C192" s="32"/>
      <c r="D192" s="32"/>
      <c r="E192" s="32"/>
      <c r="F192" s="32"/>
      <c r="G192" s="32"/>
      <c r="H192" s="138"/>
      <c r="I192" s="32"/>
      <c r="J192" s="32"/>
      <c r="K192" s="32"/>
      <c r="L192" s="32"/>
      <c r="M192" s="32"/>
      <c r="N192" s="57"/>
      <c r="O192" s="58"/>
      <c r="P192" s="53"/>
      <c r="Q192" s="25"/>
      <c r="R192" s="25"/>
      <c r="S192" s="25"/>
      <c r="T192" s="26"/>
      <c r="U192" s="25"/>
      <c r="V192" s="25"/>
      <c r="W192" s="30"/>
      <c r="X192" s="25"/>
      <c r="Y192" s="25"/>
    </row>
    <row r="193" spans="1:25" x14ac:dyDescent="0.25">
      <c r="A193" s="33"/>
      <c r="B193" s="33"/>
      <c r="C193" s="33"/>
      <c r="D193" s="33"/>
      <c r="E193" s="33"/>
      <c r="F193" s="33"/>
      <c r="G193" s="33"/>
      <c r="H193" s="139"/>
      <c r="I193" s="33"/>
      <c r="J193" s="33"/>
      <c r="K193" s="33"/>
      <c r="L193" s="33"/>
      <c r="M193" s="33"/>
      <c r="N193" s="55"/>
      <c r="O193" s="56"/>
      <c r="P193" s="54"/>
      <c r="Q193" s="27"/>
      <c r="R193" s="27"/>
      <c r="S193" s="27"/>
      <c r="T193" s="28"/>
      <c r="U193" s="27"/>
      <c r="V193" s="27"/>
      <c r="W193" s="29"/>
      <c r="X193" s="27"/>
      <c r="Y193" s="27"/>
    </row>
    <row r="194" spans="1:25" x14ac:dyDescent="0.25">
      <c r="A194" s="32"/>
      <c r="B194" s="32"/>
      <c r="C194" s="32"/>
      <c r="D194" s="32"/>
      <c r="E194" s="32"/>
      <c r="F194" s="32"/>
      <c r="G194" s="32"/>
      <c r="H194" s="138"/>
      <c r="I194" s="32"/>
      <c r="J194" s="32"/>
      <c r="K194" s="32"/>
      <c r="L194" s="32"/>
      <c r="M194" s="32"/>
      <c r="N194" s="57"/>
      <c r="O194" s="58"/>
      <c r="P194" s="53"/>
      <c r="Q194" s="25"/>
      <c r="R194" s="25"/>
      <c r="S194" s="25"/>
      <c r="T194" s="26"/>
      <c r="U194" s="25"/>
      <c r="V194" s="25"/>
      <c r="W194" s="30"/>
      <c r="X194" s="25"/>
      <c r="Y194" s="25"/>
    </row>
    <row r="195" spans="1:25" x14ac:dyDescent="0.25">
      <c r="A195" s="33"/>
      <c r="B195" s="33"/>
      <c r="C195" s="33"/>
      <c r="D195" s="33"/>
      <c r="E195" s="33"/>
      <c r="F195" s="33"/>
      <c r="G195" s="33"/>
      <c r="H195" s="139"/>
      <c r="I195" s="33"/>
      <c r="J195" s="33"/>
      <c r="K195" s="33"/>
      <c r="L195" s="33"/>
      <c r="M195" s="33"/>
      <c r="N195" s="55"/>
      <c r="O195" s="56"/>
      <c r="P195" s="54"/>
      <c r="Q195" s="27"/>
      <c r="R195" s="27"/>
      <c r="S195" s="27"/>
      <c r="T195" s="28"/>
      <c r="U195" s="27"/>
      <c r="V195" s="27"/>
      <c r="W195" s="29"/>
      <c r="X195" s="27"/>
      <c r="Y195" s="27"/>
    </row>
    <row r="196" spans="1:25" x14ac:dyDescent="0.25">
      <c r="A196" s="32"/>
      <c r="B196" s="32"/>
      <c r="C196" s="32"/>
      <c r="D196" s="32"/>
      <c r="E196" s="32"/>
      <c r="F196" s="32"/>
      <c r="G196" s="32"/>
      <c r="H196" s="138"/>
      <c r="I196" s="32"/>
      <c r="J196" s="32"/>
      <c r="K196" s="32"/>
      <c r="L196" s="32"/>
      <c r="M196" s="32"/>
      <c r="N196" s="57"/>
      <c r="O196" s="58"/>
      <c r="P196" s="53"/>
      <c r="Q196" s="25"/>
      <c r="R196" s="25"/>
      <c r="S196" s="25"/>
      <c r="T196" s="26"/>
      <c r="U196" s="25"/>
      <c r="V196" s="25"/>
      <c r="W196" s="30"/>
      <c r="X196" s="25"/>
      <c r="Y196" s="25"/>
    </row>
    <row r="197" spans="1:25" x14ac:dyDescent="0.25">
      <c r="N197" s="55"/>
      <c r="O197" s="56"/>
      <c r="P197" s="54"/>
      <c r="Q197" s="27"/>
      <c r="R197" s="27"/>
      <c r="S197" s="27"/>
      <c r="T197" s="28"/>
      <c r="U197" s="27"/>
      <c r="V197" s="27"/>
      <c r="W197" s="29"/>
      <c r="X197" s="27"/>
      <c r="Y197" s="27"/>
    </row>
    <row r="198" spans="1:25" x14ac:dyDescent="0.25">
      <c r="A198" s="32"/>
      <c r="B198" s="32"/>
      <c r="C198" s="32"/>
      <c r="D198" s="32"/>
      <c r="E198" s="32"/>
      <c r="F198" s="32"/>
      <c r="G198" s="32"/>
      <c r="H198" s="138"/>
      <c r="I198" s="32"/>
      <c r="J198" s="32"/>
      <c r="K198" s="32"/>
      <c r="L198" s="32"/>
      <c r="M198" s="32"/>
      <c r="N198" s="57"/>
      <c r="O198" s="58"/>
      <c r="P198" s="53"/>
      <c r="Q198" s="25"/>
      <c r="R198" s="25"/>
      <c r="S198" s="25"/>
      <c r="T198" s="26"/>
      <c r="U198" s="25"/>
      <c r="V198" s="25"/>
      <c r="W198" s="30"/>
      <c r="X198" s="25"/>
      <c r="Y198" s="25"/>
    </row>
    <row r="199" spans="1:25" x14ac:dyDescent="0.25">
      <c r="A199" s="33"/>
      <c r="B199" s="33"/>
      <c r="C199" s="33"/>
      <c r="D199" s="33"/>
      <c r="E199" s="33"/>
      <c r="F199" s="33"/>
      <c r="G199" s="33"/>
      <c r="H199" s="139"/>
      <c r="I199" s="33"/>
      <c r="J199" s="33"/>
      <c r="K199" s="33"/>
      <c r="L199" s="33"/>
      <c r="M199" s="33"/>
      <c r="N199" s="55"/>
      <c r="O199" s="56"/>
      <c r="P199" s="54"/>
      <c r="Q199" s="27"/>
      <c r="R199" s="27"/>
      <c r="S199" s="27"/>
      <c r="T199" s="28"/>
      <c r="U199" s="27"/>
      <c r="V199" s="27"/>
      <c r="W199" s="29"/>
      <c r="X199" s="27"/>
      <c r="Y199" s="27"/>
    </row>
    <row r="200" spans="1:25" x14ac:dyDescent="0.25">
      <c r="A200" s="32"/>
      <c r="B200" s="32"/>
      <c r="C200" s="32"/>
      <c r="D200" s="32"/>
      <c r="E200" s="32"/>
      <c r="F200" s="32"/>
      <c r="G200" s="32"/>
      <c r="H200" s="138"/>
      <c r="I200" s="32"/>
      <c r="J200" s="32"/>
      <c r="K200" s="32"/>
      <c r="L200" s="32"/>
      <c r="M200" s="32"/>
      <c r="N200" s="59"/>
      <c r="O200" s="15"/>
      <c r="P200" s="60"/>
      <c r="Q200" s="11"/>
      <c r="R200" s="2"/>
      <c r="S200" s="2"/>
      <c r="T200" s="12"/>
      <c r="U200" s="3"/>
      <c r="V200" s="4"/>
      <c r="W200" s="4"/>
      <c r="X200" s="4"/>
      <c r="Y200" s="4"/>
    </row>
    <row r="201" spans="1:25" x14ac:dyDescent="0.25">
      <c r="A201" s="33"/>
      <c r="B201" s="33"/>
      <c r="C201" s="33"/>
      <c r="D201" s="33"/>
      <c r="E201" s="33"/>
      <c r="F201" s="33"/>
      <c r="G201" s="33"/>
      <c r="H201" s="139"/>
      <c r="I201" s="33"/>
      <c r="J201" s="33"/>
      <c r="K201" s="33"/>
      <c r="L201" s="33"/>
      <c r="M201" s="33"/>
      <c r="N201" s="55"/>
      <c r="O201" s="56"/>
      <c r="P201" s="54"/>
      <c r="Q201" s="27"/>
      <c r="R201" s="27"/>
      <c r="S201" s="27"/>
      <c r="T201" s="28"/>
      <c r="U201" s="27"/>
      <c r="V201" s="27"/>
      <c r="W201" s="29"/>
      <c r="X201" s="27"/>
      <c r="Y201" s="27"/>
    </row>
    <row r="202" spans="1:25" x14ac:dyDescent="0.25">
      <c r="A202" s="32"/>
      <c r="B202" s="32"/>
      <c r="C202" s="32"/>
      <c r="D202" s="32"/>
      <c r="E202" s="32"/>
      <c r="F202" s="32"/>
      <c r="G202" s="32"/>
      <c r="H202" s="138"/>
      <c r="I202" s="32"/>
      <c r="J202" s="32"/>
      <c r="K202" s="32"/>
      <c r="L202" s="32"/>
      <c r="M202" s="32"/>
      <c r="N202" s="57"/>
      <c r="O202" s="58"/>
      <c r="P202" s="53"/>
      <c r="Q202" s="25"/>
      <c r="R202" s="25"/>
      <c r="S202" s="25"/>
      <c r="T202" s="26"/>
      <c r="U202" s="25"/>
      <c r="V202" s="25"/>
      <c r="W202" s="30"/>
      <c r="X202" s="25"/>
      <c r="Y202" s="25"/>
    </row>
    <row r="203" spans="1:25" x14ac:dyDescent="0.25">
      <c r="A203" s="33"/>
      <c r="B203" s="33"/>
      <c r="C203" s="33"/>
      <c r="D203" s="33"/>
      <c r="E203" s="33"/>
      <c r="F203" s="33"/>
      <c r="G203" s="33"/>
      <c r="H203" s="139"/>
      <c r="I203" s="33"/>
      <c r="J203" s="33"/>
      <c r="K203" s="33"/>
      <c r="L203" s="33"/>
      <c r="M203" s="33"/>
      <c r="N203" s="55"/>
      <c r="O203" s="56"/>
      <c r="P203" s="54"/>
      <c r="Q203" s="27"/>
      <c r="R203" s="27"/>
      <c r="S203" s="27"/>
      <c r="T203" s="28"/>
      <c r="U203" s="27"/>
      <c r="V203" s="27"/>
      <c r="W203" s="29"/>
      <c r="X203" s="27"/>
      <c r="Y203" s="27"/>
    </row>
    <row r="204" spans="1:25" x14ac:dyDescent="0.25">
      <c r="A204" s="32"/>
      <c r="B204" s="32"/>
      <c r="C204" s="32"/>
      <c r="D204" s="32"/>
      <c r="E204" s="32"/>
      <c r="F204" s="32"/>
      <c r="G204" s="32"/>
      <c r="H204" s="138"/>
      <c r="I204" s="32"/>
      <c r="J204" s="32"/>
      <c r="K204" s="32"/>
      <c r="L204" s="32"/>
      <c r="M204" s="32"/>
      <c r="N204" s="57"/>
      <c r="O204" s="58"/>
      <c r="P204" s="53"/>
      <c r="Q204" s="25"/>
      <c r="R204" s="25"/>
      <c r="S204" s="25"/>
      <c r="T204" s="26"/>
      <c r="U204" s="25"/>
      <c r="V204" s="25"/>
      <c r="W204" s="30"/>
      <c r="X204" s="25"/>
      <c r="Y204" s="25"/>
    </row>
    <row r="205" spans="1:25" x14ac:dyDescent="0.25">
      <c r="A205" s="32"/>
      <c r="B205" s="32"/>
      <c r="C205" s="32"/>
      <c r="D205" s="32"/>
      <c r="E205" s="32"/>
      <c r="F205" s="32"/>
      <c r="G205" s="32"/>
      <c r="H205" s="138"/>
      <c r="I205" s="32"/>
      <c r="J205" s="32"/>
      <c r="K205" s="32"/>
      <c r="L205" s="32"/>
      <c r="M205" s="32"/>
      <c r="N205" s="55"/>
      <c r="O205" s="56"/>
      <c r="P205" s="54"/>
      <c r="Q205" s="27"/>
      <c r="R205" s="27"/>
      <c r="S205" s="27"/>
      <c r="T205" s="28"/>
      <c r="U205" s="27"/>
      <c r="V205" s="27"/>
      <c r="W205" s="29"/>
      <c r="X205" s="27"/>
      <c r="Y205" s="27"/>
    </row>
    <row r="206" spans="1:25" x14ac:dyDescent="0.25">
      <c r="A206" s="33"/>
      <c r="B206" s="33"/>
      <c r="C206" s="33"/>
      <c r="D206" s="33"/>
      <c r="E206" s="33"/>
      <c r="F206" s="33"/>
      <c r="G206" s="33"/>
      <c r="H206" s="139"/>
      <c r="I206" s="33"/>
      <c r="J206" s="33"/>
      <c r="K206" s="33"/>
      <c r="L206" s="33"/>
      <c r="M206" s="33"/>
      <c r="N206" s="57"/>
      <c r="O206" s="58"/>
      <c r="P206" s="53"/>
      <c r="Q206" s="25"/>
      <c r="R206" s="25"/>
      <c r="S206" s="25"/>
      <c r="T206" s="26"/>
      <c r="U206" s="25"/>
      <c r="V206" s="25"/>
      <c r="W206" s="30"/>
      <c r="X206" s="25"/>
      <c r="Y206" s="25"/>
    </row>
    <row r="207" spans="1:25" x14ac:dyDescent="0.25">
      <c r="A207" s="32"/>
      <c r="B207" s="32"/>
      <c r="C207" s="32"/>
      <c r="D207" s="32"/>
      <c r="E207" s="32"/>
      <c r="F207" s="32"/>
      <c r="G207" s="32"/>
      <c r="H207" s="138"/>
      <c r="I207" s="32"/>
      <c r="J207" s="32"/>
      <c r="K207" s="32"/>
      <c r="L207" s="32"/>
      <c r="M207" s="32"/>
      <c r="N207" s="55"/>
      <c r="O207" s="56"/>
      <c r="P207" s="54"/>
      <c r="Q207" s="27"/>
      <c r="R207" s="27"/>
      <c r="S207" s="27"/>
      <c r="T207" s="28"/>
      <c r="U207" s="27"/>
      <c r="V207" s="27"/>
      <c r="W207" s="29"/>
      <c r="X207" s="27"/>
      <c r="Y207" s="27"/>
    </row>
    <row r="208" spans="1:25" x14ac:dyDescent="0.25">
      <c r="A208" s="33"/>
      <c r="B208" s="33"/>
      <c r="C208" s="33"/>
      <c r="D208" s="33"/>
      <c r="E208" s="33"/>
      <c r="F208" s="33"/>
      <c r="G208" s="33"/>
      <c r="H208" s="139"/>
      <c r="I208" s="33"/>
      <c r="J208" s="33"/>
      <c r="K208" s="33"/>
      <c r="L208" s="33"/>
      <c r="M208" s="33"/>
      <c r="N208" s="57"/>
      <c r="O208" s="58"/>
      <c r="P208" s="53"/>
      <c r="Q208" s="25"/>
      <c r="R208" s="25"/>
      <c r="S208" s="25"/>
      <c r="T208" s="26"/>
      <c r="U208" s="25"/>
      <c r="V208" s="25"/>
      <c r="W208" s="30"/>
      <c r="X208" s="25"/>
      <c r="Y208" s="25"/>
    </row>
    <row r="209" spans="1:25" x14ac:dyDescent="0.25">
      <c r="A209" s="32"/>
      <c r="B209" s="32"/>
      <c r="C209" s="32"/>
      <c r="D209" s="32"/>
      <c r="E209" s="32"/>
      <c r="F209" s="32"/>
      <c r="G209" s="32"/>
      <c r="H209" s="138"/>
      <c r="I209" s="32"/>
      <c r="J209" s="32"/>
      <c r="K209" s="32"/>
      <c r="L209" s="32"/>
      <c r="M209" s="32"/>
      <c r="N209" s="55"/>
      <c r="O209" s="56"/>
      <c r="P209" s="54"/>
      <c r="Q209" s="27"/>
      <c r="R209" s="27"/>
      <c r="S209" s="27"/>
      <c r="T209" s="28"/>
      <c r="U209" s="27"/>
      <c r="V209" s="27"/>
      <c r="W209" s="29"/>
      <c r="X209" s="27"/>
      <c r="Y209" s="27"/>
    </row>
    <row r="210" spans="1:25" x14ac:dyDescent="0.25">
      <c r="A210" s="33"/>
      <c r="B210" s="33"/>
      <c r="C210" s="33"/>
      <c r="D210" s="33"/>
      <c r="E210" s="33"/>
      <c r="F210" s="33"/>
      <c r="G210" s="33"/>
      <c r="H210" s="139"/>
      <c r="I210" s="33"/>
      <c r="J210" s="33"/>
      <c r="K210" s="33"/>
      <c r="L210" s="33"/>
      <c r="M210" s="33"/>
      <c r="N210" s="57"/>
      <c r="O210" s="58"/>
      <c r="P210" s="53"/>
      <c r="Q210" s="25"/>
      <c r="R210" s="25"/>
      <c r="S210" s="25"/>
      <c r="T210" s="26"/>
      <c r="U210" s="25"/>
      <c r="V210" s="25"/>
      <c r="W210" s="30"/>
      <c r="X210" s="25"/>
      <c r="Y210" s="25"/>
    </row>
    <row r="211" spans="1:25" x14ac:dyDescent="0.25">
      <c r="A211" s="32"/>
      <c r="B211" s="32"/>
      <c r="C211" s="32"/>
      <c r="D211" s="32"/>
      <c r="E211" s="32"/>
      <c r="F211" s="32"/>
      <c r="G211" s="32"/>
      <c r="H211" s="138"/>
      <c r="I211" s="32"/>
      <c r="J211" s="32"/>
      <c r="K211" s="32"/>
      <c r="L211" s="32"/>
      <c r="M211" s="32"/>
      <c r="N211" s="55"/>
      <c r="O211" s="56"/>
      <c r="P211" s="54"/>
      <c r="Q211" s="27"/>
      <c r="R211" s="27"/>
      <c r="S211" s="27"/>
      <c r="T211" s="28"/>
      <c r="U211" s="27"/>
      <c r="V211" s="27"/>
      <c r="W211" s="29"/>
      <c r="X211" s="27"/>
      <c r="Y211" s="27"/>
    </row>
    <row r="212" spans="1:25" x14ac:dyDescent="0.25">
      <c r="A212" s="33"/>
      <c r="B212" s="33"/>
      <c r="C212" s="33"/>
      <c r="D212" s="33"/>
      <c r="E212" s="33"/>
      <c r="F212" s="33"/>
      <c r="G212" s="33"/>
      <c r="H212" s="139"/>
      <c r="I212" s="33"/>
      <c r="J212" s="33"/>
      <c r="K212" s="33"/>
      <c r="L212" s="33"/>
      <c r="M212" s="33"/>
      <c r="N212" s="57"/>
      <c r="O212" s="58"/>
      <c r="P212" s="53"/>
      <c r="Q212" s="25"/>
      <c r="R212" s="25"/>
      <c r="S212" s="25"/>
      <c r="T212" s="26"/>
      <c r="U212" s="25"/>
      <c r="V212" s="25"/>
      <c r="W212" s="30"/>
      <c r="X212" s="25"/>
      <c r="Y212" s="25"/>
    </row>
    <row r="213" spans="1:25" x14ac:dyDescent="0.25">
      <c r="A213" s="32"/>
      <c r="B213" s="32"/>
      <c r="C213" s="32"/>
      <c r="D213" s="32"/>
      <c r="E213" s="32"/>
      <c r="F213" s="32"/>
      <c r="G213" s="32"/>
      <c r="H213" s="138"/>
      <c r="I213" s="32"/>
      <c r="J213" s="32"/>
      <c r="K213" s="32"/>
      <c r="L213" s="32"/>
      <c r="M213" s="32"/>
      <c r="N213" s="55"/>
      <c r="O213" s="56"/>
      <c r="P213" s="54"/>
      <c r="Q213" s="27"/>
      <c r="R213" s="27"/>
      <c r="S213" s="27"/>
      <c r="T213" s="28"/>
      <c r="U213" s="27"/>
      <c r="V213" s="27"/>
      <c r="W213" s="29"/>
      <c r="X213" s="27"/>
      <c r="Y213" s="27"/>
    </row>
    <row r="214" spans="1:25" x14ac:dyDescent="0.25">
      <c r="N214" s="57"/>
      <c r="O214" s="58"/>
      <c r="P214" s="53"/>
      <c r="Q214" s="25"/>
      <c r="R214" s="25"/>
      <c r="S214" s="25"/>
      <c r="T214" s="26"/>
      <c r="U214" s="25"/>
      <c r="V214" s="25"/>
      <c r="W214" s="30"/>
      <c r="X214" s="25"/>
      <c r="Y214" s="25"/>
    </row>
    <row r="215" spans="1:25" x14ac:dyDescent="0.25">
      <c r="A215" s="32"/>
      <c r="B215" s="32"/>
      <c r="C215" s="32"/>
      <c r="D215" s="32"/>
      <c r="E215" s="32"/>
      <c r="F215" s="32"/>
      <c r="G215" s="32"/>
      <c r="H215" s="138"/>
      <c r="I215" s="32"/>
      <c r="J215" s="32"/>
      <c r="K215" s="32"/>
      <c r="L215" s="32"/>
      <c r="M215" s="32"/>
      <c r="N215" s="55"/>
      <c r="O215" s="56"/>
      <c r="P215" s="54"/>
      <c r="Q215" s="27"/>
      <c r="R215" s="27"/>
      <c r="S215" s="27"/>
      <c r="T215" s="28"/>
      <c r="U215" s="27"/>
      <c r="V215" s="27"/>
      <c r="W215" s="29"/>
      <c r="X215" s="27"/>
      <c r="Y215" s="27"/>
    </row>
    <row r="216" spans="1:25" x14ac:dyDescent="0.25">
      <c r="A216" s="33"/>
      <c r="B216" s="33"/>
      <c r="C216" s="33"/>
      <c r="D216" s="33"/>
      <c r="E216" s="33"/>
      <c r="F216" s="33"/>
      <c r="G216" s="33"/>
      <c r="H216" s="139"/>
      <c r="I216" s="33"/>
      <c r="J216" s="33"/>
      <c r="K216" s="33"/>
      <c r="L216" s="33"/>
      <c r="M216" s="33"/>
      <c r="N216" s="59"/>
      <c r="O216" s="15"/>
      <c r="P216" s="60"/>
      <c r="Q216" s="11"/>
      <c r="R216" s="2"/>
      <c r="S216" s="2"/>
      <c r="T216" s="12"/>
      <c r="U216" s="3"/>
      <c r="V216" s="4"/>
      <c r="W216" s="4"/>
      <c r="X216" s="4"/>
      <c r="Y216" s="4"/>
    </row>
    <row r="217" spans="1:25" x14ac:dyDescent="0.25">
      <c r="A217" s="32"/>
      <c r="B217" s="32"/>
      <c r="C217" s="32"/>
      <c r="D217" s="32"/>
      <c r="E217" s="32"/>
      <c r="F217" s="32"/>
      <c r="G217" s="32"/>
      <c r="H217" s="138"/>
      <c r="I217" s="32"/>
      <c r="J217" s="32"/>
      <c r="K217" s="32"/>
      <c r="L217" s="32"/>
      <c r="M217" s="32"/>
      <c r="N217" s="55"/>
      <c r="O217" s="56"/>
      <c r="P217" s="54"/>
      <c r="Q217" s="27"/>
      <c r="R217" s="27"/>
      <c r="S217" s="27"/>
      <c r="T217" s="28"/>
      <c r="U217" s="27"/>
      <c r="V217" s="27"/>
      <c r="W217" s="29"/>
      <c r="X217" s="27"/>
      <c r="Y217" s="27"/>
    </row>
    <row r="218" spans="1:25" x14ac:dyDescent="0.25">
      <c r="A218" s="33"/>
      <c r="B218" s="33"/>
      <c r="C218" s="33"/>
      <c r="D218" s="33"/>
      <c r="E218" s="33"/>
      <c r="F218" s="33"/>
      <c r="G218" s="33"/>
      <c r="H218" s="139"/>
      <c r="I218" s="33"/>
      <c r="J218" s="33"/>
      <c r="K218" s="33"/>
      <c r="L218" s="33"/>
      <c r="M218" s="33"/>
      <c r="N218" s="57"/>
      <c r="O218" s="58"/>
      <c r="P218" s="53"/>
      <c r="Q218" s="25"/>
      <c r="R218" s="25"/>
      <c r="S218" s="25"/>
      <c r="T218" s="26"/>
      <c r="U218" s="25"/>
      <c r="V218" s="25"/>
      <c r="W218" s="30"/>
      <c r="X218" s="25"/>
      <c r="Y218" s="25"/>
    </row>
    <row r="219" spans="1:25" x14ac:dyDescent="0.25">
      <c r="A219" s="32"/>
      <c r="B219" s="32"/>
      <c r="C219" s="32"/>
      <c r="D219" s="32"/>
      <c r="E219" s="32"/>
      <c r="F219" s="32"/>
      <c r="G219" s="32"/>
      <c r="H219" s="138"/>
      <c r="I219" s="32"/>
      <c r="J219" s="32"/>
      <c r="K219" s="32"/>
      <c r="L219" s="32"/>
      <c r="M219" s="32"/>
      <c r="N219" s="55"/>
      <c r="O219" s="56"/>
      <c r="P219" s="54"/>
      <c r="Q219" s="27"/>
      <c r="R219" s="27"/>
      <c r="S219" s="27"/>
      <c r="T219" s="28"/>
      <c r="U219" s="27"/>
      <c r="V219" s="27"/>
      <c r="W219" s="29"/>
      <c r="X219" s="27"/>
      <c r="Y219" s="27"/>
    </row>
    <row r="220" spans="1:25" x14ac:dyDescent="0.25">
      <c r="A220" s="33"/>
      <c r="B220" s="33"/>
      <c r="C220" s="33"/>
      <c r="D220" s="33"/>
      <c r="E220" s="33"/>
      <c r="F220" s="33"/>
      <c r="G220" s="33"/>
      <c r="H220" s="139"/>
      <c r="I220" s="33"/>
      <c r="J220" s="33"/>
      <c r="K220" s="33"/>
      <c r="L220" s="33"/>
      <c r="M220" s="33"/>
      <c r="N220" s="57"/>
      <c r="O220" s="58"/>
      <c r="P220" s="53"/>
      <c r="Q220" s="25"/>
      <c r="R220" s="25"/>
      <c r="S220" s="25"/>
      <c r="T220" s="26"/>
      <c r="U220" s="25"/>
      <c r="V220" s="25"/>
      <c r="W220" s="30"/>
      <c r="X220" s="25"/>
      <c r="Y220" s="25"/>
    </row>
    <row r="221" spans="1:25" x14ac:dyDescent="0.25">
      <c r="A221" s="32"/>
      <c r="B221" s="32"/>
      <c r="C221" s="32"/>
      <c r="D221" s="32"/>
      <c r="E221" s="32"/>
      <c r="F221" s="32"/>
      <c r="G221" s="32"/>
      <c r="H221" s="138"/>
      <c r="I221" s="32"/>
      <c r="J221" s="32"/>
      <c r="K221" s="32"/>
      <c r="L221" s="32"/>
      <c r="M221" s="32"/>
      <c r="N221" s="55"/>
      <c r="O221" s="56"/>
      <c r="P221" s="54"/>
      <c r="Q221" s="27"/>
      <c r="R221" s="27"/>
      <c r="S221" s="27"/>
      <c r="T221" s="28"/>
      <c r="U221" s="27"/>
      <c r="V221" s="27"/>
      <c r="W221" s="29"/>
      <c r="X221" s="27"/>
      <c r="Y221" s="27"/>
    </row>
    <row r="222" spans="1:25" x14ac:dyDescent="0.25">
      <c r="A222" s="32"/>
      <c r="B222" s="32"/>
      <c r="C222" s="32"/>
      <c r="D222" s="32"/>
      <c r="E222" s="32"/>
      <c r="F222" s="32"/>
      <c r="G222" s="32"/>
      <c r="H222" s="138"/>
      <c r="I222" s="32"/>
      <c r="J222" s="32"/>
      <c r="K222" s="32"/>
      <c r="L222" s="32"/>
      <c r="M222" s="32"/>
      <c r="N222" s="57"/>
      <c r="O222" s="58"/>
      <c r="P222" s="53"/>
      <c r="Q222" s="25"/>
      <c r="R222" s="25"/>
      <c r="S222" s="25"/>
      <c r="T222" s="26"/>
      <c r="U222" s="25"/>
      <c r="V222" s="25"/>
      <c r="W222" s="30"/>
      <c r="X222" s="25"/>
      <c r="Y222" s="25"/>
    </row>
    <row r="223" spans="1:25" x14ac:dyDescent="0.25">
      <c r="A223" s="33"/>
      <c r="B223" s="33"/>
      <c r="C223" s="33"/>
      <c r="D223" s="33"/>
      <c r="E223" s="33"/>
      <c r="F223" s="33"/>
      <c r="G223" s="33"/>
      <c r="H223" s="139"/>
      <c r="I223" s="33"/>
      <c r="J223" s="33"/>
      <c r="K223" s="33"/>
      <c r="L223" s="33"/>
      <c r="M223" s="33"/>
      <c r="N223" s="55"/>
      <c r="O223" s="56"/>
      <c r="P223" s="54"/>
      <c r="Q223" s="27"/>
      <c r="R223" s="27"/>
      <c r="S223" s="27"/>
      <c r="T223" s="28"/>
      <c r="U223" s="27"/>
      <c r="V223" s="27"/>
      <c r="W223" s="29"/>
      <c r="X223" s="27"/>
      <c r="Y223" s="27"/>
    </row>
    <row r="224" spans="1:25" x14ac:dyDescent="0.25">
      <c r="A224" s="32"/>
      <c r="B224" s="32"/>
      <c r="C224" s="32"/>
      <c r="D224" s="32"/>
      <c r="E224" s="32"/>
      <c r="F224" s="32"/>
      <c r="G224" s="32"/>
      <c r="H224" s="138"/>
      <c r="I224" s="32"/>
      <c r="J224" s="32"/>
      <c r="K224" s="32"/>
      <c r="L224" s="32"/>
      <c r="M224" s="32"/>
      <c r="N224" s="57"/>
      <c r="O224" s="58"/>
      <c r="P224" s="53"/>
      <c r="Q224" s="25"/>
      <c r="R224" s="25"/>
      <c r="S224" s="25"/>
      <c r="T224" s="26"/>
      <c r="U224" s="25"/>
      <c r="V224" s="25"/>
      <c r="W224" s="30"/>
      <c r="X224" s="25"/>
      <c r="Y224" s="25"/>
    </row>
    <row r="225" spans="1:25" x14ac:dyDescent="0.25">
      <c r="A225" s="33"/>
      <c r="B225" s="33"/>
      <c r="C225" s="33"/>
      <c r="D225" s="33"/>
      <c r="E225" s="33"/>
      <c r="F225" s="33"/>
      <c r="G225" s="33"/>
      <c r="H225" s="139"/>
      <c r="I225" s="33"/>
      <c r="J225" s="33"/>
      <c r="K225" s="33"/>
      <c r="L225" s="33"/>
      <c r="M225" s="33"/>
      <c r="N225" s="55"/>
      <c r="O225" s="56"/>
      <c r="P225" s="54"/>
      <c r="Q225" s="27"/>
      <c r="R225" s="27"/>
      <c r="S225" s="27"/>
      <c r="T225" s="28"/>
      <c r="U225" s="27"/>
      <c r="V225" s="27"/>
      <c r="W225" s="29"/>
      <c r="X225" s="27"/>
      <c r="Y225" s="27"/>
    </row>
    <row r="226" spans="1:25" x14ac:dyDescent="0.25">
      <c r="A226" s="32"/>
      <c r="B226" s="32"/>
      <c r="C226" s="32"/>
      <c r="D226" s="32"/>
      <c r="E226" s="32"/>
      <c r="F226" s="32"/>
      <c r="G226" s="32"/>
      <c r="H226" s="138"/>
      <c r="I226" s="32"/>
      <c r="J226" s="32"/>
      <c r="K226" s="32"/>
      <c r="L226" s="32"/>
      <c r="M226" s="32"/>
      <c r="N226" s="57"/>
      <c r="O226" s="58"/>
      <c r="P226" s="53"/>
      <c r="Q226" s="25"/>
      <c r="R226" s="25"/>
      <c r="S226" s="25"/>
      <c r="T226" s="26"/>
      <c r="U226" s="25"/>
      <c r="V226" s="25"/>
      <c r="W226" s="30"/>
      <c r="X226" s="25"/>
      <c r="Y226" s="25"/>
    </row>
    <row r="227" spans="1:25" x14ac:dyDescent="0.25">
      <c r="A227" s="33"/>
      <c r="B227" s="33"/>
      <c r="C227" s="33"/>
      <c r="D227" s="33"/>
      <c r="E227" s="33"/>
      <c r="F227" s="33"/>
      <c r="G227" s="33"/>
      <c r="H227" s="139"/>
      <c r="I227" s="33"/>
      <c r="J227" s="33"/>
      <c r="K227" s="33"/>
      <c r="L227" s="33"/>
      <c r="M227" s="33"/>
      <c r="N227" s="55"/>
      <c r="O227" s="56"/>
      <c r="P227" s="54"/>
      <c r="Q227" s="27"/>
      <c r="R227" s="27"/>
      <c r="S227" s="27"/>
      <c r="T227" s="28"/>
      <c r="U227" s="27"/>
      <c r="V227" s="27"/>
      <c r="W227" s="29"/>
      <c r="X227" s="27"/>
      <c r="Y227" s="27"/>
    </row>
    <row r="228" spans="1:25" x14ac:dyDescent="0.25">
      <c r="A228" s="32"/>
      <c r="B228" s="32"/>
      <c r="C228" s="32"/>
      <c r="D228" s="32"/>
      <c r="E228" s="32"/>
      <c r="F228" s="32"/>
      <c r="G228" s="32"/>
      <c r="H228" s="138"/>
      <c r="I228" s="32"/>
      <c r="J228" s="32"/>
      <c r="K228" s="32"/>
      <c r="L228" s="32"/>
      <c r="M228" s="32"/>
      <c r="N228" s="57"/>
      <c r="O228" s="58"/>
      <c r="P228" s="53"/>
      <c r="Q228" s="25"/>
      <c r="R228" s="25"/>
      <c r="S228" s="25"/>
      <c r="T228" s="26"/>
      <c r="U228" s="25"/>
      <c r="V228" s="25"/>
      <c r="W228" s="30"/>
      <c r="X228" s="25"/>
      <c r="Y228" s="25"/>
    </row>
    <row r="229" spans="1:25" x14ac:dyDescent="0.25">
      <c r="A229" s="33"/>
      <c r="B229" s="33"/>
      <c r="C229" s="33"/>
      <c r="D229" s="33"/>
      <c r="E229" s="33"/>
      <c r="F229" s="33"/>
      <c r="G229" s="33"/>
      <c r="H229" s="139"/>
      <c r="I229" s="33"/>
      <c r="J229" s="33"/>
      <c r="K229" s="33"/>
      <c r="L229" s="33"/>
      <c r="M229" s="33"/>
      <c r="N229" s="55"/>
      <c r="O229" s="56"/>
      <c r="P229" s="54"/>
      <c r="Q229" s="27"/>
      <c r="R229" s="27"/>
      <c r="S229" s="27"/>
      <c r="T229" s="28"/>
      <c r="U229" s="27"/>
      <c r="V229" s="27"/>
      <c r="W229" s="29"/>
      <c r="X229" s="27"/>
      <c r="Y229" s="27"/>
    </row>
    <row r="230" spans="1:25" x14ac:dyDescent="0.25">
      <c r="A230" s="32"/>
      <c r="B230" s="32"/>
      <c r="C230" s="32"/>
      <c r="D230" s="32"/>
      <c r="E230" s="32"/>
      <c r="F230" s="32"/>
      <c r="G230" s="32"/>
      <c r="H230" s="138"/>
      <c r="I230" s="32"/>
      <c r="J230" s="32"/>
      <c r="K230" s="32"/>
      <c r="L230" s="32"/>
      <c r="M230" s="32"/>
      <c r="N230" s="57"/>
      <c r="O230" s="58"/>
      <c r="P230" s="53"/>
      <c r="Q230" s="25"/>
      <c r="R230" s="25"/>
      <c r="S230" s="25"/>
      <c r="T230" s="26"/>
      <c r="U230" s="25"/>
      <c r="V230" s="25"/>
      <c r="W230" s="30"/>
      <c r="X230" s="25"/>
      <c r="Y230" s="25"/>
    </row>
    <row r="231" spans="1:25" x14ac:dyDescent="0.25">
      <c r="N231" s="55"/>
      <c r="O231" s="56"/>
      <c r="P231" s="54"/>
      <c r="Q231" s="27"/>
      <c r="R231" s="27"/>
      <c r="S231" s="27"/>
      <c r="T231" s="28"/>
      <c r="U231" s="27"/>
      <c r="V231" s="27"/>
      <c r="W231" s="29"/>
      <c r="X231" s="27"/>
      <c r="Y231" s="27"/>
    </row>
    <row r="232" spans="1:25" x14ac:dyDescent="0.25">
      <c r="A232" s="32"/>
      <c r="B232" s="32"/>
      <c r="C232" s="32"/>
      <c r="D232" s="32"/>
      <c r="E232" s="32"/>
      <c r="F232" s="32"/>
      <c r="G232" s="32"/>
      <c r="H232" s="138"/>
      <c r="I232" s="32"/>
      <c r="J232" s="32"/>
      <c r="K232" s="32"/>
      <c r="L232" s="32"/>
      <c r="M232" s="32"/>
      <c r="N232" s="59"/>
      <c r="O232" s="15"/>
      <c r="P232" s="60"/>
      <c r="Q232" s="11"/>
      <c r="R232" s="2"/>
      <c r="S232" s="2"/>
      <c r="T232" s="12"/>
      <c r="U232" s="3"/>
      <c r="V232" s="4"/>
      <c r="W232" s="4"/>
      <c r="X232" s="4"/>
      <c r="Y232" s="4"/>
    </row>
    <row r="233" spans="1:25" x14ac:dyDescent="0.25">
      <c r="A233" s="33"/>
      <c r="B233" s="33"/>
      <c r="C233" s="33"/>
      <c r="D233" s="33"/>
      <c r="E233" s="33"/>
      <c r="F233" s="33"/>
      <c r="G233" s="33"/>
      <c r="H233" s="139"/>
      <c r="I233" s="33"/>
      <c r="J233" s="33"/>
      <c r="K233" s="33"/>
      <c r="L233" s="33"/>
      <c r="M233" s="33"/>
      <c r="N233" s="55"/>
      <c r="O233" s="56"/>
      <c r="P233" s="54"/>
      <c r="Q233" s="27"/>
      <c r="R233" s="27"/>
      <c r="S233" s="27"/>
      <c r="T233" s="28"/>
      <c r="U233" s="27"/>
      <c r="V233" s="27"/>
      <c r="W233" s="29"/>
      <c r="X233" s="27"/>
      <c r="Y233" s="27"/>
    </row>
    <row r="234" spans="1:25" x14ac:dyDescent="0.25">
      <c r="A234" s="32"/>
      <c r="B234" s="32"/>
      <c r="C234" s="32"/>
      <c r="D234" s="32"/>
      <c r="E234" s="32"/>
      <c r="F234" s="32"/>
      <c r="G234" s="32"/>
      <c r="H234" s="138"/>
      <c r="I234" s="32"/>
      <c r="J234" s="32"/>
      <c r="K234" s="32"/>
      <c r="L234" s="32"/>
      <c r="M234" s="32"/>
      <c r="N234" s="57"/>
      <c r="O234" s="58"/>
      <c r="P234" s="53"/>
      <c r="Q234" s="25"/>
      <c r="R234" s="25"/>
      <c r="S234" s="25"/>
      <c r="T234" s="26"/>
      <c r="U234" s="25"/>
      <c r="V234" s="25"/>
      <c r="W234" s="30"/>
      <c r="X234" s="25"/>
      <c r="Y234" s="25"/>
    </row>
    <row r="235" spans="1:25" x14ac:dyDescent="0.25">
      <c r="A235" s="33"/>
      <c r="B235" s="33"/>
      <c r="C235" s="33"/>
      <c r="D235" s="33"/>
      <c r="E235" s="33"/>
      <c r="F235" s="33"/>
      <c r="G235" s="33"/>
      <c r="H235" s="139"/>
      <c r="I235" s="33"/>
      <c r="J235" s="33"/>
      <c r="K235" s="33"/>
      <c r="L235" s="33"/>
      <c r="M235" s="33"/>
      <c r="N235" s="55"/>
      <c r="O235" s="56"/>
      <c r="P235" s="54"/>
      <c r="Q235" s="27"/>
      <c r="R235" s="27"/>
      <c r="S235" s="27"/>
      <c r="T235" s="28"/>
      <c r="U235" s="27"/>
      <c r="V235" s="27"/>
      <c r="W235" s="29"/>
      <c r="X235" s="27"/>
      <c r="Y235" s="27"/>
    </row>
    <row r="236" spans="1:25" x14ac:dyDescent="0.25">
      <c r="A236" s="32"/>
      <c r="B236" s="32"/>
      <c r="C236" s="32"/>
      <c r="D236" s="32"/>
      <c r="E236" s="32"/>
      <c r="F236" s="32"/>
      <c r="G236" s="32"/>
      <c r="H236" s="138"/>
      <c r="I236" s="32"/>
      <c r="J236" s="32"/>
      <c r="K236" s="32"/>
      <c r="L236" s="32"/>
      <c r="M236" s="32"/>
      <c r="N236" s="57"/>
      <c r="O236" s="58"/>
      <c r="P236" s="53"/>
      <c r="Q236" s="25"/>
      <c r="R236" s="25"/>
      <c r="S236" s="25"/>
      <c r="T236" s="26"/>
      <c r="U236" s="25"/>
      <c r="V236" s="25"/>
      <c r="W236" s="30"/>
      <c r="X236" s="25"/>
      <c r="Y236" s="25"/>
    </row>
    <row r="237" spans="1:25" x14ac:dyDescent="0.25">
      <c r="A237" s="33"/>
      <c r="B237" s="33"/>
      <c r="C237" s="33"/>
      <c r="D237" s="33"/>
      <c r="E237" s="33"/>
      <c r="F237" s="33"/>
      <c r="G237" s="33"/>
      <c r="H237" s="139"/>
      <c r="I237" s="33"/>
      <c r="J237" s="33"/>
      <c r="K237" s="33"/>
      <c r="L237" s="33"/>
      <c r="M237" s="33"/>
      <c r="N237" s="55"/>
      <c r="O237" s="56"/>
      <c r="P237" s="54"/>
      <c r="Q237" s="27"/>
      <c r="R237" s="27"/>
      <c r="S237" s="27"/>
      <c r="T237" s="28"/>
      <c r="U237" s="27"/>
      <c r="V237" s="27"/>
      <c r="W237" s="29"/>
      <c r="X237" s="27"/>
      <c r="Y237" s="27"/>
    </row>
    <row r="238" spans="1:25" x14ac:dyDescent="0.25">
      <c r="A238" s="32"/>
      <c r="B238" s="32"/>
      <c r="C238" s="32"/>
      <c r="D238" s="32"/>
      <c r="E238" s="32"/>
      <c r="F238" s="32"/>
      <c r="G238" s="32"/>
      <c r="H238" s="138"/>
      <c r="I238" s="32"/>
      <c r="J238" s="32"/>
      <c r="K238" s="32"/>
      <c r="L238" s="32"/>
      <c r="M238" s="32"/>
      <c r="N238" s="57"/>
      <c r="O238" s="58"/>
      <c r="P238" s="53"/>
      <c r="Q238" s="25"/>
      <c r="R238" s="25"/>
      <c r="S238" s="25"/>
      <c r="T238" s="26"/>
      <c r="U238" s="25"/>
      <c r="V238" s="25"/>
      <c r="W238" s="30"/>
      <c r="X238" s="25"/>
      <c r="Y238" s="25"/>
    </row>
    <row r="239" spans="1:25" x14ac:dyDescent="0.25">
      <c r="A239" s="32"/>
      <c r="B239" s="32"/>
      <c r="C239" s="32"/>
      <c r="D239" s="32"/>
      <c r="E239" s="32"/>
      <c r="F239" s="32"/>
      <c r="G239" s="32"/>
      <c r="H239" s="138"/>
      <c r="I239" s="32"/>
      <c r="J239" s="32"/>
      <c r="K239" s="32"/>
      <c r="L239" s="32"/>
      <c r="M239" s="32"/>
      <c r="N239" s="55"/>
      <c r="O239" s="56"/>
      <c r="P239" s="54"/>
      <c r="Q239" s="27"/>
      <c r="R239" s="27"/>
      <c r="S239" s="27"/>
      <c r="T239" s="28"/>
      <c r="U239" s="27"/>
      <c r="V239" s="27"/>
      <c r="W239" s="29"/>
      <c r="X239" s="27"/>
      <c r="Y239" s="27"/>
    </row>
    <row r="240" spans="1:25" x14ac:dyDescent="0.25">
      <c r="A240" s="33"/>
      <c r="B240" s="33"/>
      <c r="C240" s="33"/>
      <c r="D240" s="33"/>
      <c r="E240" s="33"/>
      <c r="F240" s="33"/>
      <c r="G240" s="33"/>
      <c r="H240" s="139"/>
      <c r="I240" s="33"/>
      <c r="J240" s="33"/>
      <c r="K240" s="33"/>
      <c r="L240" s="33"/>
      <c r="M240" s="33"/>
      <c r="N240" s="57"/>
      <c r="O240" s="58"/>
      <c r="P240" s="53"/>
      <c r="Q240" s="25"/>
      <c r="R240" s="25"/>
      <c r="S240" s="25"/>
      <c r="T240" s="26"/>
      <c r="U240" s="25"/>
      <c r="V240" s="25"/>
      <c r="W240" s="30"/>
      <c r="X240" s="25"/>
      <c r="Y240" s="25"/>
    </row>
    <row r="241" spans="1:25" x14ac:dyDescent="0.25">
      <c r="A241" s="32"/>
      <c r="B241" s="32"/>
      <c r="C241" s="32"/>
      <c r="D241" s="32"/>
      <c r="E241" s="32"/>
      <c r="F241" s="32"/>
      <c r="G241" s="32"/>
      <c r="H241" s="138"/>
      <c r="I241" s="32"/>
      <c r="J241" s="32"/>
      <c r="K241" s="32"/>
      <c r="L241" s="32"/>
      <c r="M241" s="32"/>
      <c r="N241" s="55"/>
      <c r="O241" s="56"/>
      <c r="P241" s="54"/>
      <c r="Q241" s="27"/>
      <c r="R241" s="27"/>
      <c r="S241" s="27"/>
      <c r="T241" s="28"/>
      <c r="U241" s="27"/>
      <c r="V241" s="27"/>
      <c r="W241" s="29"/>
      <c r="X241" s="27"/>
      <c r="Y241" s="27"/>
    </row>
    <row r="242" spans="1:25" x14ac:dyDescent="0.25">
      <c r="A242" s="33"/>
      <c r="B242" s="33"/>
      <c r="C242" s="33"/>
      <c r="D242" s="33"/>
      <c r="E242" s="33"/>
      <c r="F242" s="33"/>
      <c r="G242" s="33"/>
      <c r="H242" s="139"/>
      <c r="I242" s="33"/>
      <c r="J242" s="33"/>
      <c r="K242" s="33"/>
      <c r="L242" s="33"/>
      <c r="M242" s="33"/>
      <c r="N242" s="57"/>
      <c r="O242" s="58"/>
      <c r="P242" s="53"/>
      <c r="Q242" s="25"/>
      <c r="R242" s="25"/>
      <c r="S242" s="25"/>
      <c r="T242" s="26"/>
      <c r="U242" s="25"/>
      <c r="V242" s="25"/>
      <c r="W242" s="30"/>
      <c r="X242" s="25"/>
      <c r="Y242" s="25"/>
    </row>
    <row r="243" spans="1:25" x14ac:dyDescent="0.25">
      <c r="A243" s="32"/>
      <c r="B243" s="32"/>
      <c r="C243" s="32"/>
      <c r="D243" s="32"/>
      <c r="E243" s="32"/>
      <c r="F243" s="32"/>
      <c r="G243" s="32"/>
      <c r="H243" s="138"/>
      <c r="I243" s="32"/>
      <c r="J243" s="32"/>
      <c r="K243" s="32"/>
      <c r="L243" s="32"/>
      <c r="M243" s="32"/>
      <c r="N243" s="55"/>
      <c r="O243" s="56"/>
      <c r="P243" s="54"/>
      <c r="Q243" s="27"/>
      <c r="R243" s="27"/>
      <c r="S243" s="27"/>
      <c r="T243" s="28"/>
      <c r="U243" s="27"/>
      <c r="V243" s="27"/>
      <c r="W243" s="29"/>
      <c r="X243" s="27"/>
      <c r="Y243" s="27"/>
    </row>
    <row r="244" spans="1:25" x14ac:dyDescent="0.25">
      <c r="A244" s="33"/>
      <c r="B244" s="33"/>
      <c r="C244" s="33"/>
      <c r="D244" s="33"/>
      <c r="E244" s="33"/>
      <c r="F244" s="33"/>
      <c r="G244" s="33"/>
      <c r="H244" s="139"/>
      <c r="I244" s="33"/>
      <c r="J244" s="33"/>
      <c r="K244" s="33"/>
      <c r="L244" s="33"/>
      <c r="M244" s="33"/>
      <c r="N244" s="57"/>
      <c r="O244" s="58"/>
      <c r="P244" s="53"/>
      <c r="Q244" s="25"/>
      <c r="R244" s="25"/>
      <c r="S244" s="25"/>
      <c r="T244" s="26"/>
      <c r="U244" s="25"/>
      <c r="V244" s="25"/>
      <c r="W244" s="30"/>
      <c r="X244" s="25"/>
      <c r="Y244" s="25"/>
    </row>
    <row r="245" spans="1:25" x14ac:dyDescent="0.25">
      <c r="A245" s="32"/>
      <c r="B245" s="32"/>
      <c r="C245" s="32"/>
      <c r="D245" s="32"/>
      <c r="E245" s="32"/>
      <c r="F245" s="32"/>
      <c r="G245" s="32"/>
      <c r="H245" s="138"/>
      <c r="I245" s="32"/>
      <c r="J245" s="32"/>
      <c r="K245" s="32"/>
      <c r="L245" s="32"/>
      <c r="M245" s="32"/>
      <c r="N245" s="55"/>
      <c r="O245" s="56"/>
      <c r="P245" s="54"/>
      <c r="Q245" s="27"/>
      <c r="R245" s="27"/>
      <c r="S245" s="27"/>
      <c r="T245" s="28"/>
      <c r="U245" s="27"/>
      <c r="V245" s="27"/>
      <c r="W245" s="29"/>
      <c r="X245" s="27"/>
      <c r="Y245" s="27"/>
    </row>
    <row r="246" spans="1:25" x14ac:dyDescent="0.25">
      <c r="A246" s="33"/>
      <c r="B246" s="33"/>
      <c r="C246" s="33"/>
      <c r="D246" s="33"/>
      <c r="E246" s="33"/>
      <c r="F246" s="33"/>
      <c r="G246" s="33"/>
      <c r="H246" s="139"/>
      <c r="I246" s="33"/>
      <c r="J246" s="33"/>
      <c r="K246" s="33"/>
      <c r="L246" s="33"/>
      <c r="M246" s="33"/>
      <c r="N246" s="57"/>
      <c r="O246" s="58"/>
      <c r="P246" s="53"/>
      <c r="Q246" s="25"/>
      <c r="R246" s="25"/>
      <c r="S246" s="25"/>
      <c r="T246" s="26"/>
      <c r="U246" s="25"/>
      <c r="V246" s="25"/>
      <c r="W246" s="30"/>
      <c r="X246" s="25"/>
      <c r="Y246" s="25"/>
    </row>
    <row r="247" spans="1:25" x14ac:dyDescent="0.25">
      <c r="A247" s="32"/>
      <c r="B247" s="32"/>
      <c r="C247" s="32"/>
      <c r="D247" s="32"/>
      <c r="E247" s="32"/>
      <c r="F247" s="32"/>
      <c r="G247" s="32"/>
      <c r="H247" s="138"/>
      <c r="I247" s="32"/>
      <c r="J247" s="32"/>
      <c r="K247" s="32"/>
      <c r="L247" s="32"/>
      <c r="M247" s="32"/>
      <c r="N247" s="55"/>
      <c r="O247" s="56"/>
      <c r="P247" s="54"/>
      <c r="Q247" s="27"/>
      <c r="R247" s="27"/>
      <c r="S247" s="27"/>
      <c r="T247" s="28"/>
      <c r="U247" s="27"/>
      <c r="V247" s="27"/>
      <c r="W247" s="29"/>
      <c r="X247" s="27"/>
      <c r="Y247" s="27"/>
    </row>
    <row r="248" spans="1:25" ht="15" x14ac:dyDescent="0.2">
      <c r="N248" s="59"/>
      <c r="O248" s="15"/>
      <c r="P248" s="60"/>
      <c r="Q248" s="11"/>
      <c r="R248" s="2"/>
      <c r="S248" s="2"/>
      <c r="T248" s="12"/>
      <c r="U248" s="3"/>
      <c r="V248" s="4"/>
      <c r="W248" s="4"/>
      <c r="X248" s="4"/>
      <c r="Y248" s="4"/>
    </row>
    <row r="249" spans="1:25" x14ac:dyDescent="0.25">
      <c r="A249" s="32"/>
      <c r="B249" s="32"/>
      <c r="C249" s="32"/>
      <c r="D249" s="32"/>
      <c r="E249" s="32"/>
      <c r="F249" s="32"/>
      <c r="G249" s="32"/>
      <c r="H249" s="138"/>
      <c r="I249" s="32"/>
      <c r="J249" s="32"/>
      <c r="K249" s="32"/>
      <c r="L249" s="32"/>
      <c r="M249" s="32"/>
      <c r="N249" s="55"/>
      <c r="O249" s="56"/>
      <c r="P249" s="54"/>
      <c r="Q249" s="27"/>
      <c r="R249" s="27"/>
      <c r="S249" s="27"/>
      <c r="T249" s="28"/>
      <c r="U249" s="27"/>
      <c r="V249" s="27"/>
      <c r="W249" s="29"/>
      <c r="X249" s="27"/>
      <c r="Y249" s="27"/>
    </row>
    <row r="250" spans="1:25" x14ac:dyDescent="0.25">
      <c r="A250" s="33"/>
      <c r="B250" s="33"/>
      <c r="C250" s="33"/>
      <c r="D250" s="33"/>
      <c r="E250" s="33"/>
      <c r="F250" s="33"/>
      <c r="G250" s="33"/>
      <c r="H250" s="139"/>
      <c r="I250" s="33"/>
      <c r="J250" s="33"/>
      <c r="K250" s="33"/>
      <c r="L250" s="33"/>
      <c r="M250" s="33"/>
      <c r="N250" s="57"/>
      <c r="O250" s="58"/>
      <c r="P250" s="53"/>
      <c r="Q250" s="25"/>
      <c r="R250" s="25"/>
      <c r="S250" s="25"/>
      <c r="T250" s="26"/>
      <c r="U250" s="25"/>
      <c r="V250" s="25"/>
      <c r="W250" s="30"/>
      <c r="X250" s="25"/>
      <c r="Y250" s="25"/>
    </row>
    <row r="251" spans="1:25" x14ac:dyDescent="0.25">
      <c r="A251" s="32"/>
      <c r="B251" s="32"/>
      <c r="C251" s="32"/>
      <c r="D251" s="32"/>
      <c r="E251" s="32"/>
      <c r="F251" s="32"/>
      <c r="G251" s="32"/>
      <c r="H251" s="138"/>
      <c r="I251" s="32"/>
      <c r="J251" s="32"/>
      <c r="K251" s="32"/>
      <c r="L251" s="32"/>
      <c r="M251" s="32"/>
      <c r="N251" s="55"/>
      <c r="O251" s="56"/>
      <c r="P251" s="54"/>
      <c r="Q251" s="27"/>
      <c r="R251" s="27"/>
      <c r="S251" s="27"/>
      <c r="T251" s="28"/>
      <c r="U251" s="27"/>
      <c r="V251" s="27"/>
      <c r="W251" s="29"/>
      <c r="X251" s="27"/>
      <c r="Y251" s="27"/>
    </row>
    <row r="252" spans="1:25" x14ac:dyDescent="0.25">
      <c r="A252" s="33"/>
      <c r="B252" s="33"/>
      <c r="C252" s="33"/>
      <c r="D252" s="33"/>
      <c r="E252" s="33"/>
      <c r="F252" s="33"/>
      <c r="G252" s="33"/>
      <c r="H252" s="139"/>
      <c r="I252" s="33"/>
      <c r="J252" s="33"/>
      <c r="K252" s="33"/>
      <c r="L252" s="33"/>
      <c r="M252" s="33"/>
      <c r="N252" s="57"/>
      <c r="O252" s="58"/>
      <c r="P252" s="53"/>
      <c r="Q252" s="25"/>
      <c r="R252" s="25"/>
      <c r="S252" s="25"/>
      <c r="T252" s="26"/>
      <c r="U252" s="25"/>
      <c r="V252" s="25"/>
      <c r="W252" s="30"/>
      <c r="X252" s="25"/>
      <c r="Y252" s="25"/>
    </row>
    <row r="253" spans="1:25" x14ac:dyDescent="0.25">
      <c r="A253" s="32"/>
      <c r="B253" s="32"/>
      <c r="C253" s="32"/>
      <c r="D253" s="32"/>
      <c r="E253" s="32"/>
      <c r="F253" s="32"/>
      <c r="G253" s="32"/>
      <c r="H253" s="138"/>
      <c r="I253" s="32"/>
      <c r="J253" s="32"/>
      <c r="K253" s="32"/>
      <c r="L253" s="32"/>
      <c r="M253" s="32"/>
      <c r="N253" s="55"/>
      <c r="O253" s="56"/>
      <c r="P253" s="54"/>
      <c r="Q253" s="27"/>
      <c r="R253" s="27"/>
      <c r="S253" s="27"/>
      <c r="T253" s="28"/>
      <c r="U253" s="27"/>
      <c r="V253" s="27"/>
      <c r="W253" s="29"/>
      <c r="X253" s="27"/>
      <c r="Y253" s="27"/>
    </row>
    <row r="254" spans="1:25" x14ac:dyDescent="0.25">
      <c r="A254" s="33"/>
      <c r="B254" s="33"/>
      <c r="C254" s="33"/>
      <c r="D254" s="33"/>
      <c r="E254" s="33"/>
      <c r="F254" s="33"/>
      <c r="G254" s="33"/>
      <c r="H254" s="139"/>
      <c r="I254" s="33"/>
      <c r="J254" s="33"/>
      <c r="K254" s="33"/>
      <c r="L254" s="33"/>
      <c r="M254" s="33"/>
      <c r="N254" s="57"/>
      <c r="O254" s="58"/>
      <c r="P254" s="53"/>
      <c r="Q254" s="25"/>
      <c r="R254" s="25"/>
      <c r="S254" s="25"/>
      <c r="T254" s="26"/>
      <c r="U254" s="25"/>
      <c r="V254" s="25"/>
      <c r="W254" s="30"/>
      <c r="X254" s="25"/>
      <c r="Y254" s="25"/>
    </row>
    <row r="255" spans="1:25" x14ac:dyDescent="0.25">
      <c r="A255" s="32"/>
      <c r="B255" s="32"/>
      <c r="C255" s="32"/>
      <c r="D255" s="32"/>
      <c r="E255" s="32"/>
      <c r="F255" s="32"/>
      <c r="G255" s="32"/>
      <c r="H255" s="138"/>
      <c r="I255" s="32"/>
      <c r="J255" s="32"/>
      <c r="K255" s="32"/>
      <c r="L255" s="32"/>
      <c r="M255" s="32"/>
      <c r="N255" s="55"/>
      <c r="O255" s="56"/>
      <c r="P255" s="54"/>
      <c r="Q255" s="27"/>
      <c r="R255" s="27"/>
      <c r="S255" s="27"/>
      <c r="T255" s="28"/>
      <c r="U255" s="27"/>
      <c r="V255" s="27"/>
      <c r="W255" s="29"/>
      <c r="X255" s="27"/>
      <c r="Y255" s="27"/>
    </row>
    <row r="256" spans="1:25" x14ac:dyDescent="0.25">
      <c r="A256" s="32"/>
      <c r="B256" s="32"/>
      <c r="C256" s="32"/>
      <c r="D256" s="32"/>
      <c r="E256" s="32"/>
      <c r="F256" s="32"/>
      <c r="G256" s="32"/>
      <c r="H256" s="138"/>
      <c r="I256" s="32"/>
      <c r="J256" s="32"/>
      <c r="K256" s="32"/>
      <c r="L256" s="32"/>
      <c r="M256" s="32"/>
      <c r="N256" s="57"/>
      <c r="O256" s="58"/>
      <c r="P256" s="53"/>
      <c r="Q256" s="25"/>
      <c r="R256" s="25"/>
      <c r="S256" s="25"/>
      <c r="T256" s="26"/>
      <c r="U256" s="25"/>
      <c r="V256" s="25"/>
      <c r="W256" s="30"/>
      <c r="X256" s="25"/>
      <c r="Y256" s="25"/>
    </row>
    <row r="257" spans="1:25" x14ac:dyDescent="0.25">
      <c r="A257" s="33"/>
      <c r="B257" s="33"/>
      <c r="C257" s="33"/>
      <c r="D257" s="33"/>
      <c r="E257" s="33"/>
      <c r="F257" s="33"/>
      <c r="G257" s="33"/>
      <c r="H257" s="139"/>
      <c r="I257" s="33"/>
      <c r="J257" s="33"/>
      <c r="K257" s="33"/>
      <c r="L257" s="33"/>
      <c r="M257" s="33"/>
      <c r="N257" s="55"/>
      <c r="O257" s="56"/>
      <c r="P257" s="54"/>
      <c r="Q257" s="27"/>
      <c r="R257" s="27"/>
      <c r="S257" s="27"/>
      <c r="T257" s="28"/>
      <c r="U257" s="27"/>
      <c r="V257" s="27"/>
      <c r="W257" s="29"/>
      <c r="X257" s="27"/>
      <c r="Y257" s="27"/>
    </row>
    <row r="258" spans="1:25" x14ac:dyDescent="0.25">
      <c r="A258" s="32"/>
      <c r="B258" s="32"/>
      <c r="C258" s="32"/>
      <c r="D258" s="32"/>
      <c r="E258" s="32"/>
      <c r="F258" s="32"/>
      <c r="G258" s="32"/>
      <c r="H258" s="138"/>
      <c r="I258" s="32"/>
      <c r="J258" s="32"/>
      <c r="K258" s="32"/>
      <c r="L258" s="32"/>
      <c r="M258" s="32"/>
      <c r="N258" s="57"/>
      <c r="O258" s="58"/>
      <c r="P258" s="53"/>
      <c r="Q258" s="25"/>
      <c r="R258" s="25"/>
      <c r="S258" s="25"/>
      <c r="T258" s="26"/>
      <c r="U258" s="25"/>
      <c r="V258" s="25"/>
      <c r="W258" s="30"/>
      <c r="X258" s="25"/>
      <c r="Y258" s="25"/>
    </row>
    <row r="259" spans="1:25" x14ac:dyDescent="0.25">
      <c r="A259" s="33"/>
      <c r="B259" s="33"/>
      <c r="C259" s="33"/>
      <c r="D259" s="33"/>
      <c r="E259" s="33"/>
      <c r="F259" s="33"/>
      <c r="G259" s="33"/>
      <c r="H259" s="139"/>
      <c r="I259" s="33"/>
      <c r="J259" s="33"/>
      <c r="K259" s="33"/>
      <c r="L259" s="33"/>
      <c r="M259" s="33"/>
      <c r="N259" s="55"/>
      <c r="O259" s="56"/>
      <c r="P259" s="54"/>
      <c r="Q259" s="27"/>
      <c r="R259" s="27"/>
      <c r="S259" s="27"/>
      <c r="T259" s="28"/>
      <c r="U259" s="27"/>
      <c r="V259" s="27"/>
      <c r="W259" s="29"/>
      <c r="X259" s="27"/>
      <c r="Y259" s="27"/>
    </row>
    <row r="260" spans="1:25" x14ac:dyDescent="0.25">
      <c r="A260" s="32"/>
      <c r="B260" s="32"/>
      <c r="C260" s="32"/>
      <c r="D260" s="32"/>
      <c r="E260" s="32"/>
      <c r="F260" s="32"/>
      <c r="G260" s="32"/>
      <c r="H260" s="138"/>
      <c r="I260" s="32"/>
      <c r="J260" s="32"/>
      <c r="K260" s="32"/>
      <c r="L260" s="32"/>
      <c r="M260" s="32"/>
      <c r="N260" s="57"/>
      <c r="O260" s="58"/>
      <c r="P260" s="53"/>
      <c r="Q260" s="25"/>
      <c r="R260" s="25"/>
      <c r="S260" s="25"/>
      <c r="T260" s="26"/>
      <c r="U260" s="25"/>
      <c r="V260" s="25"/>
      <c r="W260" s="30"/>
      <c r="X260" s="25"/>
      <c r="Y260" s="25"/>
    </row>
    <row r="261" spans="1:25" x14ac:dyDescent="0.25">
      <c r="A261" s="33"/>
      <c r="B261" s="33"/>
      <c r="C261" s="33"/>
      <c r="D261" s="33"/>
      <c r="E261" s="33"/>
      <c r="F261" s="33"/>
      <c r="G261" s="33"/>
      <c r="H261" s="139"/>
      <c r="I261" s="33"/>
      <c r="J261" s="33"/>
      <c r="K261" s="33"/>
      <c r="L261" s="33"/>
      <c r="M261" s="33"/>
      <c r="N261" s="55"/>
      <c r="O261" s="56"/>
      <c r="P261" s="54"/>
      <c r="Q261" s="27"/>
      <c r="R261" s="27"/>
      <c r="S261" s="27"/>
      <c r="T261" s="28"/>
      <c r="U261" s="27"/>
      <c r="V261" s="27"/>
      <c r="W261" s="29"/>
      <c r="X261" s="27"/>
      <c r="Y261" s="27"/>
    </row>
    <row r="262" spans="1:25" x14ac:dyDescent="0.25">
      <c r="A262" s="32"/>
      <c r="B262" s="32"/>
      <c r="C262" s="32"/>
      <c r="D262" s="32"/>
      <c r="E262" s="32"/>
      <c r="F262" s="32"/>
      <c r="G262" s="32"/>
      <c r="H262" s="138"/>
      <c r="I262" s="32"/>
      <c r="J262" s="32"/>
      <c r="K262" s="32"/>
      <c r="L262" s="32"/>
      <c r="M262" s="32"/>
      <c r="N262" s="57"/>
      <c r="O262" s="58"/>
      <c r="P262" s="53"/>
      <c r="Q262" s="25"/>
      <c r="R262" s="25"/>
      <c r="S262" s="25"/>
      <c r="T262" s="26"/>
      <c r="U262" s="25"/>
      <c r="V262" s="25"/>
      <c r="W262" s="30"/>
      <c r="X262" s="25"/>
      <c r="Y262" s="25"/>
    </row>
    <row r="263" spans="1:25" x14ac:dyDescent="0.25">
      <c r="A263" s="33"/>
      <c r="B263" s="33"/>
      <c r="C263" s="33"/>
      <c r="D263" s="33"/>
      <c r="E263" s="33"/>
      <c r="F263" s="33"/>
      <c r="G263" s="33"/>
      <c r="H263" s="139"/>
      <c r="I263" s="33"/>
      <c r="J263" s="33"/>
      <c r="K263" s="33"/>
      <c r="L263" s="33"/>
      <c r="M263" s="33"/>
      <c r="N263" s="55"/>
      <c r="O263" s="56"/>
      <c r="P263" s="54"/>
      <c r="Q263" s="27"/>
      <c r="R263" s="27"/>
      <c r="S263" s="27"/>
      <c r="T263" s="28"/>
      <c r="U263" s="27"/>
      <c r="V263" s="27"/>
      <c r="W263" s="29"/>
      <c r="X263" s="27"/>
      <c r="Y263" s="27"/>
    </row>
    <row r="264" spans="1:25" x14ac:dyDescent="0.25">
      <c r="A264" s="32"/>
      <c r="B264" s="32"/>
      <c r="C264" s="32"/>
      <c r="D264" s="32"/>
      <c r="E264" s="32"/>
      <c r="F264" s="32"/>
      <c r="G264" s="32"/>
      <c r="H264" s="138"/>
      <c r="I264" s="32"/>
      <c r="J264" s="32"/>
      <c r="K264" s="32"/>
      <c r="L264" s="32"/>
      <c r="M264" s="32"/>
      <c r="N264" s="59"/>
      <c r="O264" s="15"/>
      <c r="P264" s="60"/>
      <c r="Q264" s="11"/>
      <c r="R264" s="2"/>
      <c r="S264" s="2"/>
      <c r="T264" s="12"/>
      <c r="U264" s="3"/>
      <c r="V264" s="4"/>
      <c r="W264" s="4"/>
      <c r="X264" s="4"/>
      <c r="Y264" s="4"/>
    </row>
    <row r="265" spans="1:25" x14ac:dyDescent="0.25">
      <c r="N265" s="55"/>
      <c r="O265" s="56"/>
      <c r="P265" s="54"/>
      <c r="Q265" s="27"/>
      <c r="R265" s="27"/>
      <c r="S265" s="27"/>
      <c r="T265" s="28"/>
      <c r="U265" s="27"/>
      <c r="V265" s="27"/>
      <c r="W265" s="29"/>
      <c r="X265" s="27"/>
      <c r="Y265" s="27"/>
    </row>
    <row r="266" spans="1:25" x14ac:dyDescent="0.25">
      <c r="A266" s="32"/>
      <c r="B266" s="32"/>
      <c r="C266" s="32"/>
      <c r="D266" s="32"/>
      <c r="E266" s="32"/>
      <c r="F266" s="32"/>
      <c r="G266" s="32"/>
      <c r="H266" s="138"/>
      <c r="I266" s="32"/>
      <c r="J266" s="32"/>
      <c r="K266" s="32"/>
      <c r="L266" s="32"/>
      <c r="M266" s="32"/>
      <c r="N266" s="57"/>
      <c r="O266" s="58"/>
      <c r="P266" s="53"/>
      <c r="Q266" s="25"/>
      <c r="R266" s="25"/>
      <c r="S266" s="25"/>
      <c r="T266" s="26"/>
      <c r="U266" s="25"/>
      <c r="V266" s="25"/>
      <c r="W266" s="30"/>
      <c r="X266" s="25"/>
      <c r="Y266" s="25"/>
    </row>
    <row r="267" spans="1:25" x14ac:dyDescent="0.25">
      <c r="A267" s="33"/>
      <c r="B267" s="33"/>
      <c r="C267" s="33"/>
      <c r="D267" s="33"/>
      <c r="E267" s="33"/>
      <c r="F267" s="33"/>
      <c r="G267" s="33"/>
      <c r="H267" s="139"/>
      <c r="I267" s="33"/>
      <c r="J267" s="33"/>
      <c r="K267" s="33"/>
      <c r="L267" s="33"/>
      <c r="M267" s="33"/>
      <c r="N267" s="55"/>
      <c r="O267" s="56"/>
      <c r="P267" s="54"/>
      <c r="Q267" s="27"/>
      <c r="R267" s="27"/>
      <c r="S267" s="27"/>
      <c r="T267" s="28"/>
      <c r="U267" s="27"/>
      <c r="V267" s="27"/>
      <c r="W267" s="29"/>
      <c r="X267" s="27"/>
      <c r="Y267" s="27"/>
    </row>
    <row r="268" spans="1:25" x14ac:dyDescent="0.25">
      <c r="A268" s="32"/>
      <c r="B268" s="32"/>
      <c r="C268" s="32"/>
      <c r="D268" s="32"/>
      <c r="E268" s="32"/>
      <c r="F268" s="32"/>
      <c r="G268" s="32"/>
      <c r="H268" s="138"/>
      <c r="I268" s="32"/>
      <c r="J268" s="32"/>
      <c r="K268" s="32"/>
      <c r="L268" s="32"/>
      <c r="M268" s="32"/>
      <c r="N268" s="57"/>
      <c r="O268" s="58"/>
      <c r="P268" s="53"/>
      <c r="Q268" s="25"/>
      <c r="R268" s="25"/>
      <c r="S268" s="25"/>
      <c r="T268" s="26"/>
      <c r="U268" s="25"/>
      <c r="V268" s="25"/>
      <c r="W268" s="30"/>
      <c r="X268" s="25"/>
      <c r="Y268" s="25"/>
    </row>
    <row r="269" spans="1:25" x14ac:dyDescent="0.25">
      <c r="A269" s="33"/>
      <c r="B269" s="33"/>
      <c r="C269" s="33"/>
      <c r="D269" s="33"/>
      <c r="E269" s="33"/>
      <c r="F269" s="33"/>
      <c r="G269" s="33"/>
      <c r="H269" s="139"/>
      <c r="I269" s="33"/>
      <c r="J269" s="33"/>
      <c r="K269" s="33"/>
      <c r="L269" s="33"/>
      <c r="M269" s="33"/>
      <c r="N269" s="55"/>
      <c r="O269" s="56"/>
      <c r="P269" s="54"/>
      <c r="Q269" s="27"/>
      <c r="R269" s="27"/>
      <c r="S269" s="27"/>
      <c r="T269" s="28"/>
      <c r="U269" s="27"/>
      <c r="V269" s="27"/>
      <c r="W269" s="29"/>
      <c r="X269" s="27"/>
      <c r="Y269" s="27"/>
    </row>
    <row r="270" spans="1:25" x14ac:dyDescent="0.25">
      <c r="A270" s="32"/>
      <c r="B270" s="32"/>
      <c r="C270" s="32"/>
      <c r="D270" s="32"/>
      <c r="E270" s="32"/>
      <c r="F270" s="32"/>
      <c r="G270" s="32"/>
      <c r="H270" s="138"/>
      <c r="I270" s="32"/>
      <c r="J270" s="32"/>
      <c r="K270" s="32"/>
      <c r="L270" s="32"/>
      <c r="M270" s="32"/>
      <c r="N270" s="57"/>
      <c r="O270" s="58"/>
      <c r="P270" s="53"/>
      <c r="Q270" s="25"/>
      <c r="R270" s="25"/>
      <c r="S270" s="25"/>
      <c r="T270" s="26"/>
      <c r="U270" s="25"/>
      <c r="V270" s="25"/>
      <c r="W270" s="30"/>
      <c r="X270" s="25"/>
      <c r="Y270" s="25"/>
    </row>
    <row r="271" spans="1:25" x14ac:dyDescent="0.25">
      <c r="A271" s="33"/>
      <c r="B271" s="33"/>
      <c r="C271" s="33"/>
      <c r="D271" s="33"/>
      <c r="E271" s="33"/>
      <c r="F271" s="33"/>
      <c r="G271" s="33"/>
      <c r="H271" s="139"/>
      <c r="I271" s="33"/>
      <c r="J271" s="33"/>
      <c r="K271" s="33"/>
      <c r="L271" s="33"/>
      <c r="M271" s="33"/>
      <c r="N271" s="55"/>
      <c r="O271" s="56"/>
      <c r="P271" s="54"/>
      <c r="Q271" s="27"/>
      <c r="R271" s="27"/>
      <c r="S271" s="27"/>
      <c r="T271" s="28"/>
      <c r="U271" s="27"/>
      <c r="V271" s="27"/>
      <c r="W271" s="29"/>
      <c r="X271" s="27"/>
      <c r="Y271" s="27"/>
    </row>
    <row r="272" spans="1:25" x14ac:dyDescent="0.25">
      <c r="A272" s="32"/>
      <c r="B272" s="32"/>
      <c r="C272" s="32"/>
      <c r="D272" s="32"/>
      <c r="E272" s="32"/>
      <c r="F272" s="32"/>
      <c r="G272" s="32"/>
      <c r="H272" s="138"/>
      <c r="I272" s="32"/>
      <c r="J272" s="32"/>
      <c r="K272" s="32"/>
      <c r="L272" s="32"/>
      <c r="M272" s="32"/>
      <c r="N272" s="57"/>
      <c r="O272" s="58"/>
      <c r="P272" s="53"/>
      <c r="Q272" s="25"/>
      <c r="R272" s="25"/>
      <c r="S272" s="25"/>
      <c r="T272" s="26"/>
      <c r="U272" s="25"/>
      <c r="V272" s="25"/>
      <c r="W272" s="30"/>
      <c r="X272" s="25"/>
      <c r="Y272" s="25"/>
    </row>
    <row r="273" spans="1:25" x14ac:dyDescent="0.25">
      <c r="A273" s="32"/>
      <c r="B273" s="32"/>
      <c r="C273" s="32"/>
      <c r="D273" s="32"/>
      <c r="E273" s="32"/>
      <c r="F273" s="32"/>
      <c r="G273" s="32"/>
      <c r="H273" s="138"/>
      <c r="I273" s="32"/>
      <c r="J273" s="32"/>
      <c r="K273" s="32"/>
      <c r="L273" s="32"/>
      <c r="M273" s="32"/>
      <c r="N273" s="55"/>
      <c r="O273" s="56"/>
      <c r="P273" s="54"/>
      <c r="Q273" s="27"/>
      <c r="R273" s="27"/>
      <c r="S273" s="27"/>
      <c r="T273" s="28"/>
      <c r="U273" s="27"/>
      <c r="V273" s="27"/>
      <c r="W273" s="29"/>
      <c r="X273" s="27"/>
      <c r="Y273" s="27"/>
    </row>
    <row r="274" spans="1:25" x14ac:dyDescent="0.25">
      <c r="A274" s="33"/>
      <c r="B274" s="33"/>
      <c r="C274" s="33"/>
      <c r="D274" s="33"/>
      <c r="E274" s="33"/>
      <c r="F274" s="33"/>
      <c r="G274" s="33"/>
      <c r="H274" s="139"/>
      <c r="I274" s="33"/>
      <c r="J274" s="33"/>
      <c r="K274" s="33"/>
      <c r="L274" s="33"/>
      <c r="M274" s="33"/>
      <c r="N274" s="57"/>
      <c r="O274" s="58"/>
      <c r="P274" s="53"/>
      <c r="Q274" s="25"/>
      <c r="R274" s="25"/>
      <c r="S274" s="25"/>
      <c r="T274" s="26"/>
      <c r="U274" s="25"/>
      <c r="V274" s="25"/>
      <c r="W274" s="30"/>
      <c r="X274" s="25"/>
      <c r="Y274" s="25"/>
    </row>
    <row r="275" spans="1:25" x14ac:dyDescent="0.25">
      <c r="A275" s="32"/>
      <c r="B275" s="32"/>
      <c r="C275" s="32"/>
      <c r="D275" s="32"/>
      <c r="E275" s="32"/>
      <c r="F275" s="32"/>
      <c r="G275" s="32"/>
      <c r="H275" s="138"/>
      <c r="I275" s="32"/>
      <c r="J275" s="32"/>
      <c r="K275" s="32"/>
      <c r="L275" s="32"/>
      <c r="M275" s="32"/>
      <c r="N275" s="55"/>
      <c r="O275" s="56"/>
      <c r="P275" s="54"/>
      <c r="Q275" s="27"/>
      <c r="R275" s="27"/>
      <c r="S275" s="27"/>
      <c r="T275" s="28"/>
      <c r="U275" s="27"/>
      <c r="V275" s="27"/>
      <c r="W275" s="29"/>
      <c r="X275" s="27"/>
      <c r="Y275" s="27"/>
    </row>
    <row r="276" spans="1:25" x14ac:dyDescent="0.25">
      <c r="A276" s="33"/>
      <c r="B276" s="33"/>
      <c r="C276" s="33"/>
      <c r="D276" s="33"/>
      <c r="E276" s="33"/>
      <c r="F276" s="33"/>
      <c r="G276" s="33"/>
      <c r="H276" s="139"/>
      <c r="I276" s="33"/>
      <c r="J276" s="33"/>
      <c r="K276" s="33"/>
      <c r="L276" s="33"/>
      <c r="M276" s="33"/>
      <c r="N276" s="57"/>
      <c r="O276" s="58"/>
      <c r="P276" s="53"/>
      <c r="Q276" s="25"/>
      <c r="R276" s="25"/>
      <c r="S276" s="25"/>
      <c r="T276" s="26"/>
      <c r="U276" s="25"/>
      <c r="V276" s="25"/>
      <c r="W276" s="30"/>
      <c r="X276" s="25"/>
      <c r="Y276" s="25"/>
    </row>
    <row r="277" spans="1:25" x14ac:dyDescent="0.25">
      <c r="A277" s="32"/>
      <c r="B277" s="32"/>
      <c r="C277" s="32"/>
      <c r="D277" s="32"/>
      <c r="E277" s="32"/>
      <c r="F277" s="32"/>
      <c r="G277" s="32"/>
      <c r="H277" s="138"/>
      <c r="I277" s="32"/>
      <c r="J277" s="32"/>
      <c r="K277" s="32"/>
      <c r="L277" s="32"/>
      <c r="M277" s="32"/>
      <c r="N277" s="55"/>
      <c r="O277" s="56"/>
      <c r="P277" s="54"/>
      <c r="Q277" s="27"/>
      <c r="R277" s="27"/>
      <c r="S277" s="27"/>
      <c r="T277" s="28"/>
      <c r="U277" s="27"/>
      <c r="V277" s="27"/>
      <c r="W277" s="29"/>
      <c r="X277" s="27"/>
      <c r="Y277" s="27"/>
    </row>
    <row r="278" spans="1:25" x14ac:dyDescent="0.25">
      <c r="A278" s="33"/>
      <c r="B278" s="33"/>
      <c r="C278" s="33"/>
      <c r="D278" s="33"/>
      <c r="E278" s="33"/>
      <c r="F278" s="33"/>
      <c r="G278" s="33"/>
      <c r="H278" s="139"/>
      <c r="I278" s="33"/>
      <c r="J278" s="33"/>
      <c r="K278" s="33"/>
      <c r="L278" s="33"/>
      <c r="M278" s="33"/>
      <c r="N278" s="57"/>
      <c r="O278" s="58"/>
      <c r="P278" s="53"/>
      <c r="Q278" s="25"/>
      <c r="R278" s="25"/>
      <c r="S278" s="25"/>
      <c r="T278" s="26"/>
      <c r="U278" s="25"/>
      <c r="V278" s="25"/>
      <c r="W278" s="30"/>
      <c r="X278" s="25"/>
      <c r="Y278" s="25"/>
    </row>
    <row r="279" spans="1:25" x14ac:dyDescent="0.25">
      <c r="A279" s="32"/>
      <c r="B279" s="32"/>
      <c r="C279" s="32"/>
      <c r="D279" s="32"/>
      <c r="E279" s="32"/>
      <c r="F279" s="32"/>
      <c r="G279" s="32"/>
      <c r="H279" s="138"/>
      <c r="I279" s="32"/>
      <c r="J279" s="32"/>
      <c r="K279" s="32"/>
      <c r="L279" s="32"/>
      <c r="M279" s="32"/>
      <c r="N279" s="55"/>
      <c r="O279" s="56"/>
      <c r="P279" s="54"/>
      <c r="Q279" s="27"/>
      <c r="R279" s="27"/>
      <c r="S279" s="27"/>
      <c r="T279" s="28"/>
      <c r="U279" s="27"/>
      <c r="V279" s="27"/>
      <c r="W279" s="29"/>
      <c r="X279" s="27"/>
      <c r="Y279" s="27"/>
    </row>
    <row r="280" spans="1:25" x14ac:dyDescent="0.25">
      <c r="A280" s="33"/>
      <c r="B280" s="33"/>
      <c r="C280" s="33"/>
      <c r="D280" s="33"/>
      <c r="E280" s="33"/>
      <c r="F280" s="33"/>
      <c r="G280" s="33"/>
      <c r="H280" s="139"/>
      <c r="I280" s="33"/>
      <c r="J280" s="33"/>
      <c r="K280" s="33"/>
      <c r="L280" s="33"/>
      <c r="M280" s="33"/>
      <c r="N280" s="59"/>
      <c r="O280" s="15"/>
      <c r="P280" s="60"/>
      <c r="Q280" s="11"/>
      <c r="R280" s="2"/>
      <c r="S280" s="2"/>
      <c r="T280" s="12"/>
      <c r="U280" s="3"/>
      <c r="V280" s="4"/>
      <c r="W280" s="4"/>
      <c r="X280" s="4"/>
      <c r="Y280" s="4"/>
    </row>
    <row r="281" spans="1:25" x14ac:dyDescent="0.25">
      <c r="A281" s="32"/>
      <c r="B281" s="32"/>
      <c r="C281" s="32"/>
      <c r="D281" s="32"/>
      <c r="E281" s="32"/>
      <c r="F281" s="32"/>
      <c r="G281" s="32"/>
      <c r="H281" s="138"/>
      <c r="I281" s="32"/>
      <c r="J281" s="32"/>
      <c r="K281" s="32"/>
      <c r="L281" s="32"/>
      <c r="M281" s="32"/>
      <c r="N281" s="55"/>
      <c r="O281" s="56"/>
      <c r="P281" s="54"/>
      <c r="Q281" s="27"/>
      <c r="R281" s="27"/>
      <c r="S281" s="27"/>
      <c r="T281" s="28"/>
      <c r="U281" s="27"/>
      <c r="V281" s="27"/>
      <c r="W281" s="29"/>
      <c r="X281" s="27"/>
      <c r="Y281" s="27"/>
    </row>
    <row r="282" spans="1:25" x14ac:dyDescent="0.25">
      <c r="N282" s="57"/>
      <c r="O282" s="58"/>
      <c r="P282" s="53"/>
      <c r="Q282" s="25"/>
      <c r="R282" s="25"/>
      <c r="S282" s="25"/>
      <c r="T282" s="26"/>
      <c r="U282" s="25"/>
      <c r="V282" s="25"/>
      <c r="W282" s="30"/>
      <c r="X282" s="25"/>
      <c r="Y282" s="25"/>
    </row>
    <row r="283" spans="1:25" x14ac:dyDescent="0.25">
      <c r="A283" s="32"/>
      <c r="B283" s="32"/>
      <c r="C283" s="32"/>
      <c r="D283" s="32"/>
      <c r="E283" s="32"/>
      <c r="F283" s="32"/>
      <c r="G283" s="32"/>
      <c r="H283" s="138"/>
      <c r="I283" s="32"/>
      <c r="J283" s="32"/>
      <c r="K283" s="32"/>
      <c r="L283" s="32"/>
      <c r="M283" s="32"/>
      <c r="N283" s="55"/>
      <c r="O283" s="56"/>
      <c r="P283" s="54"/>
      <c r="Q283" s="27"/>
      <c r="R283" s="27"/>
      <c r="S283" s="27"/>
      <c r="T283" s="28"/>
      <c r="U283" s="27"/>
      <c r="V283" s="27"/>
      <c r="W283" s="29"/>
      <c r="X283" s="27"/>
      <c r="Y283" s="27"/>
    </row>
    <row r="284" spans="1:25" x14ac:dyDescent="0.25">
      <c r="A284" s="33"/>
      <c r="B284" s="33"/>
      <c r="C284" s="33"/>
      <c r="D284" s="33"/>
      <c r="E284" s="33"/>
      <c r="F284" s="33"/>
      <c r="G284" s="33"/>
      <c r="H284" s="139"/>
      <c r="I284" s="33"/>
      <c r="J284" s="33"/>
      <c r="K284" s="33"/>
      <c r="L284" s="33"/>
      <c r="M284" s="33"/>
      <c r="N284" s="57"/>
      <c r="O284" s="58"/>
      <c r="P284" s="53"/>
      <c r="Q284" s="25"/>
      <c r="R284" s="25"/>
      <c r="S284" s="25"/>
      <c r="T284" s="26"/>
      <c r="U284" s="25"/>
      <c r="V284" s="25"/>
      <c r="W284" s="30"/>
      <c r="X284" s="25"/>
      <c r="Y284" s="25"/>
    </row>
    <row r="285" spans="1:25" x14ac:dyDescent="0.25">
      <c r="A285" s="32"/>
      <c r="B285" s="32"/>
      <c r="C285" s="32"/>
      <c r="D285" s="32"/>
      <c r="E285" s="32"/>
      <c r="F285" s="32"/>
      <c r="G285" s="32"/>
      <c r="H285" s="138"/>
      <c r="I285" s="32"/>
      <c r="J285" s="32"/>
      <c r="K285" s="32"/>
      <c r="L285" s="32"/>
      <c r="M285" s="32"/>
      <c r="N285" s="55"/>
      <c r="O285" s="56"/>
      <c r="P285" s="54"/>
      <c r="Q285" s="27"/>
      <c r="R285" s="27"/>
      <c r="S285" s="27"/>
      <c r="T285" s="28"/>
      <c r="U285" s="27"/>
      <c r="V285" s="27"/>
      <c r="W285" s="29"/>
      <c r="X285" s="27"/>
      <c r="Y285" s="27"/>
    </row>
    <row r="286" spans="1:25" x14ac:dyDescent="0.25">
      <c r="A286" s="33"/>
      <c r="B286" s="33"/>
      <c r="C286" s="33"/>
      <c r="D286" s="33"/>
      <c r="E286" s="33"/>
      <c r="F286" s="33"/>
      <c r="G286" s="33"/>
      <c r="H286" s="139"/>
      <c r="I286" s="33"/>
      <c r="J286" s="33"/>
      <c r="K286" s="33"/>
      <c r="L286" s="33"/>
      <c r="M286" s="33"/>
      <c r="N286" s="57"/>
      <c r="O286" s="58"/>
      <c r="P286" s="53"/>
      <c r="Q286" s="25"/>
      <c r="R286" s="25"/>
      <c r="S286" s="25"/>
      <c r="T286" s="26"/>
      <c r="U286" s="25"/>
      <c r="V286" s="25"/>
      <c r="W286" s="30"/>
      <c r="X286" s="25"/>
      <c r="Y286" s="25"/>
    </row>
    <row r="287" spans="1:25" x14ac:dyDescent="0.25">
      <c r="A287" s="32"/>
      <c r="B287" s="32"/>
      <c r="C287" s="32"/>
      <c r="D287" s="32"/>
      <c r="E287" s="32"/>
      <c r="F287" s="32"/>
      <c r="G287" s="32"/>
      <c r="H287" s="138"/>
      <c r="I287" s="32"/>
      <c r="J287" s="32"/>
      <c r="K287" s="32"/>
      <c r="L287" s="32"/>
      <c r="M287" s="32"/>
      <c r="N287" s="55"/>
      <c r="O287" s="56"/>
      <c r="P287" s="54"/>
      <c r="Q287" s="27"/>
      <c r="R287" s="27"/>
      <c r="S287" s="27"/>
      <c r="T287" s="28"/>
      <c r="U287" s="27"/>
      <c r="V287" s="27"/>
      <c r="W287" s="29"/>
      <c r="X287" s="27"/>
      <c r="Y287" s="27"/>
    </row>
    <row r="288" spans="1:25" x14ac:dyDescent="0.25">
      <c r="A288" s="33"/>
      <c r="B288" s="33"/>
      <c r="C288" s="33"/>
      <c r="D288" s="33"/>
      <c r="E288" s="33"/>
      <c r="F288" s="33"/>
      <c r="G288" s="33"/>
      <c r="H288" s="139"/>
      <c r="I288" s="33"/>
      <c r="J288" s="33"/>
      <c r="K288" s="33"/>
      <c r="L288" s="33"/>
      <c r="M288" s="33"/>
      <c r="N288" s="57"/>
      <c r="O288" s="58"/>
      <c r="P288" s="53"/>
      <c r="Q288" s="25"/>
      <c r="R288" s="25"/>
      <c r="S288" s="25"/>
      <c r="T288" s="26"/>
      <c r="U288" s="25"/>
      <c r="V288" s="25"/>
      <c r="W288" s="30"/>
      <c r="X288" s="25"/>
      <c r="Y288" s="25"/>
    </row>
    <row r="289" spans="1:25" x14ac:dyDescent="0.25">
      <c r="A289" s="32"/>
      <c r="B289" s="32"/>
      <c r="C289" s="32"/>
      <c r="D289" s="32"/>
      <c r="E289" s="32"/>
      <c r="F289" s="32"/>
      <c r="G289" s="32"/>
      <c r="H289" s="138"/>
      <c r="I289" s="32"/>
      <c r="J289" s="32"/>
      <c r="K289" s="32"/>
      <c r="L289" s="32"/>
      <c r="M289" s="32"/>
      <c r="N289" s="55"/>
      <c r="O289" s="56"/>
      <c r="P289" s="54"/>
      <c r="Q289" s="27"/>
      <c r="R289" s="27"/>
      <c r="S289" s="27"/>
      <c r="T289" s="28"/>
      <c r="U289" s="27"/>
      <c r="V289" s="27"/>
      <c r="W289" s="29"/>
      <c r="X289" s="27"/>
      <c r="Y289" s="27"/>
    </row>
    <row r="290" spans="1:25" x14ac:dyDescent="0.25">
      <c r="A290" s="32"/>
      <c r="B290" s="32"/>
      <c r="C290" s="32"/>
      <c r="D290" s="32"/>
      <c r="E290" s="32"/>
      <c r="F290" s="32"/>
      <c r="G290" s="32"/>
      <c r="H290" s="138"/>
      <c r="I290" s="32"/>
      <c r="J290" s="32"/>
      <c r="K290" s="32"/>
      <c r="L290" s="32"/>
      <c r="M290" s="32"/>
      <c r="N290" s="57"/>
      <c r="O290" s="58"/>
      <c r="P290" s="53"/>
      <c r="Q290" s="25"/>
      <c r="R290" s="25"/>
      <c r="S290" s="25"/>
      <c r="T290" s="26"/>
      <c r="U290" s="25"/>
      <c r="V290" s="25"/>
      <c r="W290" s="30"/>
      <c r="X290" s="25"/>
      <c r="Y290" s="25"/>
    </row>
    <row r="291" spans="1:25" x14ac:dyDescent="0.25">
      <c r="A291" s="33"/>
      <c r="B291" s="33"/>
      <c r="C291" s="33"/>
      <c r="D291" s="33"/>
      <c r="E291" s="33"/>
      <c r="F291" s="33"/>
      <c r="G291" s="33"/>
      <c r="H291" s="139"/>
      <c r="I291" s="33"/>
      <c r="J291" s="33"/>
      <c r="K291" s="33"/>
      <c r="L291" s="33"/>
      <c r="M291" s="33"/>
      <c r="N291" s="55"/>
      <c r="O291" s="56"/>
      <c r="P291" s="54"/>
      <c r="Q291" s="27"/>
      <c r="R291" s="27"/>
      <c r="S291" s="27"/>
      <c r="T291" s="28"/>
      <c r="U291" s="27"/>
      <c r="V291" s="27"/>
      <c r="W291" s="29"/>
      <c r="X291" s="27"/>
      <c r="Y291" s="27"/>
    </row>
    <row r="292" spans="1:25" x14ac:dyDescent="0.25">
      <c r="A292" s="32"/>
      <c r="B292" s="32"/>
      <c r="C292" s="32"/>
      <c r="D292" s="32"/>
      <c r="E292" s="32"/>
      <c r="F292" s="32"/>
      <c r="G292" s="32"/>
      <c r="H292" s="138"/>
      <c r="I292" s="32"/>
      <c r="J292" s="32"/>
      <c r="K292" s="32"/>
      <c r="L292" s="32"/>
      <c r="M292" s="32"/>
      <c r="N292" s="57"/>
      <c r="O292" s="58"/>
      <c r="P292" s="53"/>
      <c r="Q292" s="25"/>
      <c r="R292" s="25"/>
      <c r="S292" s="25"/>
      <c r="T292" s="26"/>
      <c r="U292" s="25"/>
      <c r="V292" s="25"/>
      <c r="W292" s="30"/>
      <c r="X292" s="25"/>
      <c r="Y292" s="25"/>
    </row>
    <row r="293" spans="1:25" x14ac:dyDescent="0.25">
      <c r="A293" s="33"/>
      <c r="B293" s="33"/>
      <c r="C293" s="33"/>
      <c r="D293" s="33"/>
      <c r="E293" s="33"/>
      <c r="F293" s="33"/>
      <c r="G293" s="33"/>
      <c r="H293" s="139"/>
      <c r="I293" s="33"/>
      <c r="J293" s="33"/>
      <c r="K293" s="33"/>
      <c r="L293" s="33"/>
      <c r="M293" s="33"/>
      <c r="N293" s="55"/>
      <c r="O293" s="56"/>
      <c r="P293" s="54"/>
      <c r="Q293" s="27"/>
      <c r="R293" s="27"/>
      <c r="S293" s="27"/>
      <c r="T293" s="28"/>
      <c r="U293" s="27"/>
      <c r="V293" s="27"/>
      <c r="W293" s="29"/>
      <c r="X293" s="27"/>
      <c r="Y293" s="27"/>
    </row>
    <row r="294" spans="1:25" x14ac:dyDescent="0.25">
      <c r="A294" s="32"/>
      <c r="B294" s="32"/>
      <c r="C294" s="32"/>
      <c r="D294" s="32"/>
      <c r="E294" s="32"/>
      <c r="F294" s="32"/>
      <c r="G294" s="32"/>
      <c r="H294" s="138"/>
      <c r="I294" s="32"/>
      <c r="J294" s="32"/>
      <c r="K294" s="32"/>
      <c r="L294" s="32"/>
      <c r="M294" s="32"/>
      <c r="N294" s="57"/>
      <c r="O294" s="58"/>
      <c r="P294" s="53"/>
      <c r="Q294" s="25"/>
      <c r="R294" s="25"/>
      <c r="S294" s="25"/>
      <c r="T294" s="26"/>
      <c r="U294" s="25"/>
      <c r="V294" s="25"/>
      <c r="W294" s="30"/>
      <c r="X294" s="25"/>
      <c r="Y294" s="25"/>
    </row>
    <row r="295" spans="1:25" x14ac:dyDescent="0.25">
      <c r="A295" s="33"/>
      <c r="B295" s="33"/>
      <c r="C295" s="33"/>
      <c r="D295" s="33"/>
      <c r="E295" s="33"/>
      <c r="F295" s="33"/>
      <c r="G295" s="33"/>
      <c r="H295" s="139"/>
      <c r="I295" s="33"/>
      <c r="J295" s="33"/>
      <c r="K295" s="33"/>
      <c r="L295" s="33"/>
      <c r="M295" s="33"/>
      <c r="N295" s="55"/>
      <c r="O295" s="56"/>
      <c r="P295" s="54"/>
      <c r="Q295" s="27"/>
      <c r="R295" s="27"/>
      <c r="S295" s="27"/>
      <c r="T295" s="28"/>
      <c r="U295" s="27"/>
      <c r="V295" s="27"/>
      <c r="W295" s="29"/>
      <c r="X295" s="27"/>
      <c r="Y295" s="27"/>
    </row>
    <row r="296" spans="1:25" x14ac:dyDescent="0.25">
      <c r="A296" s="32"/>
      <c r="B296" s="32"/>
      <c r="C296" s="32"/>
      <c r="D296" s="32"/>
      <c r="E296" s="32"/>
      <c r="F296" s="32"/>
      <c r="G296" s="32"/>
      <c r="H296" s="138"/>
      <c r="I296" s="32"/>
      <c r="J296" s="32"/>
      <c r="K296" s="32"/>
      <c r="L296" s="32"/>
      <c r="M296" s="32"/>
      <c r="N296" s="59"/>
      <c r="O296" s="15"/>
      <c r="P296" s="60"/>
      <c r="Q296" s="11"/>
      <c r="R296" s="2"/>
      <c r="S296" s="2"/>
      <c r="T296" s="12"/>
      <c r="U296" s="3"/>
      <c r="V296" s="4"/>
      <c r="W296" s="4"/>
      <c r="X296" s="4"/>
      <c r="Y296" s="4"/>
    </row>
    <row r="297" spans="1:25" x14ac:dyDescent="0.25">
      <c r="A297" s="33"/>
      <c r="B297" s="33"/>
      <c r="C297" s="33"/>
      <c r="D297" s="33"/>
      <c r="E297" s="33"/>
      <c r="F297" s="33"/>
      <c r="G297" s="33"/>
      <c r="H297" s="139"/>
      <c r="I297" s="33"/>
      <c r="J297" s="33"/>
      <c r="K297" s="33"/>
      <c r="L297" s="33"/>
      <c r="M297" s="33"/>
      <c r="N297" s="55"/>
      <c r="O297" s="56"/>
      <c r="P297" s="54"/>
      <c r="Q297" s="27"/>
      <c r="R297" s="27"/>
      <c r="S297" s="27"/>
      <c r="T297" s="28"/>
      <c r="U297" s="27"/>
      <c r="V297" s="27"/>
      <c r="W297" s="29"/>
      <c r="X297" s="27"/>
      <c r="Y297" s="27"/>
    </row>
    <row r="298" spans="1:25" x14ac:dyDescent="0.25">
      <c r="A298" s="32"/>
      <c r="B298" s="32"/>
      <c r="C298" s="32"/>
      <c r="D298" s="32"/>
      <c r="E298" s="32"/>
      <c r="F298" s="32"/>
      <c r="G298" s="32"/>
      <c r="H298" s="138"/>
      <c r="I298" s="32"/>
      <c r="J298" s="32"/>
      <c r="K298" s="32"/>
      <c r="L298" s="32"/>
      <c r="M298" s="32"/>
      <c r="N298" s="57"/>
      <c r="O298" s="58"/>
      <c r="P298" s="53"/>
      <c r="Q298" s="25"/>
      <c r="R298" s="25"/>
      <c r="S298" s="25"/>
      <c r="T298" s="26"/>
      <c r="U298" s="25"/>
      <c r="V298" s="25"/>
      <c r="W298" s="30"/>
      <c r="X298" s="25"/>
      <c r="Y298" s="25"/>
    </row>
    <row r="299" spans="1:25" x14ac:dyDescent="0.25">
      <c r="N299" s="55"/>
      <c r="O299" s="56"/>
      <c r="P299" s="54"/>
      <c r="Q299" s="27"/>
      <c r="R299" s="27"/>
      <c r="S299" s="27"/>
      <c r="T299" s="28"/>
      <c r="U299" s="27"/>
      <c r="V299" s="27"/>
      <c r="W299" s="29"/>
      <c r="X299" s="27"/>
      <c r="Y299" s="27"/>
    </row>
    <row r="300" spans="1:25" x14ac:dyDescent="0.25">
      <c r="A300" s="32"/>
      <c r="B300" s="32"/>
      <c r="C300" s="32"/>
      <c r="D300" s="32"/>
      <c r="E300" s="32"/>
      <c r="F300" s="32"/>
      <c r="G300" s="32"/>
      <c r="H300" s="138"/>
      <c r="I300" s="32"/>
      <c r="J300" s="32"/>
      <c r="K300" s="32"/>
      <c r="L300" s="32"/>
      <c r="M300" s="32"/>
      <c r="N300" s="57"/>
      <c r="O300" s="58"/>
      <c r="P300" s="53"/>
      <c r="Q300" s="25"/>
      <c r="R300" s="25"/>
      <c r="S300" s="25"/>
      <c r="T300" s="26"/>
      <c r="U300" s="25"/>
      <c r="V300" s="25"/>
      <c r="W300" s="30"/>
      <c r="X300" s="25"/>
      <c r="Y300" s="25"/>
    </row>
    <row r="301" spans="1:25" x14ac:dyDescent="0.25">
      <c r="A301" s="33"/>
      <c r="B301" s="33"/>
      <c r="C301" s="33"/>
      <c r="D301" s="33"/>
      <c r="E301" s="33"/>
      <c r="F301" s="33"/>
      <c r="G301" s="33"/>
      <c r="H301" s="139"/>
      <c r="I301" s="33"/>
      <c r="J301" s="33"/>
      <c r="K301" s="33"/>
      <c r="L301" s="33"/>
      <c r="M301" s="33"/>
      <c r="N301" s="55"/>
      <c r="O301" s="56"/>
      <c r="P301" s="54"/>
      <c r="Q301" s="27"/>
      <c r="R301" s="27"/>
      <c r="S301" s="27"/>
      <c r="T301" s="28"/>
      <c r="U301" s="27"/>
      <c r="V301" s="27"/>
      <c r="W301" s="29"/>
      <c r="X301" s="27"/>
      <c r="Y301" s="27"/>
    </row>
    <row r="302" spans="1:25" x14ac:dyDescent="0.25">
      <c r="A302" s="32"/>
      <c r="B302" s="32"/>
      <c r="C302" s="32"/>
      <c r="D302" s="32"/>
      <c r="E302" s="32"/>
      <c r="F302" s="32"/>
      <c r="G302" s="32"/>
      <c r="H302" s="138"/>
      <c r="I302" s="32"/>
      <c r="J302" s="32"/>
      <c r="K302" s="32"/>
      <c r="L302" s="32"/>
      <c r="M302" s="32"/>
      <c r="N302" s="57"/>
      <c r="O302" s="58"/>
      <c r="P302" s="53"/>
      <c r="Q302" s="25"/>
      <c r="R302" s="25"/>
      <c r="S302" s="25"/>
      <c r="T302" s="26"/>
      <c r="U302" s="25"/>
      <c r="V302" s="25"/>
      <c r="W302" s="30"/>
      <c r="X302" s="25"/>
      <c r="Y302" s="25"/>
    </row>
    <row r="303" spans="1:25" x14ac:dyDescent="0.25">
      <c r="A303" s="33"/>
      <c r="B303" s="33"/>
      <c r="C303" s="33"/>
      <c r="D303" s="33"/>
      <c r="E303" s="33"/>
      <c r="F303" s="33"/>
      <c r="G303" s="33"/>
      <c r="H303" s="139"/>
      <c r="I303" s="33"/>
      <c r="J303" s="33"/>
      <c r="K303" s="33"/>
      <c r="L303" s="33"/>
      <c r="M303" s="33"/>
      <c r="N303" s="55"/>
      <c r="O303" s="56"/>
      <c r="P303" s="54"/>
      <c r="Q303" s="27"/>
      <c r="R303" s="27"/>
      <c r="S303" s="27"/>
      <c r="T303" s="28"/>
      <c r="U303" s="27"/>
      <c r="V303" s="27"/>
      <c r="W303" s="29"/>
      <c r="X303" s="27"/>
      <c r="Y303" s="27"/>
    </row>
    <row r="304" spans="1:25" x14ac:dyDescent="0.25">
      <c r="A304" s="32"/>
      <c r="B304" s="32"/>
      <c r="C304" s="32"/>
      <c r="D304" s="32"/>
      <c r="E304" s="32"/>
      <c r="F304" s="32"/>
      <c r="G304" s="32"/>
      <c r="H304" s="138"/>
      <c r="I304" s="32"/>
      <c r="J304" s="32"/>
      <c r="K304" s="32"/>
      <c r="L304" s="32"/>
      <c r="M304" s="32"/>
      <c r="N304" s="57"/>
      <c r="O304" s="58"/>
      <c r="P304" s="53"/>
      <c r="Q304" s="25"/>
      <c r="R304" s="25"/>
      <c r="S304" s="25"/>
      <c r="T304" s="26"/>
      <c r="U304" s="25"/>
      <c r="V304" s="25"/>
      <c r="W304" s="30"/>
      <c r="X304" s="25"/>
      <c r="Y304" s="25"/>
    </row>
    <row r="305" spans="1:25" x14ac:dyDescent="0.25">
      <c r="A305" s="33"/>
      <c r="B305" s="33"/>
      <c r="C305" s="33"/>
      <c r="D305" s="33"/>
      <c r="E305" s="33"/>
      <c r="F305" s="33"/>
      <c r="G305" s="33"/>
      <c r="H305" s="139"/>
      <c r="I305" s="33"/>
      <c r="J305" s="33"/>
      <c r="K305" s="33"/>
      <c r="L305" s="33"/>
      <c r="M305" s="33"/>
      <c r="N305" s="55"/>
      <c r="O305" s="56"/>
      <c r="P305" s="54"/>
      <c r="Q305" s="27"/>
      <c r="R305" s="27"/>
      <c r="S305" s="27"/>
      <c r="T305" s="28"/>
      <c r="U305" s="27"/>
      <c r="V305" s="27"/>
      <c r="W305" s="29"/>
      <c r="X305" s="27"/>
      <c r="Y305" s="27"/>
    </row>
    <row r="306" spans="1:25" x14ac:dyDescent="0.25">
      <c r="A306" s="32"/>
      <c r="B306" s="32"/>
      <c r="C306" s="32"/>
      <c r="D306" s="32"/>
      <c r="E306" s="32"/>
      <c r="F306" s="32"/>
      <c r="G306" s="32"/>
      <c r="H306" s="138"/>
      <c r="I306" s="32"/>
      <c r="J306" s="32"/>
      <c r="K306" s="32"/>
      <c r="L306" s="32"/>
      <c r="M306" s="32"/>
      <c r="N306" s="57"/>
      <c r="O306" s="58"/>
      <c r="P306" s="53"/>
      <c r="Q306" s="25"/>
      <c r="R306" s="25"/>
      <c r="S306" s="25"/>
      <c r="T306" s="26"/>
      <c r="U306" s="25"/>
      <c r="V306" s="25"/>
      <c r="W306" s="30"/>
      <c r="X306" s="25"/>
      <c r="Y306" s="25"/>
    </row>
    <row r="307" spans="1:25" x14ac:dyDescent="0.25">
      <c r="A307" s="32"/>
      <c r="B307" s="32"/>
      <c r="C307" s="32"/>
      <c r="D307" s="32"/>
      <c r="E307" s="32"/>
      <c r="F307" s="32"/>
      <c r="G307" s="32"/>
      <c r="H307" s="138"/>
      <c r="I307" s="32"/>
      <c r="J307" s="32"/>
      <c r="K307" s="32"/>
      <c r="L307" s="32"/>
      <c r="M307" s="32"/>
      <c r="N307" s="55"/>
      <c r="O307" s="56"/>
      <c r="P307" s="54"/>
      <c r="Q307" s="27"/>
      <c r="R307" s="27"/>
      <c r="S307" s="27"/>
      <c r="T307" s="28"/>
      <c r="U307" s="27"/>
      <c r="V307" s="27"/>
      <c r="W307" s="29"/>
      <c r="X307" s="27"/>
      <c r="Y307" s="27"/>
    </row>
    <row r="308" spans="1:25" x14ac:dyDescent="0.25">
      <c r="A308" s="33"/>
      <c r="B308" s="33"/>
      <c r="C308" s="33"/>
      <c r="D308" s="33"/>
      <c r="E308" s="33"/>
      <c r="F308" s="33"/>
      <c r="G308" s="33"/>
      <c r="H308" s="139"/>
      <c r="I308" s="33"/>
      <c r="J308" s="33"/>
      <c r="K308" s="33"/>
      <c r="L308" s="33"/>
      <c r="M308" s="33"/>
      <c r="N308" s="57"/>
      <c r="O308" s="58"/>
      <c r="P308" s="53"/>
      <c r="Q308" s="25"/>
      <c r="R308" s="25"/>
      <c r="S308" s="25"/>
      <c r="T308" s="26"/>
      <c r="U308" s="25"/>
      <c r="V308" s="25"/>
      <c r="W308" s="30"/>
      <c r="X308" s="25"/>
      <c r="Y308" s="25"/>
    </row>
    <row r="309" spans="1:25" x14ac:dyDescent="0.25">
      <c r="A309" s="32"/>
      <c r="B309" s="32"/>
      <c r="C309" s="32"/>
      <c r="D309" s="32"/>
      <c r="E309" s="32"/>
      <c r="F309" s="32"/>
      <c r="G309" s="32"/>
      <c r="H309" s="138"/>
      <c r="I309" s="32"/>
      <c r="J309" s="32"/>
      <c r="K309" s="32"/>
      <c r="L309" s="32"/>
      <c r="M309" s="32"/>
      <c r="N309" s="55"/>
      <c r="O309" s="56"/>
      <c r="P309" s="54"/>
      <c r="Q309" s="27"/>
      <c r="R309" s="27"/>
      <c r="S309" s="27"/>
      <c r="T309" s="28"/>
      <c r="U309" s="27"/>
      <c r="V309" s="27"/>
      <c r="W309" s="29"/>
      <c r="X309" s="27"/>
      <c r="Y309" s="27"/>
    </row>
    <row r="310" spans="1:25" x14ac:dyDescent="0.25">
      <c r="A310" s="33"/>
      <c r="B310" s="33"/>
      <c r="C310" s="33"/>
      <c r="D310" s="33"/>
      <c r="E310" s="33"/>
      <c r="F310" s="33"/>
      <c r="G310" s="33"/>
      <c r="H310" s="139"/>
      <c r="I310" s="33"/>
      <c r="J310" s="33"/>
      <c r="K310" s="33"/>
      <c r="L310" s="33"/>
      <c r="M310" s="33"/>
      <c r="N310" s="57"/>
      <c r="O310" s="58"/>
      <c r="P310" s="53"/>
      <c r="Q310" s="25"/>
      <c r="R310" s="25"/>
      <c r="S310" s="25"/>
      <c r="T310" s="26"/>
      <c r="U310" s="25"/>
      <c r="V310" s="25"/>
      <c r="W310" s="30"/>
      <c r="X310" s="25"/>
      <c r="Y310" s="25"/>
    </row>
    <row r="311" spans="1:25" x14ac:dyDescent="0.25">
      <c r="A311" s="32"/>
      <c r="B311" s="32"/>
      <c r="C311" s="32"/>
      <c r="D311" s="32"/>
      <c r="E311" s="32"/>
      <c r="F311" s="32"/>
      <c r="G311" s="32"/>
      <c r="H311" s="138"/>
      <c r="I311" s="32"/>
      <c r="J311" s="32"/>
      <c r="K311" s="32"/>
      <c r="L311" s="32"/>
      <c r="M311" s="32"/>
      <c r="N311" s="55"/>
      <c r="O311" s="56"/>
      <c r="P311" s="54"/>
      <c r="Q311" s="27"/>
      <c r="R311" s="27"/>
      <c r="S311" s="27"/>
      <c r="T311" s="28"/>
      <c r="U311" s="27"/>
      <c r="V311" s="27"/>
      <c r="W311" s="29"/>
      <c r="X311" s="27"/>
      <c r="Y311" s="27"/>
    </row>
    <row r="312" spans="1:25" x14ac:dyDescent="0.25">
      <c r="A312" s="33"/>
      <c r="B312" s="33"/>
      <c r="C312" s="33"/>
      <c r="D312" s="33"/>
      <c r="E312" s="33"/>
      <c r="F312" s="33"/>
      <c r="G312" s="33"/>
      <c r="H312" s="139"/>
      <c r="I312" s="33"/>
      <c r="J312" s="33"/>
      <c r="K312" s="33"/>
      <c r="L312" s="33"/>
      <c r="M312" s="33"/>
      <c r="N312" s="59"/>
      <c r="O312" s="15"/>
      <c r="P312" s="60"/>
      <c r="Q312" s="11"/>
      <c r="R312" s="2"/>
      <c r="S312" s="2"/>
      <c r="T312" s="12"/>
      <c r="U312" s="3"/>
      <c r="V312" s="4"/>
      <c r="W312" s="4"/>
      <c r="X312" s="4"/>
      <c r="Y312" s="4"/>
    </row>
    <row r="313" spans="1:25" x14ac:dyDescent="0.25">
      <c r="A313" s="32"/>
      <c r="B313" s="32"/>
      <c r="C313" s="32"/>
      <c r="D313" s="32"/>
      <c r="E313" s="32"/>
      <c r="F313" s="32"/>
      <c r="G313" s="32"/>
      <c r="H313" s="138"/>
      <c r="I313" s="32"/>
      <c r="J313" s="32"/>
      <c r="K313" s="32"/>
      <c r="L313" s="32"/>
      <c r="M313" s="32"/>
      <c r="N313" s="55"/>
      <c r="O313" s="56"/>
      <c r="P313" s="54"/>
      <c r="Q313" s="27"/>
      <c r="R313" s="27"/>
      <c r="S313" s="27"/>
      <c r="T313" s="28"/>
      <c r="U313" s="27"/>
      <c r="V313" s="27"/>
      <c r="W313" s="29"/>
      <c r="X313" s="27"/>
      <c r="Y313" s="27"/>
    </row>
    <row r="314" spans="1:25" x14ac:dyDescent="0.25">
      <c r="A314" s="33"/>
      <c r="B314" s="33"/>
      <c r="C314" s="33"/>
      <c r="D314" s="33"/>
      <c r="E314" s="33"/>
      <c r="F314" s="33"/>
      <c r="G314" s="33"/>
      <c r="H314" s="139"/>
      <c r="I314" s="33"/>
      <c r="J314" s="33"/>
      <c r="K314" s="33"/>
      <c r="L314" s="33"/>
      <c r="M314" s="33"/>
      <c r="N314" s="57"/>
      <c r="O314" s="58"/>
      <c r="P314" s="53"/>
      <c r="Q314" s="25"/>
      <c r="R314" s="25"/>
      <c r="S314" s="25"/>
      <c r="T314" s="26"/>
      <c r="U314" s="25"/>
      <c r="V314" s="25"/>
      <c r="W314" s="30"/>
      <c r="X314" s="25"/>
      <c r="Y314" s="25"/>
    </row>
    <row r="315" spans="1:25" x14ac:dyDescent="0.25">
      <c r="A315" s="32"/>
      <c r="B315" s="32"/>
      <c r="C315" s="32"/>
      <c r="D315" s="32"/>
      <c r="E315" s="32"/>
      <c r="F315" s="32"/>
      <c r="G315" s="32"/>
      <c r="H315" s="138"/>
      <c r="I315" s="32"/>
      <c r="J315" s="32"/>
      <c r="K315" s="32"/>
      <c r="L315" s="32"/>
      <c r="M315" s="32"/>
      <c r="N315" s="55"/>
      <c r="O315" s="56"/>
      <c r="P315" s="54"/>
      <c r="Q315" s="27"/>
      <c r="R315" s="27"/>
      <c r="S315" s="27"/>
      <c r="T315" s="28"/>
      <c r="U315" s="27"/>
      <c r="V315" s="27"/>
      <c r="W315" s="29"/>
      <c r="X315" s="27"/>
      <c r="Y315" s="27"/>
    </row>
    <row r="316" spans="1:25" x14ac:dyDescent="0.25">
      <c r="N316" s="57"/>
      <c r="O316" s="58"/>
      <c r="P316" s="53"/>
      <c r="Q316" s="25"/>
      <c r="R316" s="25"/>
      <c r="S316" s="25"/>
      <c r="T316" s="26"/>
      <c r="U316" s="25"/>
      <c r="V316" s="25"/>
      <c r="W316" s="30"/>
      <c r="X316" s="25"/>
      <c r="Y316" s="25"/>
    </row>
    <row r="317" spans="1:25" x14ac:dyDescent="0.25">
      <c r="A317" s="32"/>
      <c r="B317" s="32"/>
      <c r="C317" s="32"/>
      <c r="D317" s="32"/>
      <c r="E317" s="32"/>
      <c r="F317" s="32"/>
      <c r="G317" s="32"/>
      <c r="H317" s="138"/>
      <c r="I317" s="32"/>
      <c r="J317" s="32"/>
      <c r="K317" s="32"/>
      <c r="L317" s="32"/>
      <c r="M317" s="32"/>
      <c r="N317" s="55"/>
      <c r="O317" s="56"/>
      <c r="P317" s="54"/>
      <c r="Q317" s="27"/>
      <c r="R317" s="27"/>
      <c r="S317" s="27"/>
      <c r="T317" s="28"/>
      <c r="U317" s="27"/>
      <c r="V317" s="27"/>
      <c r="W317" s="29"/>
      <c r="X317" s="27"/>
      <c r="Y317" s="27"/>
    </row>
    <row r="318" spans="1:25" x14ac:dyDescent="0.25">
      <c r="A318" s="33"/>
      <c r="B318" s="33"/>
      <c r="C318" s="33"/>
      <c r="D318" s="33"/>
      <c r="E318" s="33"/>
      <c r="F318" s="33"/>
      <c r="G318" s="33"/>
      <c r="H318" s="139"/>
      <c r="I318" s="33"/>
      <c r="J318" s="33"/>
      <c r="K318" s="33"/>
      <c r="L318" s="33"/>
      <c r="M318" s="33"/>
      <c r="N318" s="57"/>
      <c r="O318" s="58"/>
      <c r="P318" s="53"/>
      <c r="Q318" s="25"/>
      <c r="R318" s="25"/>
      <c r="S318" s="25"/>
      <c r="T318" s="26"/>
      <c r="U318" s="25"/>
      <c r="V318" s="25"/>
      <c r="W318" s="30"/>
      <c r="X318" s="25"/>
      <c r="Y318" s="25"/>
    </row>
    <row r="319" spans="1:25" x14ac:dyDescent="0.25">
      <c r="A319" s="32"/>
      <c r="B319" s="32"/>
      <c r="C319" s="32"/>
      <c r="D319" s="32"/>
      <c r="E319" s="32"/>
      <c r="F319" s="32"/>
      <c r="G319" s="32"/>
      <c r="H319" s="138"/>
      <c r="I319" s="32"/>
      <c r="J319" s="32"/>
      <c r="K319" s="32"/>
      <c r="L319" s="32"/>
      <c r="M319" s="32"/>
      <c r="N319" s="55"/>
      <c r="O319" s="56"/>
      <c r="P319" s="54"/>
      <c r="Q319" s="27"/>
      <c r="R319" s="27"/>
      <c r="S319" s="27"/>
      <c r="T319" s="28"/>
      <c r="U319" s="27"/>
      <c r="V319" s="27"/>
      <c r="W319" s="29"/>
      <c r="X319" s="27"/>
      <c r="Y319" s="27"/>
    </row>
    <row r="320" spans="1:25" x14ac:dyDescent="0.25">
      <c r="A320" s="33"/>
      <c r="B320" s="33"/>
      <c r="C320" s="33"/>
      <c r="D320" s="33"/>
      <c r="E320" s="33"/>
      <c r="F320" s="33"/>
      <c r="G320" s="33"/>
      <c r="H320" s="139"/>
      <c r="I320" s="33"/>
      <c r="J320" s="33"/>
      <c r="K320" s="33"/>
      <c r="L320" s="33"/>
      <c r="M320" s="33"/>
      <c r="N320" s="57"/>
      <c r="O320" s="58"/>
      <c r="P320" s="53"/>
      <c r="Q320" s="25"/>
      <c r="R320" s="25"/>
      <c r="S320" s="25"/>
      <c r="T320" s="26"/>
      <c r="U320" s="25"/>
      <c r="V320" s="25"/>
      <c r="W320" s="30"/>
      <c r="X320" s="25"/>
      <c r="Y320" s="25"/>
    </row>
    <row r="321" spans="1:25" x14ac:dyDescent="0.25">
      <c r="A321" s="32"/>
      <c r="B321" s="32"/>
      <c r="C321" s="32"/>
      <c r="D321" s="32"/>
      <c r="E321" s="32"/>
      <c r="F321" s="32"/>
      <c r="G321" s="32"/>
      <c r="H321" s="138"/>
      <c r="I321" s="32"/>
      <c r="J321" s="32"/>
      <c r="K321" s="32"/>
      <c r="L321" s="32"/>
      <c r="M321" s="32"/>
      <c r="N321" s="55"/>
      <c r="O321" s="56"/>
      <c r="P321" s="54"/>
      <c r="Q321" s="27"/>
      <c r="R321" s="27"/>
      <c r="S321" s="27"/>
      <c r="T321" s="28"/>
      <c r="U321" s="27"/>
      <c r="V321" s="27"/>
      <c r="W321" s="29"/>
      <c r="X321" s="27"/>
      <c r="Y321" s="27"/>
    </row>
    <row r="322" spans="1:25" x14ac:dyDescent="0.25">
      <c r="A322" s="33"/>
      <c r="B322" s="33"/>
      <c r="C322" s="33"/>
      <c r="D322" s="33"/>
      <c r="E322" s="33"/>
      <c r="F322" s="33"/>
      <c r="G322" s="33"/>
      <c r="H322" s="139"/>
      <c r="I322" s="33"/>
      <c r="J322" s="33"/>
      <c r="K322" s="33"/>
      <c r="L322" s="33"/>
      <c r="M322" s="33"/>
      <c r="N322" s="57"/>
      <c r="O322" s="58"/>
      <c r="P322" s="53"/>
      <c r="Q322" s="25"/>
      <c r="R322" s="25"/>
      <c r="S322" s="25"/>
      <c r="T322" s="26"/>
      <c r="U322" s="25"/>
      <c r="V322" s="25"/>
      <c r="W322" s="30"/>
      <c r="X322" s="25"/>
      <c r="Y322" s="25"/>
    </row>
    <row r="323" spans="1:25" x14ac:dyDescent="0.25">
      <c r="A323" s="32"/>
      <c r="B323" s="32"/>
      <c r="C323" s="32"/>
      <c r="D323" s="32"/>
      <c r="E323" s="32"/>
      <c r="F323" s="32"/>
      <c r="G323" s="32"/>
      <c r="H323" s="138"/>
      <c r="I323" s="32"/>
      <c r="J323" s="32"/>
      <c r="K323" s="32"/>
      <c r="L323" s="32"/>
      <c r="M323" s="32"/>
      <c r="N323" s="55"/>
      <c r="O323" s="56"/>
      <c r="P323" s="54"/>
      <c r="Q323" s="27"/>
      <c r="R323" s="27"/>
      <c r="S323" s="27"/>
      <c r="T323" s="28"/>
      <c r="U323" s="27"/>
      <c r="V323" s="27"/>
      <c r="W323" s="29"/>
      <c r="X323" s="27"/>
      <c r="Y323" s="27"/>
    </row>
    <row r="324" spans="1:25" x14ac:dyDescent="0.25">
      <c r="A324" s="32"/>
      <c r="B324" s="32"/>
      <c r="C324" s="32"/>
      <c r="D324" s="32"/>
      <c r="E324" s="32"/>
      <c r="F324" s="32"/>
      <c r="G324" s="32"/>
      <c r="H324" s="138"/>
      <c r="I324" s="32"/>
      <c r="J324" s="32"/>
      <c r="K324" s="32"/>
      <c r="L324" s="32"/>
      <c r="M324" s="32"/>
      <c r="N324" s="57"/>
      <c r="O324" s="58"/>
      <c r="P324" s="53"/>
      <c r="Q324" s="25"/>
      <c r="R324" s="25"/>
      <c r="S324" s="25"/>
      <c r="T324" s="26"/>
      <c r="U324" s="25"/>
      <c r="V324" s="25"/>
      <c r="W324" s="30"/>
      <c r="X324" s="25"/>
      <c r="Y324" s="25"/>
    </row>
    <row r="325" spans="1:25" x14ac:dyDescent="0.25">
      <c r="A325" s="33"/>
      <c r="B325" s="33"/>
      <c r="C325" s="33"/>
      <c r="D325" s="33"/>
      <c r="E325" s="33"/>
      <c r="F325" s="33"/>
      <c r="G325" s="33"/>
      <c r="H325" s="139"/>
      <c r="I325" s="33"/>
      <c r="J325" s="33"/>
      <c r="K325" s="33"/>
      <c r="L325" s="33"/>
      <c r="M325" s="33"/>
      <c r="N325" s="55"/>
      <c r="O325" s="56"/>
      <c r="P325" s="54"/>
      <c r="Q325" s="27"/>
      <c r="R325" s="27"/>
      <c r="S325" s="27"/>
      <c r="T325" s="28"/>
      <c r="U325" s="27"/>
      <c r="V325" s="27"/>
      <c r="W325" s="29"/>
      <c r="X325" s="27"/>
      <c r="Y325" s="27"/>
    </row>
    <row r="326" spans="1:25" x14ac:dyDescent="0.25">
      <c r="A326" s="32"/>
      <c r="B326" s="32"/>
      <c r="C326" s="32"/>
      <c r="D326" s="32"/>
      <c r="E326" s="32"/>
      <c r="F326" s="32"/>
      <c r="G326" s="32"/>
      <c r="H326" s="138"/>
      <c r="I326" s="32"/>
      <c r="J326" s="32"/>
      <c r="K326" s="32"/>
      <c r="L326" s="32"/>
      <c r="M326" s="32"/>
      <c r="N326" s="57"/>
      <c r="O326" s="58"/>
      <c r="P326" s="53"/>
      <c r="Q326" s="25"/>
      <c r="R326" s="25"/>
      <c r="S326" s="25"/>
      <c r="T326" s="26"/>
      <c r="U326" s="25"/>
      <c r="V326" s="25"/>
      <c r="W326" s="30"/>
      <c r="X326" s="25"/>
      <c r="Y326" s="25"/>
    </row>
    <row r="327" spans="1:25" x14ac:dyDescent="0.25">
      <c r="A327" s="33"/>
      <c r="B327" s="33"/>
      <c r="C327" s="33"/>
      <c r="D327" s="33"/>
      <c r="E327" s="33"/>
      <c r="F327" s="33"/>
      <c r="G327" s="33"/>
      <c r="H327" s="139"/>
      <c r="I327" s="33"/>
      <c r="J327" s="33"/>
      <c r="K327" s="33"/>
      <c r="L327" s="33"/>
      <c r="M327" s="33"/>
      <c r="N327" s="55"/>
      <c r="O327" s="56"/>
      <c r="P327" s="54"/>
      <c r="Q327" s="27"/>
      <c r="R327" s="27"/>
      <c r="S327" s="27"/>
      <c r="T327" s="28"/>
      <c r="U327" s="27"/>
      <c r="V327" s="27"/>
      <c r="W327" s="29"/>
      <c r="X327" s="27"/>
      <c r="Y327" s="27"/>
    </row>
    <row r="328" spans="1:25" x14ac:dyDescent="0.25">
      <c r="A328" s="32"/>
      <c r="B328" s="32"/>
      <c r="C328" s="32"/>
      <c r="D328" s="32"/>
      <c r="E328" s="32"/>
      <c r="F328" s="32"/>
      <c r="G328" s="32"/>
      <c r="H328" s="138"/>
      <c r="I328" s="32"/>
      <c r="J328" s="32"/>
      <c r="K328" s="32"/>
      <c r="L328" s="32"/>
      <c r="M328" s="32"/>
      <c r="N328" s="59"/>
      <c r="O328" s="15"/>
      <c r="P328" s="60"/>
      <c r="Q328" s="11"/>
      <c r="R328" s="2"/>
      <c r="S328" s="2"/>
      <c r="T328" s="12"/>
      <c r="U328" s="3"/>
      <c r="V328" s="4"/>
      <c r="W328" s="4"/>
      <c r="X328" s="4"/>
      <c r="Y328" s="4"/>
    </row>
    <row r="329" spans="1:25" x14ac:dyDescent="0.25">
      <c r="A329" s="33"/>
      <c r="B329" s="33"/>
      <c r="C329" s="33"/>
      <c r="D329" s="33"/>
      <c r="E329" s="33"/>
      <c r="F329" s="33"/>
      <c r="G329" s="33"/>
      <c r="H329" s="139"/>
      <c r="I329" s="33"/>
      <c r="J329" s="33"/>
      <c r="K329" s="33"/>
      <c r="L329" s="33"/>
      <c r="M329" s="33"/>
      <c r="N329" s="55"/>
      <c r="O329" s="56"/>
      <c r="P329" s="54"/>
      <c r="Q329" s="27"/>
      <c r="R329" s="27"/>
      <c r="S329" s="27"/>
      <c r="T329" s="28"/>
      <c r="U329" s="27"/>
      <c r="V329" s="27"/>
      <c r="W329" s="29"/>
      <c r="X329" s="27"/>
      <c r="Y329" s="27"/>
    </row>
    <row r="330" spans="1:25" x14ac:dyDescent="0.25">
      <c r="A330" s="32"/>
      <c r="B330" s="32"/>
      <c r="C330" s="32"/>
      <c r="D330" s="32"/>
      <c r="E330" s="32"/>
      <c r="F330" s="32"/>
      <c r="G330" s="32"/>
      <c r="H330" s="138"/>
      <c r="I330" s="32"/>
      <c r="J330" s="32"/>
      <c r="K330" s="32"/>
      <c r="L330" s="32"/>
      <c r="M330" s="32"/>
      <c r="N330" s="57"/>
      <c r="O330" s="58"/>
      <c r="P330" s="53"/>
      <c r="Q330" s="25"/>
      <c r="R330" s="25"/>
      <c r="S330" s="25"/>
      <c r="T330" s="26"/>
      <c r="U330" s="25"/>
      <c r="V330" s="25"/>
      <c r="W330" s="30"/>
      <c r="X330" s="25"/>
      <c r="Y330" s="25"/>
    </row>
    <row r="331" spans="1:25" x14ac:dyDescent="0.25">
      <c r="A331" s="33"/>
      <c r="B331" s="33"/>
      <c r="C331" s="33"/>
      <c r="D331" s="33"/>
      <c r="E331" s="33"/>
      <c r="F331" s="33"/>
      <c r="G331" s="33"/>
      <c r="H331" s="139"/>
      <c r="I331" s="33"/>
      <c r="J331" s="33"/>
      <c r="K331" s="33"/>
      <c r="L331" s="33"/>
      <c r="M331" s="33"/>
      <c r="N331" s="55"/>
      <c r="O331" s="56"/>
      <c r="P331" s="54"/>
      <c r="Q331" s="27"/>
      <c r="R331" s="27"/>
      <c r="S331" s="27"/>
      <c r="T331" s="28"/>
      <c r="U331" s="27"/>
      <c r="V331" s="27"/>
      <c r="W331" s="29"/>
      <c r="X331" s="27"/>
      <c r="Y331" s="27"/>
    </row>
    <row r="332" spans="1:25" x14ac:dyDescent="0.25">
      <c r="A332" s="32"/>
      <c r="B332" s="32"/>
      <c r="C332" s="32"/>
      <c r="D332" s="32"/>
      <c r="E332" s="32"/>
      <c r="F332" s="32"/>
      <c r="G332" s="32"/>
      <c r="H332" s="138"/>
      <c r="I332" s="32"/>
      <c r="J332" s="32"/>
      <c r="K332" s="32"/>
      <c r="L332" s="32"/>
      <c r="M332" s="32"/>
      <c r="N332" s="57"/>
      <c r="O332" s="58"/>
      <c r="P332" s="53"/>
      <c r="Q332" s="25"/>
      <c r="R332" s="25"/>
      <c r="S332" s="25"/>
      <c r="T332" s="26"/>
      <c r="U332" s="25"/>
      <c r="V332" s="25"/>
      <c r="W332" s="30"/>
      <c r="X332" s="25"/>
      <c r="Y332" s="25"/>
    </row>
    <row r="333" spans="1:25" x14ac:dyDescent="0.25">
      <c r="N333" s="55"/>
      <c r="O333" s="56"/>
      <c r="P333" s="54"/>
      <c r="Q333" s="27"/>
      <c r="R333" s="27"/>
      <c r="S333" s="27"/>
      <c r="T333" s="28"/>
      <c r="U333" s="27"/>
      <c r="V333" s="27"/>
      <c r="W333" s="29"/>
      <c r="X333" s="27"/>
      <c r="Y333" s="27"/>
    </row>
    <row r="334" spans="1:25" x14ac:dyDescent="0.25">
      <c r="A334" s="32"/>
      <c r="B334" s="32"/>
      <c r="C334" s="32"/>
      <c r="D334" s="32"/>
      <c r="E334" s="32"/>
      <c r="F334" s="32"/>
      <c r="G334" s="32"/>
      <c r="H334" s="138"/>
      <c r="I334" s="32"/>
      <c r="J334" s="32"/>
      <c r="K334" s="32"/>
      <c r="L334" s="32"/>
      <c r="M334" s="32"/>
      <c r="N334" s="57"/>
      <c r="O334" s="58"/>
      <c r="P334" s="53"/>
      <c r="Q334" s="25"/>
      <c r="R334" s="25"/>
      <c r="S334" s="25"/>
      <c r="T334" s="26"/>
      <c r="U334" s="25"/>
      <c r="V334" s="25"/>
      <c r="W334" s="30"/>
      <c r="X334" s="25"/>
      <c r="Y334" s="25"/>
    </row>
    <row r="335" spans="1:25" x14ac:dyDescent="0.25">
      <c r="A335" s="33"/>
      <c r="B335" s="33"/>
      <c r="C335" s="33"/>
      <c r="D335" s="33"/>
      <c r="E335" s="33"/>
      <c r="F335" s="33"/>
      <c r="G335" s="33"/>
      <c r="H335" s="139"/>
      <c r="I335" s="33"/>
      <c r="J335" s="33"/>
      <c r="K335" s="33"/>
      <c r="L335" s="33"/>
      <c r="M335" s="33"/>
      <c r="N335" s="55"/>
      <c r="O335" s="56"/>
      <c r="P335" s="54"/>
      <c r="Q335" s="27"/>
      <c r="R335" s="27"/>
      <c r="S335" s="27"/>
      <c r="T335" s="28"/>
      <c r="U335" s="27"/>
      <c r="V335" s="27"/>
      <c r="W335" s="29"/>
      <c r="X335" s="27"/>
      <c r="Y335" s="27"/>
    </row>
    <row r="336" spans="1:25" x14ac:dyDescent="0.25">
      <c r="A336" s="32"/>
      <c r="B336" s="32"/>
      <c r="C336" s="32"/>
      <c r="D336" s="32"/>
      <c r="E336" s="32"/>
      <c r="F336" s="32"/>
      <c r="G336" s="32"/>
      <c r="H336" s="138"/>
      <c r="I336" s="32"/>
      <c r="J336" s="32"/>
      <c r="K336" s="32"/>
      <c r="L336" s="32"/>
      <c r="M336" s="32"/>
      <c r="N336" s="57"/>
      <c r="O336" s="58"/>
      <c r="P336" s="53"/>
      <c r="Q336" s="25"/>
      <c r="R336" s="25"/>
      <c r="S336" s="25"/>
      <c r="T336" s="26"/>
      <c r="U336" s="25"/>
      <c r="V336" s="25"/>
      <c r="W336" s="30"/>
      <c r="X336" s="25"/>
      <c r="Y336" s="25"/>
    </row>
    <row r="337" spans="1:25" x14ac:dyDescent="0.25">
      <c r="A337" s="33"/>
      <c r="B337" s="33"/>
      <c r="C337" s="33"/>
      <c r="D337" s="33"/>
      <c r="E337" s="33"/>
      <c r="F337" s="33"/>
      <c r="G337" s="33"/>
      <c r="H337" s="139"/>
      <c r="I337" s="33"/>
      <c r="J337" s="33"/>
      <c r="K337" s="33"/>
      <c r="L337" s="33"/>
      <c r="M337" s="33"/>
      <c r="N337" s="55"/>
      <c r="O337" s="56"/>
      <c r="P337" s="54"/>
      <c r="Q337" s="27"/>
      <c r="R337" s="27"/>
      <c r="S337" s="27"/>
      <c r="T337" s="28"/>
      <c r="U337" s="27"/>
      <c r="V337" s="27"/>
      <c r="W337" s="29"/>
      <c r="X337" s="27"/>
      <c r="Y337" s="27"/>
    </row>
    <row r="338" spans="1:25" x14ac:dyDescent="0.25">
      <c r="A338" s="32"/>
      <c r="B338" s="32"/>
      <c r="C338" s="32"/>
      <c r="D338" s="32"/>
      <c r="E338" s="32"/>
      <c r="F338" s="32"/>
      <c r="G338" s="32"/>
      <c r="H338" s="138"/>
      <c r="I338" s="32"/>
      <c r="J338" s="32"/>
      <c r="K338" s="32"/>
      <c r="L338" s="32"/>
      <c r="M338" s="32"/>
      <c r="N338" s="57"/>
      <c r="O338" s="58"/>
      <c r="P338" s="53"/>
      <c r="Q338" s="25"/>
      <c r="R338" s="25"/>
      <c r="S338" s="25"/>
      <c r="T338" s="26"/>
      <c r="U338" s="25"/>
      <c r="V338" s="25"/>
      <c r="W338" s="30"/>
      <c r="X338" s="25"/>
      <c r="Y338" s="25"/>
    </row>
    <row r="339" spans="1:25" x14ac:dyDescent="0.25">
      <c r="A339" s="33"/>
      <c r="B339" s="33"/>
      <c r="C339" s="33"/>
      <c r="D339" s="33"/>
      <c r="E339" s="33"/>
      <c r="F339" s="33"/>
      <c r="G339" s="33"/>
      <c r="H339" s="139"/>
      <c r="I339" s="33"/>
      <c r="J339" s="33"/>
      <c r="K339" s="33"/>
      <c r="L339" s="33"/>
      <c r="M339" s="33"/>
      <c r="N339" s="55"/>
      <c r="O339" s="56"/>
      <c r="P339" s="54"/>
      <c r="Q339" s="27"/>
      <c r="R339" s="27"/>
      <c r="S339" s="27"/>
      <c r="T339" s="28"/>
      <c r="U339" s="27"/>
      <c r="V339" s="27"/>
      <c r="W339" s="29"/>
      <c r="X339" s="27"/>
      <c r="Y339" s="27"/>
    </row>
    <row r="340" spans="1:25" x14ac:dyDescent="0.25">
      <c r="A340" s="32"/>
      <c r="B340" s="32"/>
      <c r="C340" s="32"/>
      <c r="D340" s="32"/>
      <c r="E340" s="32"/>
      <c r="F340" s="32"/>
      <c r="G340" s="32"/>
      <c r="H340" s="138"/>
      <c r="I340" s="32"/>
      <c r="J340" s="32"/>
      <c r="K340" s="32"/>
      <c r="L340" s="32"/>
      <c r="M340" s="32"/>
      <c r="N340" s="57"/>
      <c r="O340" s="58"/>
      <c r="P340" s="53"/>
      <c r="Q340" s="25"/>
      <c r="R340" s="25"/>
      <c r="S340" s="25"/>
      <c r="T340" s="26"/>
      <c r="U340" s="25"/>
      <c r="V340" s="25"/>
      <c r="W340" s="30"/>
      <c r="X340" s="25"/>
      <c r="Y340" s="25"/>
    </row>
    <row r="341" spans="1:25" x14ac:dyDescent="0.25">
      <c r="A341" s="32"/>
      <c r="B341" s="32"/>
      <c r="C341" s="32"/>
      <c r="D341" s="32"/>
      <c r="E341" s="32"/>
      <c r="F341" s="32"/>
      <c r="G341" s="32"/>
      <c r="H341" s="138"/>
      <c r="I341" s="32"/>
      <c r="J341" s="32"/>
      <c r="K341" s="32"/>
      <c r="L341" s="32"/>
      <c r="M341" s="32"/>
      <c r="N341" s="55"/>
      <c r="O341" s="56"/>
      <c r="P341" s="54"/>
      <c r="Q341" s="27"/>
      <c r="R341" s="27"/>
      <c r="S341" s="27"/>
      <c r="T341" s="28"/>
      <c r="U341" s="27"/>
      <c r="V341" s="27"/>
      <c r="W341" s="29"/>
      <c r="X341" s="27"/>
      <c r="Y341" s="27"/>
    </row>
    <row r="342" spans="1:25" x14ac:dyDescent="0.25">
      <c r="A342" s="33"/>
      <c r="B342" s="33"/>
      <c r="C342" s="33"/>
      <c r="D342" s="33"/>
      <c r="E342" s="33"/>
      <c r="F342" s="33"/>
      <c r="G342" s="33"/>
      <c r="H342" s="139"/>
      <c r="I342" s="33"/>
      <c r="J342" s="33"/>
      <c r="K342" s="33"/>
      <c r="L342" s="33"/>
      <c r="M342" s="33"/>
      <c r="N342" s="57"/>
      <c r="O342" s="58"/>
      <c r="P342" s="53"/>
      <c r="Q342" s="25"/>
      <c r="R342" s="25"/>
      <c r="S342" s="25"/>
      <c r="T342" s="26"/>
      <c r="U342" s="25"/>
      <c r="V342" s="25"/>
      <c r="W342" s="30"/>
      <c r="X342" s="25"/>
      <c r="Y342" s="25"/>
    </row>
    <row r="343" spans="1:25" x14ac:dyDescent="0.25">
      <c r="A343" s="32"/>
      <c r="B343" s="32"/>
      <c r="C343" s="32"/>
      <c r="D343" s="32"/>
      <c r="E343" s="32"/>
      <c r="F343" s="32"/>
      <c r="G343" s="32"/>
      <c r="H343" s="138"/>
      <c r="I343" s="32"/>
      <c r="J343" s="32"/>
      <c r="K343" s="32"/>
      <c r="L343" s="32"/>
      <c r="M343" s="32"/>
      <c r="N343" s="55"/>
      <c r="O343" s="56"/>
      <c r="P343" s="54"/>
      <c r="Q343" s="27"/>
      <c r="R343" s="27"/>
      <c r="S343" s="27"/>
      <c r="T343" s="28"/>
      <c r="U343" s="27"/>
      <c r="V343" s="27"/>
      <c r="W343" s="29"/>
      <c r="X343" s="27"/>
      <c r="Y343" s="27"/>
    </row>
    <row r="344" spans="1:25" x14ac:dyDescent="0.25">
      <c r="A344" s="33"/>
      <c r="B344" s="33"/>
      <c r="C344" s="33"/>
      <c r="D344" s="33"/>
      <c r="E344" s="33"/>
      <c r="F344" s="33"/>
      <c r="G344" s="33"/>
      <c r="H344" s="139"/>
      <c r="I344" s="33"/>
      <c r="J344" s="33"/>
      <c r="K344" s="33"/>
      <c r="L344" s="33"/>
      <c r="M344" s="33"/>
      <c r="N344" s="59"/>
      <c r="O344" s="15"/>
      <c r="P344" s="60"/>
      <c r="Q344" s="11"/>
      <c r="R344" s="2"/>
      <c r="S344" s="2"/>
      <c r="T344" s="12"/>
      <c r="U344" s="3"/>
      <c r="V344" s="4"/>
      <c r="W344" s="4"/>
      <c r="X344" s="4"/>
      <c r="Y344" s="4"/>
    </row>
    <row r="345" spans="1:25" x14ac:dyDescent="0.25">
      <c r="A345" s="32"/>
      <c r="B345" s="32"/>
      <c r="C345" s="32"/>
      <c r="D345" s="32"/>
      <c r="E345" s="32"/>
      <c r="F345" s="32"/>
      <c r="G345" s="32"/>
      <c r="H345" s="138"/>
      <c r="I345" s="32"/>
      <c r="J345" s="32"/>
      <c r="K345" s="32"/>
      <c r="L345" s="32"/>
      <c r="M345" s="32"/>
      <c r="N345" s="55"/>
      <c r="O345" s="56"/>
      <c r="P345" s="54"/>
      <c r="Q345" s="27"/>
      <c r="R345" s="27"/>
      <c r="S345" s="27"/>
      <c r="T345" s="28"/>
      <c r="U345" s="27"/>
      <c r="V345" s="27"/>
      <c r="W345" s="29"/>
      <c r="X345" s="27"/>
      <c r="Y345" s="27"/>
    </row>
    <row r="346" spans="1:25" x14ac:dyDescent="0.25">
      <c r="A346" s="33"/>
      <c r="B346" s="33"/>
      <c r="C346" s="33"/>
      <c r="D346" s="33"/>
      <c r="E346" s="33"/>
      <c r="F346" s="33"/>
      <c r="G346" s="33"/>
      <c r="H346" s="139"/>
      <c r="I346" s="33"/>
      <c r="J346" s="33"/>
      <c r="K346" s="33"/>
      <c r="L346" s="33"/>
      <c r="M346" s="33"/>
      <c r="N346" s="57"/>
      <c r="O346" s="58"/>
      <c r="P346" s="53"/>
      <c r="Q346" s="25"/>
      <c r="R346" s="25"/>
      <c r="S346" s="25"/>
      <c r="T346" s="26"/>
      <c r="U346" s="25"/>
      <c r="V346" s="25"/>
      <c r="W346" s="30"/>
      <c r="X346" s="25"/>
      <c r="Y346" s="25"/>
    </row>
    <row r="347" spans="1:25" x14ac:dyDescent="0.25">
      <c r="A347" s="32"/>
      <c r="B347" s="32"/>
      <c r="C347" s="32"/>
      <c r="D347" s="32"/>
      <c r="E347" s="32"/>
      <c r="F347" s="32"/>
      <c r="G347" s="32"/>
      <c r="H347" s="138"/>
      <c r="I347" s="32"/>
      <c r="J347" s="32"/>
      <c r="K347" s="32"/>
      <c r="L347" s="32"/>
      <c r="M347" s="32"/>
      <c r="N347" s="55"/>
      <c r="O347" s="56"/>
      <c r="P347" s="54"/>
      <c r="Q347" s="27"/>
      <c r="R347" s="27"/>
      <c r="S347" s="27"/>
      <c r="T347" s="28"/>
      <c r="U347" s="27"/>
      <c r="V347" s="27"/>
      <c r="W347" s="29"/>
      <c r="X347" s="27"/>
      <c r="Y347" s="27"/>
    </row>
    <row r="348" spans="1:25" x14ac:dyDescent="0.25">
      <c r="A348" s="33"/>
      <c r="B348" s="33"/>
      <c r="C348" s="33"/>
      <c r="D348" s="33"/>
      <c r="E348" s="33"/>
      <c r="F348" s="33"/>
      <c r="G348" s="33"/>
      <c r="H348" s="139"/>
      <c r="I348" s="33"/>
      <c r="J348" s="33"/>
      <c r="K348" s="33"/>
      <c r="L348" s="33"/>
      <c r="M348" s="33"/>
      <c r="N348" s="57"/>
      <c r="O348" s="58"/>
      <c r="P348" s="53"/>
      <c r="Q348" s="25"/>
      <c r="R348" s="25"/>
      <c r="S348" s="25"/>
      <c r="T348" s="26"/>
      <c r="U348" s="25"/>
      <c r="V348" s="25"/>
      <c r="W348" s="30"/>
      <c r="X348" s="25"/>
      <c r="Y348" s="25"/>
    </row>
    <row r="349" spans="1:25" x14ac:dyDescent="0.25">
      <c r="A349" s="32"/>
      <c r="B349" s="32"/>
      <c r="C349" s="32"/>
      <c r="D349" s="32"/>
      <c r="E349" s="32"/>
      <c r="F349" s="32"/>
      <c r="G349" s="32"/>
      <c r="H349" s="138"/>
      <c r="I349" s="32"/>
      <c r="J349" s="32"/>
      <c r="K349" s="32"/>
      <c r="L349" s="32"/>
      <c r="M349" s="32"/>
      <c r="N349" s="55"/>
      <c r="O349" s="56"/>
      <c r="P349" s="54"/>
      <c r="Q349" s="27"/>
      <c r="R349" s="27"/>
      <c r="S349" s="27"/>
      <c r="T349" s="28"/>
      <c r="U349" s="27"/>
      <c r="V349" s="27"/>
      <c r="W349" s="29"/>
      <c r="X349" s="27"/>
      <c r="Y349" s="27"/>
    </row>
    <row r="350" spans="1:25" x14ac:dyDescent="0.25">
      <c r="N350" s="57"/>
      <c r="O350" s="58"/>
      <c r="P350" s="53"/>
      <c r="Q350" s="25"/>
      <c r="R350" s="25"/>
      <c r="S350" s="25"/>
      <c r="T350" s="26"/>
      <c r="U350" s="25"/>
      <c r="V350" s="25"/>
      <c r="W350" s="30"/>
      <c r="X350" s="25"/>
      <c r="Y350" s="25"/>
    </row>
    <row r="351" spans="1:25" x14ac:dyDescent="0.25">
      <c r="A351" s="32"/>
      <c r="B351" s="32"/>
      <c r="C351" s="32"/>
      <c r="D351" s="32"/>
      <c r="E351" s="32"/>
      <c r="F351" s="32"/>
      <c r="G351" s="32"/>
      <c r="H351" s="138"/>
      <c r="I351" s="32"/>
      <c r="J351" s="32"/>
      <c r="K351" s="32"/>
      <c r="L351" s="32"/>
      <c r="M351" s="32"/>
      <c r="N351" s="55"/>
      <c r="O351" s="56"/>
      <c r="P351" s="54"/>
      <c r="Q351" s="27"/>
      <c r="R351" s="27"/>
      <c r="S351" s="27"/>
      <c r="T351" s="28"/>
      <c r="U351" s="27"/>
      <c r="V351" s="27"/>
      <c r="W351" s="29"/>
      <c r="X351" s="27"/>
      <c r="Y351" s="27"/>
    </row>
    <row r="352" spans="1:25" x14ac:dyDescent="0.25">
      <c r="A352" s="33"/>
      <c r="B352" s="33"/>
      <c r="C352" s="33"/>
      <c r="D352" s="33"/>
      <c r="E352" s="33"/>
      <c r="F352" s="33"/>
      <c r="G352" s="33"/>
      <c r="H352" s="139"/>
      <c r="I352" s="33"/>
      <c r="J352" s="33"/>
      <c r="K352" s="33"/>
      <c r="L352" s="33"/>
      <c r="M352" s="33"/>
      <c r="N352" s="57"/>
      <c r="O352" s="58"/>
      <c r="P352" s="53"/>
      <c r="Q352" s="25"/>
      <c r="R352" s="25"/>
      <c r="S352" s="25"/>
      <c r="T352" s="26"/>
      <c r="U352" s="25"/>
      <c r="V352" s="25"/>
      <c r="W352" s="30"/>
      <c r="X352" s="25"/>
      <c r="Y352" s="25"/>
    </row>
    <row r="353" spans="1:25" x14ac:dyDescent="0.25">
      <c r="A353" s="32"/>
      <c r="B353" s="32"/>
      <c r="C353" s="32"/>
      <c r="D353" s="32"/>
      <c r="E353" s="32"/>
      <c r="F353" s="32"/>
      <c r="G353" s="32"/>
      <c r="H353" s="138"/>
      <c r="I353" s="32"/>
      <c r="J353" s="32"/>
      <c r="K353" s="32"/>
      <c r="L353" s="32"/>
      <c r="M353" s="32"/>
      <c r="N353" s="55"/>
      <c r="O353" s="56"/>
      <c r="P353" s="54"/>
      <c r="Q353" s="27"/>
      <c r="R353" s="27"/>
      <c r="S353" s="27"/>
      <c r="T353" s="28"/>
      <c r="U353" s="27"/>
      <c r="V353" s="27"/>
      <c r="W353" s="29"/>
      <c r="X353" s="27"/>
      <c r="Y353" s="27"/>
    </row>
    <row r="354" spans="1:25" x14ac:dyDescent="0.25">
      <c r="A354" s="33"/>
      <c r="B354" s="33"/>
      <c r="C354" s="33"/>
      <c r="D354" s="33"/>
      <c r="E354" s="33"/>
      <c r="F354" s="33"/>
      <c r="G354" s="33"/>
      <c r="H354" s="139"/>
      <c r="I354" s="33"/>
      <c r="J354" s="33"/>
      <c r="K354" s="33"/>
      <c r="L354" s="33"/>
      <c r="M354" s="33"/>
      <c r="N354" s="57"/>
      <c r="O354" s="58"/>
      <c r="P354" s="53"/>
      <c r="Q354" s="25"/>
      <c r="R354" s="25"/>
      <c r="S354" s="25"/>
      <c r="T354" s="26"/>
      <c r="U354" s="25"/>
      <c r="V354" s="25"/>
      <c r="W354" s="30"/>
      <c r="X354" s="25"/>
      <c r="Y354" s="25"/>
    </row>
    <row r="355" spans="1:25" x14ac:dyDescent="0.25">
      <c r="A355" s="32"/>
      <c r="B355" s="32"/>
      <c r="C355" s="32"/>
      <c r="D355" s="32"/>
      <c r="E355" s="32"/>
      <c r="F355" s="32"/>
      <c r="G355" s="32"/>
      <c r="H355" s="138"/>
      <c r="I355" s="32"/>
      <c r="J355" s="32"/>
      <c r="K355" s="32"/>
      <c r="L355" s="32"/>
      <c r="M355" s="32"/>
      <c r="N355" s="55"/>
      <c r="O355" s="56"/>
      <c r="P355" s="54"/>
      <c r="Q355" s="27"/>
      <c r="R355" s="27"/>
      <c r="S355" s="27"/>
      <c r="T355" s="28"/>
      <c r="U355" s="27"/>
      <c r="V355" s="27"/>
      <c r="W355" s="29"/>
      <c r="X355" s="27"/>
      <c r="Y355" s="27"/>
    </row>
    <row r="356" spans="1:25" x14ac:dyDescent="0.25">
      <c r="A356" s="33"/>
      <c r="B356" s="33"/>
      <c r="C356" s="33"/>
      <c r="D356" s="33"/>
      <c r="E356" s="33"/>
      <c r="F356" s="33"/>
      <c r="G356" s="33"/>
      <c r="H356" s="139"/>
      <c r="I356" s="33"/>
      <c r="J356" s="33"/>
      <c r="K356" s="33"/>
      <c r="L356" s="33"/>
      <c r="M356" s="33"/>
      <c r="N356" s="57"/>
      <c r="O356" s="58"/>
      <c r="P356" s="53"/>
      <c r="Q356" s="25"/>
      <c r="R356" s="25"/>
      <c r="S356" s="25"/>
      <c r="T356" s="26"/>
      <c r="U356" s="25"/>
      <c r="V356" s="25"/>
      <c r="W356" s="30"/>
      <c r="X356" s="25"/>
      <c r="Y356" s="25"/>
    </row>
    <row r="357" spans="1:25" x14ac:dyDescent="0.25">
      <c r="A357" s="32"/>
      <c r="B357" s="32"/>
      <c r="C357" s="32"/>
      <c r="D357" s="32"/>
      <c r="E357" s="32"/>
      <c r="F357" s="32"/>
      <c r="G357" s="32"/>
      <c r="H357" s="138"/>
      <c r="I357" s="32"/>
      <c r="J357" s="32"/>
      <c r="K357" s="32"/>
      <c r="L357" s="32"/>
      <c r="M357" s="32"/>
      <c r="N357" s="55"/>
      <c r="O357" s="56"/>
      <c r="P357" s="54"/>
      <c r="Q357" s="27"/>
      <c r="R357" s="27"/>
      <c r="S357" s="27"/>
      <c r="T357" s="28"/>
      <c r="U357" s="27"/>
      <c r="V357" s="27"/>
      <c r="W357" s="29"/>
      <c r="X357" s="27"/>
      <c r="Y357" s="27"/>
    </row>
    <row r="358" spans="1:25" x14ac:dyDescent="0.25">
      <c r="A358" s="32"/>
      <c r="B358" s="32"/>
      <c r="C358" s="32"/>
      <c r="D358" s="32"/>
      <c r="E358" s="32"/>
      <c r="F358" s="32"/>
      <c r="G358" s="32"/>
      <c r="H358" s="138"/>
      <c r="I358" s="32"/>
      <c r="J358" s="32"/>
      <c r="K358" s="32"/>
      <c r="L358" s="32"/>
      <c r="M358" s="32"/>
      <c r="N358" s="57"/>
      <c r="O358" s="58"/>
      <c r="P358" s="53"/>
      <c r="Q358" s="25"/>
      <c r="R358" s="25"/>
      <c r="S358" s="25"/>
      <c r="T358" s="26"/>
      <c r="U358" s="25"/>
      <c r="V358" s="25"/>
      <c r="W358" s="30"/>
      <c r="X358" s="25"/>
      <c r="Y358" s="25"/>
    </row>
    <row r="359" spans="1:25" x14ac:dyDescent="0.25">
      <c r="A359" s="33"/>
      <c r="B359" s="33"/>
      <c r="C359" s="33"/>
      <c r="D359" s="33"/>
      <c r="E359" s="33"/>
      <c r="F359" s="33"/>
      <c r="G359" s="33"/>
      <c r="H359" s="139"/>
      <c r="I359" s="33"/>
      <c r="J359" s="33"/>
      <c r="K359" s="33"/>
      <c r="L359" s="33"/>
      <c r="M359" s="33"/>
      <c r="N359" s="55"/>
      <c r="O359" s="56"/>
      <c r="P359" s="54"/>
      <c r="Q359" s="27"/>
      <c r="R359" s="27"/>
      <c r="S359" s="27"/>
      <c r="T359" s="28"/>
      <c r="U359" s="27"/>
      <c r="V359" s="27"/>
      <c r="W359" s="29"/>
      <c r="X359" s="27"/>
      <c r="Y359" s="27"/>
    </row>
    <row r="360" spans="1:25" x14ac:dyDescent="0.25">
      <c r="A360" s="32"/>
      <c r="B360" s="32"/>
      <c r="C360" s="32"/>
      <c r="D360" s="32"/>
      <c r="E360" s="32"/>
      <c r="F360" s="32"/>
      <c r="G360" s="32"/>
      <c r="H360" s="138"/>
      <c r="I360" s="32"/>
      <c r="J360" s="32"/>
      <c r="K360" s="32"/>
      <c r="L360" s="32"/>
      <c r="M360" s="32"/>
      <c r="N360" s="59"/>
      <c r="O360" s="15"/>
      <c r="P360" s="60"/>
      <c r="Q360" s="11"/>
      <c r="R360" s="2"/>
      <c r="S360" s="2"/>
      <c r="T360" s="12"/>
      <c r="U360" s="3"/>
      <c r="V360" s="4"/>
      <c r="W360" s="4"/>
      <c r="X360" s="4"/>
      <c r="Y360" s="4"/>
    </row>
    <row r="361" spans="1:25" x14ac:dyDescent="0.25">
      <c r="A361" s="33"/>
      <c r="B361" s="33"/>
      <c r="C361" s="33"/>
      <c r="D361" s="33"/>
      <c r="E361" s="33"/>
      <c r="F361" s="33"/>
      <c r="G361" s="33"/>
      <c r="H361" s="139"/>
      <c r="I361" s="33"/>
      <c r="J361" s="33"/>
      <c r="K361" s="33"/>
      <c r="L361" s="33"/>
      <c r="M361" s="33"/>
      <c r="N361" s="55"/>
      <c r="O361" s="56"/>
      <c r="P361" s="54"/>
      <c r="Q361" s="27"/>
      <c r="R361" s="27"/>
      <c r="S361" s="27"/>
      <c r="T361" s="28"/>
      <c r="U361" s="27"/>
      <c r="V361" s="27"/>
      <c r="W361" s="29"/>
      <c r="X361" s="27"/>
      <c r="Y361" s="27"/>
    </row>
    <row r="362" spans="1:25" x14ac:dyDescent="0.25">
      <c r="A362" s="32"/>
      <c r="B362" s="32"/>
      <c r="C362" s="32"/>
      <c r="D362" s="32"/>
      <c r="E362" s="32"/>
      <c r="F362" s="32"/>
      <c r="G362" s="32"/>
      <c r="H362" s="138"/>
      <c r="I362" s="32"/>
      <c r="J362" s="32"/>
      <c r="K362" s="32"/>
      <c r="L362" s="32"/>
      <c r="M362" s="32"/>
      <c r="N362" s="57"/>
      <c r="O362" s="58"/>
      <c r="P362" s="53"/>
      <c r="Q362" s="25"/>
      <c r="R362" s="25"/>
      <c r="S362" s="25"/>
      <c r="T362" s="26"/>
      <c r="U362" s="25"/>
      <c r="V362" s="25"/>
      <c r="W362" s="30"/>
      <c r="X362" s="25"/>
      <c r="Y362" s="25"/>
    </row>
    <row r="363" spans="1:25" x14ac:dyDescent="0.25">
      <c r="A363" s="33"/>
      <c r="B363" s="33"/>
      <c r="C363" s="33"/>
      <c r="D363" s="33"/>
      <c r="E363" s="33"/>
      <c r="F363" s="33"/>
      <c r="G363" s="33"/>
      <c r="H363" s="139"/>
      <c r="I363" s="33"/>
      <c r="J363" s="33"/>
      <c r="K363" s="33"/>
      <c r="L363" s="33"/>
      <c r="M363" s="33"/>
      <c r="N363" s="55"/>
      <c r="O363" s="56"/>
      <c r="P363" s="54"/>
      <c r="Q363" s="27"/>
      <c r="R363" s="27"/>
      <c r="S363" s="27"/>
      <c r="T363" s="28"/>
      <c r="U363" s="27"/>
      <c r="V363" s="27"/>
      <c r="W363" s="29"/>
      <c r="X363" s="27"/>
      <c r="Y363" s="27"/>
    </row>
    <row r="364" spans="1:25" x14ac:dyDescent="0.25">
      <c r="A364" s="32"/>
      <c r="B364" s="32"/>
      <c r="C364" s="32"/>
      <c r="D364" s="32"/>
      <c r="E364" s="32"/>
      <c r="F364" s="32"/>
      <c r="G364" s="32"/>
      <c r="H364" s="138"/>
      <c r="I364" s="32"/>
      <c r="J364" s="32"/>
      <c r="K364" s="32"/>
      <c r="L364" s="32"/>
      <c r="M364" s="32"/>
      <c r="N364" s="57"/>
      <c r="O364" s="58"/>
      <c r="P364" s="53"/>
      <c r="Q364" s="25"/>
      <c r="R364" s="25"/>
      <c r="S364" s="25"/>
      <c r="T364" s="26"/>
      <c r="U364" s="25"/>
      <c r="V364" s="25"/>
      <c r="W364" s="30"/>
      <c r="X364" s="25"/>
      <c r="Y364" s="25"/>
    </row>
    <row r="365" spans="1:25" x14ac:dyDescent="0.25">
      <c r="A365" s="33"/>
      <c r="B365" s="33"/>
      <c r="C365" s="33"/>
      <c r="D365" s="33"/>
      <c r="E365" s="33"/>
      <c r="F365" s="33"/>
      <c r="G365" s="33"/>
      <c r="H365" s="139"/>
      <c r="I365" s="33"/>
      <c r="J365" s="33"/>
      <c r="K365" s="33"/>
      <c r="L365" s="33"/>
      <c r="M365" s="33"/>
      <c r="N365" s="55"/>
      <c r="O365" s="56"/>
      <c r="P365" s="54"/>
      <c r="Q365" s="27"/>
      <c r="R365" s="27"/>
      <c r="S365" s="27"/>
      <c r="T365" s="28"/>
      <c r="U365" s="27"/>
      <c r="V365" s="27"/>
      <c r="W365" s="29"/>
      <c r="X365" s="27"/>
      <c r="Y365" s="27"/>
    </row>
    <row r="366" spans="1:25" x14ac:dyDescent="0.25">
      <c r="A366" s="32"/>
      <c r="B366" s="32"/>
      <c r="C366" s="32"/>
      <c r="D366" s="32"/>
      <c r="E366" s="32"/>
      <c r="F366" s="32"/>
      <c r="G366" s="32"/>
      <c r="H366" s="138"/>
      <c r="I366" s="32"/>
      <c r="J366" s="32"/>
      <c r="K366" s="32"/>
      <c r="L366" s="32"/>
      <c r="M366" s="32"/>
      <c r="N366" s="57"/>
      <c r="O366" s="58"/>
      <c r="P366" s="53"/>
      <c r="Q366" s="25"/>
      <c r="R366" s="25"/>
      <c r="S366" s="25"/>
      <c r="T366" s="26"/>
      <c r="U366" s="25"/>
      <c r="V366" s="25"/>
      <c r="W366" s="30"/>
      <c r="X366" s="25"/>
      <c r="Y366" s="25"/>
    </row>
    <row r="367" spans="1:25" x14ac:dyDescent="0.25">
      <c r="N367" s="55"/>
      <c r="O367" s="56"/>
      <c r="P367" s="54"/>
      <c r="Q367" s="27"/>
      <c r="R367" s="27"/>
      <c r="S367" s="27"/>
      <c r="T367" s="28"/>
      <c r="U367" s="27"/>
      <c r="V367" s="27"/>
      <c r="W367" s="29"/>
      <c r="X367" s="27"/>
      <c r="Y367" s="27"/>
    </row>
    <row r="368" spans="1:25" x14ac:dyDescent="0.25">
      <c r="A368" s="32"/>
      <c r="B368" s="32"/>
      <c r="C368" s="32"/>
      <c r="D368" s="32"/>
      <c r="E368" s="32"/>
      <c r="F368" s="32"/>
      <c r="G368" s="32"/>
      <c r="H368" s="138"/>
      <c r="I368" s="32"/>
      <c r="J368" s="32"/>
      <c r="K368" s="32"/>
      <c r="L368" s="32"/>
      <c r="M368" s="32"/>
      <c r="N368" s="57"/>
      <c r="O368" s="58"/>
      <c r="P368" s="53"/>
      <c r="Q368" s="25"/>
      <c r="R368" s="25"/>
      <c r="S368" s="25"/>
      <c r="T368" s="26"/>
      <c r="U368" s="25"/>
      <c r="V368" s="25"/>
      <c r="W368" s="30"/>
      <c r="X368" s="25"/>
      <c r="Y368" s="25"/>
    </row>
    <row r="369" spans="1:25" x14ac:dyDescent="0.25">
      <c r="A369" s="33"/>
      <c r="B369" s="33"/>
      <c r="C369" s="33"/>
      <c r="D369" s="33"/>
      <c r="E369" s="33"/>
      <c r="F369" s="33"/>
      <c r="G369" s="33"/>
      <c r="H369" s="139"/>
      <c r="I369" s="33"/>
      <c r="J369" s="33"/>
      <c r="K369" s="33"/>
      <c r="L369" s="33"/>
      <c r="M369" s="33"/>
      <c r="N369" s="55"/>
      <c r="O369" s="56"/>
      <c r="P369" s="54"/>
      <c r="Q369" s="27"/>
      <c r="R369" s="27"/>
      <c r="S369" s="27"/>
      <c r="T369" s="28"/>
      <c r="U369" s="27"/>
      <c r="V369" s="27"/>
      <c r="W369" s="29"/>
      <c r="X369" s="27"/>
      <c r="Y369" s="27"/>
    </row>
    <row r="370" spans="1:25" x14ac:dyDescent="0.25">
      <c r="A370" s="32"/>
      <c r="B370" s="32"/>
      <c r="C370" s="32"/>
      <c r="D370" s="32"/>
      <c r="E370" s="32"/>
      <c r="F370" s="32"/>
      <c r="G370" s="32"/>
      <c r="H370" s="138"/>
      <c r="I370" s="32"/>
      <c r="J370" s="32"/>
      <c r="K370" s="32"/>
      <c r="L370" s="32"/>
      <c r="M370" s="32"/>
      <c r="N370" s="57"/>
      <c r="O370" s="58"/>
      <c r="P370" s="53"/>
      <c r="Q370" s="25"/>
      <c r="R370" s="25"/>
      <c r="S370" s="25"/>
      <c r="T370" s="26"/>
      <c r="U370" s="25"/>
      <c r="V370" s="25"/>
      <c r="W370" s="30"/>
      <c r="X370" s="25"/>
      <c r="Y370" s="25"/>
    </row>
    <row r="371" spans="1:25" x14ac:dyDescent="0.25">
      <c r="A371" s="33"/>
      <c r="B371" s="33"/>
      <c r="C371" s="33"/>
      <c r="D371" s="33"/>
      <c r="E371" s="33"/>
      <c r="F371" s="33"/>
      <c r="G371" s="33"/>
      <c r="H371" s="139"/>
      <c r="I371" s="33"/>
      <c r="J371" s="33"/>
      <c r="K371" s="33"/>
      <c r="L371" s="33"/>
      <c r="M371" s="33"/>
      <c r="N371" s="55"/>
      <c r="O371" s="56"/>
      <c r="P371" s="54"/>
      <c r="Q371" s="27"/>
      <c r="R371" s="27"/>
      <c r="S371" s="27"/>
      <c r="T371" s="28"/>
      <c r="U371" s="27"/>
      <c r="V371" s="27"/>
      <c r="W371" s="29"/>
      <c r="X371" s="27"/>
      <c r="Y371" s="27"/>
    </row>
    <row r="372" spans="1:25" x14ac:dyDescent="0.25">
      <c r="A372" s="32"/>
      <c r="B372" s="32"/>
      <c r="C372" s="32"/>
      <c r="D372" s="32"/>
      <c r="E372" s="32"/>
      <c r="F372" s="32"/>
      <c r="G372" s="32"/>
      <c r="H372" s="138"/>
      <c r="I372" s="32"/>
      <c r="J372" s="32"/>
      <c r="K372" s="32"/>
      <c r="L372" s="32"/>
      <c r="M372" s="32"/>
      <c r="N372" s="57"/>
      <c r="O372" s="58"/>
      <c r="P372" s="53"/>
      <c r="Q372" s="25"/>
      <c r="R372" s="25"/>
      <c r="S372" s="25"/>
      <c r="T372" s="26"/>
      <c r="U372" s="25"/>
      <c r="V372" s="25"/>
      <c r="W372" s="30"/>
      <c r="X372" s="25"/>
      <c r="Y372" s="25"/>
    </row>
    <row r="373" spans="1:25" x14ac:dyDescent="0.25">
      <c r="A373" s="33"/>
      <c r="B373" s="33"/>
      <c r="C373" s="33"/>
      <c r="D373" s="33"/>
      <c r="E373" s="33"/>
      <c r="F373" s="33"/>
      <c r="G373" s="33"/>
      <c r="H373" s="139"/>
      <c r="I373" s="33"/>
      <c r="J373" s="33"/>
      <c r="K373" s="33"/>
      <c r="L373" s="33"/>
      <c r="M373" s="33"/>
      <c r="N373" s="55"/>
      <c r="O373" s="56"/>
      <c r="P373" s="54"/>
      <c r="Q373" s="27"/>
      <c r="R373" s="27"/>
      <c r="S373" s="27"/>
      <c r="T373" s="28"/>
      <c r="U373" s="27"/>
      <c r="V373" s="27"/>
      <c r="W373" s="29"/>
      <c r="X373" s="27"/>
      <c r="Y373" s="27"/>
    </row>
    <row r="374" spans="1:25" x14ac:dyDescent="0.25">
      <c r="A374" s="32"/>
      <c r="B374" s="32"/>
      <c r="C374" s="32"/>
      <c r="D374" s="32"/>
      <c r="E374" s="32"/>
      <c r="F374" s="32"/>
      <c r="G374" s="32"/>
      <c r="H374" s="138"/>
      <c r="I374" s="32"/>
      <c r="J374" s="32"/>
      <c r="K374" s="32"/>
      <c r="L374" s="32"/>
      <c r="M374" s="32"/>
      <c r="N374" s="57"/>
      <c r="O374" s="58"/>
      <c r="P374" s="53"/>
      <c r="Q374" s="25"/>
      <c r="R374" s="25"/>
      <c r="S374" s="25"/>
      <c r="T374" s="26"/>
      <c r="U374" s="25"/>
      <c r="V374" s="25"/>
      <c r="W374" s="30"/>
      <c r="X374" s="25"/>
      <c r="Y374" s="25"/>
    </row>
    <row r="375" spans="1:25" x14ac:dyDescent="0.25">
      <c r="A375" s="32"/>
      <c r="B375" s="32"/>
      <c r="C375" s="32"/>
      <c r="D375" s="32"/>
      <c r="E375" s="32"/>
      <c r="F375" s="32"/>
      <c r="G375" s="32"/>
      <c r="H375" s="138"/>
      <c r="I375" s="32"/>
      <c r="J375" s="32"/>
      <c r="K375" s="32"/>
      <c r="L375" s="32"/>
      <c r="M375" s="32"/>
      <c r="N375" s="55"/>
      <c r="O375" s="56"/>
      <c r="P375" s="54"/>
      <c r="Q375" s="27"/>
      <c r="R375" s="27"/>
      <c r="S375" s="27"/>
      <c r="T375" s="28"/>
      <c r="U375" s="27"/>
      <c r="V375" s="27"/>
      <c r="W375" s="29"/>
      <c r="X375" s="27"/>
      <c r="Y375" s="27"/>
    </row>
    <row r="376" spans="1:25" x14ac:dyDescent="0.25">
      <c r="A376" s="33"/>
      <c r="B376" s="33"/>
      <c r="C376" s="33"/>
      <c r="D376" s="33"/>
      <c r="E376" s="33"/>
      <c r="F376" s="33"/>
      <c r="G376" s="33"/>
      <c r="H376" s="139"/>
      <c r="I376" s="33"/>
      <c r="J376" s="33"/>
      <c r="K376" s="33"/>
      <c r="L376" s="33"/>
      <c r="M376" s="33"/>
      <c r="N376" s="59"/>
      <c r="O376" s="15"/>
      <c r="P376" s="60"/>
      <c r="Q376" s="11"/>
      <c r="R376" s="2"/>
      <c r="S376" s="2"/>
      <c r="T376" s="12"/>
      <c r="U376" s="3"/>
      <c r="V376" s="4"/>
      <c r="W376" s="4"/>
      <c r="X376" s="4"/>
      <c r="Y376" s="4"/>
    </row>
    <row r="377" spans="1:25" x14ac:dyDescent="0.25">
      <c r="A377" s="32"/>
      <c r="B377" s="32"/>
      <c r="C377" s="32"/>
      <c r="D377" s="32"/>
      <c r="E377" s="32"/>
      <c r="F377" s="32"/>
      <c r="G377" s="32"/>
      <c r="H377" s="138"/>
      <c r="I377" s="32"/>
      <c r="J377" s="32"/>
      <c r="K377" s="32"/>
      <c r="L377" s="32"/>
      <c r="M377" s="32"/>
      <c r="N377" s="55"/>
      <c r="O377" s="56"/>
      <c r="P377" s="54"/>
      <c r="Q377" s="27"/>
      <c r="R377" s="27"/>
      <c r="S377" s="27"/>
      <c r="T377" s="28"/>
      <c r="U377" s="27"/>
      <c r="V377" s="27"/>
      <c r="W377" s="29"/>
      <c r="X377" s="27"/>
      <c r="Y377" s="27"/>
    </row>
    <row r="378" spans="1:25" x14ac:dyDescent="0.25">
      <c r="A378" s="33"/>
      <c r="B378" s="33"/>
      <c r="C378" s="33"/>
      <c r="D378" s="33"/>
      <c r="E378" s="33"/>
      <c r="F378" s="33"/>
      <c r="G378" s="33"/>
      <c r="H378" s="139"/>
      <c r="I378" s="33"/>
      <c r="J378" s="33"/>
      <c r="K378" s="33"/>
      <c r="L378" s="33"/>
      <c r="M378" s="33"/>
      <c r="N378" s="57"/>
      <c r="O378" s="58"/>
      <c r="P378" s="53"/>
      <c r="Q378" s="25"/>
      <c r="R378" s="25"/>
      <c r="S378" s="25"/>
      <c r="T378" s="26"/>
      <c r="U378" s="25"/>
      <c r="V378" s="25"/>
      <c r="W378" s="30"/>
      <c r="X378" s="25"/>
      <c r="Y378" s="25"/>
    </row>
    <row r="379" spans="1:25" x14ac:dyDescent="0.25">
      <c r="A379" s="32"/>
      <c r="B379" s="32"/>
      <c r="C379" s="32"/>
      <c r="D379" s="32"/>
      <c r="E379" s="32"/>
      <c r="F379" s="32"/>
      <c r="G379" s="32"/>
      <c r="H379" s="138"/>
      <c r="I379" s="32"/>
      <c r="J379" s="32"/>
      <c r="K379" s="32"/>
      <c r="L379" s="32"/>
      <c r="M379" s="32"/>
      <c r="N379" s="55"/>
      <c r="O379" s="56"/>
      <c r="P379" s="54"/>
      <c r="Q379" s="27"/>
      <c r="R379" s="27"/>
      <c r="S379" s="27"/>
      <c r="T379" s="28"/>
      <c r="U379" s="27"/>
      <c r="V379" s="27"/>
      <c r="W379" s="29"/>
      <c r="X379" s="27"/>
      <c r="Y379" s="27"/>
    </row>
    <row r="380" spans="1:25" x14ac:dyDescent="0.25">
      <c r="A380" s="33"/>
      <c r="B380" s="33"/>
      <c r="C380" s="33"/>
      <c r="D380" s="33"/>
      <c r="E380" s="33"/>
      <c r="F380" s="33"/>
      <c r="G380" s="33"/>
      <c r="H380" s="139"/>
      <c r="I380" s="33"/>
      <c r="J380" s="33"/>
      <c r="K380" s="33"/>
      <c r="L380" s="33"/>
      <c r="M380" s="33"/>
      <c r="N380" s="57"/>
      <c r="O380" s="58"/>
      <c r="P380" s="53"/>
      <c r="Q380" s="25"/>
      <c r="R380" s="25"/>
      <c r="S380" s="25"/>
      <c r="T380" s="26"/>
      <c r="U380" s="25"/>
      <c r="V380" s="25"/>
      <c r="W380" s="30"/>
      <c r="X380" s="25"/>
      <c r="Y380" s="25"/>
    </row>
    <row r="381" spans="1:25" x14ac:dyDescent="0.25">
      <c r="A381" s="32"/>
      <c r="B381" s="32"/>
      <c r="C381" s="32"/>
      <c r="D381" s="32"/>
      <c r="E381" s="32"/>
      <c r="F381" s="32"/>
      <c r="G381" s="32"/>
      <c r="H381" s="138"/>
      <c r="I381" s="32"/>
      <c r="J381" s="32"/>
      <c r="K381" s="32"/>
      <c r="L381" s="32"/>
      <c r="M381" s="32"/>
      <c r="N381" s="55"/>
      <c r="O381" s="56"/>
      <c r="P381" s="54"/>
      <c r="Q381" s="27"/>
      <c r="R381" s="27"/>
      <c r="S381" s="27"/>
      <c r="T381" s="28"/>
      <c r="U381" s="27"/>
      <c r="V381" s="27"/>
      <c r="W381" s="29"/>
      <c r="X381" s="27"/>
      <c r="Y381" s="27"/>
    </row>
    <row r="382" spans="1:25" x14ac:dyDescent="0.25">
      <c r="A382" s="33"/>
      <c r="B382" s="33"/>
      <c r="C382" s="33"/>
      <c r="D382" s="33"/>
      <c r="E382" s="33"/>
      <c r="F382" s="33"/>
      <c r="G382" s="33"/>
      <c r="H382" s="139"/>
      <c r="I382" s="33"/>
      <c r="J382" s="33"/>
      <c r="K382" s="33"/>
      <c r="L382" s="33"/>
      <c r="M382" s="33"/>
      <c r="N382" s="57"/>
      <c r="O382" s="58"/>
      <c r="P382" s="53"/>
      <c r="Q382" s="25"/>
      <c r="R382" s="25"/>
      <c r="S382" s="25"/>
      <c r="T382" s="26"/>
      <c r="U382" s="25"/>
      <c r="V382" s="25"/>
      <c r="W382" s="30"/>
      <c r="X382" s="25"/>
      <c r="Y382" s="25"/>
    </row>
    <row r="383" spans="1:25" x14ac:dyDescent="0.25">
      <c r="A383" s="32"/>
      <c r="B383" s="32"/>
      <c r="C383" s="32"/>
      <c r="D383" s="32"/>
      <c r="E383" s="32"/>
      <c r="F383" s="32"/>
      <c r="G383" s="32"/>
      <c r="H383" s="138"/>
      <c r="I383" s="32"/>
      <c r="J383" s="32"/>
      <c r="K383" s="32"/>
      <c r="L383" s="32"/>
      <c r="M383" s="32"/>
      <c r="N383" s="55"/>
      <c r="O383" s="56"/>
      <c r="P383" s="54"/>
      <c r="Q383" s="27"/>
      <c r="R383" s="27"/>
      <c r="S383" s="27"/>
      <c r="T383" s="28"/>
      <c r="U383" s="27"/>
      <c r="V383" s="27"/>
      <c r="W383" s="29"/>
      <c r="X383" s="27"/>
      <c r="Y383" s="27"/>
    </row>
    <row r="384" spans="1:25" x14ac:dyDescent="0.25">
      <c r="N384" s="57"/>
      <c r="O384" s="58"/>
      <c r="P384" s="53"/>
      <c r="Q384" s="25"/>
      <c r="R384" s="25"/>
      <c r="S384" s="25"/>
      <c r="T384" s="26"/>
      <c r="U384" s="25"/>
      <c r="V384" s="25"/>
      <c r="W384" s="30"/>
      <c r="X384" s="25"/>
      <c r="Y384" s="25"/>
    </row>
    <row r="385" spans="1:25" x14ac:dyDescent="0.25">
      <c r="A385" s="32"/>
      <c r="B385" s="32"/>
      <c r="C385" s="32"/>
      <c r="D385" s="32"/>
      <c r="E385" s="32"/>
      <c r="F385" s="32"/>
      <c r="G385" s="32"/>
      <c r="H385" s="138"/>
      <c r="I385" s="32"/>
      <c r="J385" s="32"/>
      <c r="K385" s="32"/>
      <c r="L385" s="32"/>
      <c r="M385" s="32"/>
      <c r="N385" s="55"/>
      <c r="O385" s="56"/>
      <c r="P385" s="54"/>
      <c r="Q385" s="27"/>
      <c r="R385" s="27"/>
      <c r="S385" s="27"/>
      <c r="T385" s="28"/>
      <c r="U385" s="27"/>
      <c r="V385" s="27"/>
      <c r="W385" s="29"/>
      <c r="X385" s="27"/>
      <c r="Y385" s="27"/>
    </row>
    <row r="386" spans="1:25" x14ac:dyDescent="0.25">
      <c r="A386" s="33"/>
      <c r="B386" s="33"/>
      <c r="C386" s="33"/>
      <c r="D386" s="33"/>
      <c r="E386" s="33"/>
      <c r="F386" s="33"/>
      <c r="G386" s="33"/>
      <c r="H386" s="139"/>
      <c r="I386" s="33"/>
      <c r="J386" s="33"/>
      <c r="K386" s="33"/>
      <c r="L386" s="33"/>
      <c r="M386" s="33"/>
      <c r="N386" s="57"/>
      <c r="O386" s="58"/>
      <c r="P386" s="53"/>
      <c r="Q386" s="25"/>
      <c r="R386" s="25"/>
      <c r="S386" s="25"/>
      <c r="T386" s="26"/>
      <c r="U386" s="25"/>
      <c r="V386" s="25"/>
      <c r="W386" s="30"/>
      <c r="X386" s="25"/>
      <c r="Y386" s="25"/>
    </row>
    <row r="387" spans="1:25" x14ac:dyDescent="0.25">
      <c r="A387" s="32"/>
      <c r="B387" s="32"/>
      <c r="C387" s="32"/>
      <c r="D387" s="32"/>
      <c r="E387" s="32"/>
      <c r="F387" s="32"/>
      <c r="G387" s="32"/>
      <c r="H387" s="138"/>
      <c r="I387" s="32"/>
      <c r="J387" s="32"/>
      <c r="K387" s="32"/>
      <c r="L387" s="32"/>
      <c r="M387" s="32"/>
      <c r="N387" s="55"/>
      <c r="O387" s="56"/>
      <c r="P387" s="54"/>
      <c r="Q387" s="27"/>
      <c r="R387" s="27"/>
      <c r="S387" s="27"/>
      <c r="T387" s="28"/>
      <c r="U387" s="27"/>
      <c r="V387" s="27"/>
      <c r="W387" s="29"/>
      <c r="X387" s="27"/>
      <c r="Y387" s="27"/>
    </row>
    <row r="388" spans="1:25" x14ac:dyDescent="0.25">
      <c r="A388" s="33"/>
      <c r="B388" s="33"/>
      <c r="C388" s="33"/>
      <c r="D388" s="33"/>
      <c r="E388" s="33"/>
      <c r="F388" s="33"/>
      <c r="G388" s="33"/>
      <c r="H388" s="139"/>
      <c r="I388" s="33"/>
      <c r="J388" s="33"/>
      <c r="K388" s="33"/>
      <c r="L388" s="33"/>
      <c r="M388" s="33"/>
      <c r="N388" s="57"/>
      <c r="O388" s="58"/>
      <c r="P388" s="53"/>
      <c r="Q388" s="25"/>
      <c r="R388" s="25"/>
      <c r="S388" s="25"/>
      <c r="T388" s="26"/>
      <c r="U388" s="25"/>
      <c r="V388" s="25"/>
      <c r="W388" s="30"/>
      <c r="X388" s="25"/>
      <c r="Y388" s="25"/>
    </row>
    <row r="389" spans="1:25" x14ac:dyDescent="0.25">
      <c r="A389" s="32"/>
      <c r="B389" s="32"/>
      <c r="C389" s="32"/>
      <c r="D389" s="32"/>
      <c r="E389" s="32"/>
      <c r="F389" s="32"/>
      <c r="G389" s="32"/>
      <c r="H389" s="138"/>
      <c r="I389" s="32"/>
      <c r="J389" s="32"/>
      <c r="K389" s="32"/>
      <c r="L389" s="32"/>
      <c r="M389" s="32"/>
      <c r="N389" s="55"/>
      <c r="O389" s="56"/>
      <c r="P389" s="54"/>
      <c r="Q389" s="27"/>
      <c r="R389" s="27"/>
      <c r="S389" s="27"/>
      <c r="T389" s="28"/>
      <c r="U389" s="27"/>
      <c r="V389" s="27"/>
      <c r="W389" s="29"/>
      <c r="X389" s="27"/>
      <c r="Y389" s="27"/>
    </row>
    <row r="390" spans="1:25" x14ac:dyDescent="0.25">
      <c r="A390" s="33"/>
      <c r="B390" s="33"/>
      <c r="C390" s="33"/>
      <c r="D390" s="33"/>
      <c r="E390" s="33"/>
      <c r="F390" s="33"/>
      <c r="G390" s="33"/>
      <c r="H390" s="139"/>
      <c r="I390" s="33"/>
      <c r="J390" s="33"/>
      <c r="K390" s="33"/>
      <c r="L390" s="33"/>
      <c r="M390" s="33"/>
      <c r="N390" s="57"/>
      <c r="O390" s="58"/>
      <c r="P390" s="53"/>
      <c r="Q390" s="25"/>
      <c r="R390" s="25"/>
      <c r="S390" s="25"/>
      <c r="T390" s="26"/>
      <c r="U390" s="25"/>
      <c r="V390" s="25"/>
      <c r="W390" s="30"/>
      <c r="X390" s="25"/>
      <c r="Y390" s="25"/>
    </row>
    <row r="391" spans="1:25" x14ac:dyDescent="0.25">
      <c r="A391" s="32"/>
      <c r="B391" s="32"/>
      <c r="C391" s="32"/>
      <c r="D391" s="32"/>
      <c r="E391" s="32"/>
      <c r="F391" s="32"/>
      <c r="G391" s="32"/>
      <c r="H391" s="138"/>
      <c r="I391" s="32"/>
      <c r="J391" s="32"/>
      <c r="K391" s="32"/>
      <c r="L391" s="32"/>
      <c r="M391" s="32"/>
      <c r="N391" s="55"/>
      <c r="O391" s="56"/>
      <c r="P391" s="54"/>
      <c r="Q391" s="27"/>
      <c r="R391" s="27"/>
      <c r="S391" s="27"/>
      <c r="T391" s="28"/>
      <c r="U391" s="27"/>
      <c r="V391" s="27"/>
      <c r="W391" s="29"/>
      <c r="X391" s="27"/>
      <c r="Y391" s="27"/>
    </row>
    <row r="392" spans="1:25" x14ac:dyDescent="0.25">
      <c r="A392" s="32"/>
      <c r="B392" s="32"/>
      <c r="C392" s="32"/>
      <c r="D392" s="32"/>
      <c r="E392" s="32"/>
      <c r="F392" s="32"/>
      <c r="G392" s="32"/>
      <c r="H392" s="138"/>
      <c r="I392" s="32"/>
      <c r="J392" s="32"/>
      <c r="K392" s="32"/>
      <c r="L392" s="32"/>
      <c r="M392" s="32"/>
      <c r="N392" s="59"/>
      <c r="O392" s="15"/>
      <c r="P392" s="60"/>
      <c r="Q392" s="11"/>
      <c r="R392" s="2"/>
      <c r="S392" s="2"/>
      <c r="T392" s="12"/>
      <c r="U392" s="3"/>
      <c r="V392" s="4"/>
      <c r="W392" s="4"/>
      <c r="X392" s="4"/>
      <c r="Y392" s="4"/>
    </row>
    <row r="393" spans="1:25" x14ac:dyDescent="0.25">
      <c r="A393" s="33"/>
      <c r="B393" s="33"/>
      <c r="C393" s="33"/>
      <c r="D393" s="33"/>
      <c r="E393" s="33"/>
      <c r="F393" s="33"/>
      <c r="G393" s="33"/>
      <c r="H393" s="139"/>
      <c r="I393" s="33"/>
      <c r="J393" s="33"/>
      <c r="K393" s="33"/>
      <c r="L393" s="33"/>
      <c r="M393" s="33"/>
      <c r="N393" s="55"/>
      <c r="O393" s="56"/>
      <c r="P393" s="54"/>
      <c r="Q393" s="27"/>
      <c r="R393" s="27"/>
      <c r="S393" s="27"/>
      <c r="T393" s="28"/>
      <c r="U393" s="27"/>
      <c r="V393" s="27"/>
      <c r="W393" s="29"/>
      <c r="X393" s="27"/>
      <c r="Y393" s="27"/>
    </row>
    <row r="394" spans="1:25" x14ac:dyDescent="0.25">
      <c r="A394" s="32"/>
      <c r="B394" s="32"/>
      <c r="C394" s="32"/>
      <c r="D394" s="32"/>
      <c r="E394" s="32"/>
      <c r="F394" s="32"/>
      <c r="G394" s="32"/>
      <c r="H394" s="138"/>
      <c r="I394" s="32"/>
      <c r="J394" s="32"/>
      <c r="K394" s="32"/>
      <c r="L394" s="32"/>
      <c r="M394" s="32"/>
      <c r="N394" s="57"/>
      <c r="O394" s="58"/>
      <c r="P394" s="53"/>
      <c r="Q394" s="25"/>
      <c r="R394" s="25"/>
      <c r="S394" s="25"/>
      <c r="T394" s="26"/>
      <c r="U394" s="25"/>
      <c r="V394" s="25"/>
      <c r="W394" s="30"/>
      <c r="X394" s="25"/>
      <c r="Y394" s="25"/>
    </row>
    <row r="395" spans="1:25" x14ac:dyDescent="0.25">
      <c r="A395" s="33"/>
      <c r="B395" s="33"/>
      <c r="C395" s="33"/>
      <c r="D395" s="33"/>
      <c r="E395" s="33"/>
      <c r="F395" s="33"/>
      <c r="G395" s="33"/>
      <c r="H395" s="139"/>
      <c r="I395" s="33"/>
      <c r="J395" s="33"/>
      <c r="K395" s="33"/>
      <c r="L395" s="33"/>
      <c r="M395" s="33"/>
      <c r="N395" s="55"/>
      <c r="O395" s="56"/>
      <c r="P395" s="54"/>
      <c r="Q395" s="27"/>
      <c r="R395" s="27"/>
      <c r="S395" s="27"/>
      <c r="T395" s="28"/>
      <c r="U395" s="27"/>
      <c r="V395" s="27"/>
      <c r="W395" s="29"/>
      <c r="X395" s="27"/>
      <c r="Y395" s="27"/>
    </row>
    <row r="396" spans="1:25" x14ac:dyDescent="0.25">
      <c r="A396" s="32"/>
      <c r="B396" s="32"/>
      <c r="C396" s="32"/>
      <c r="D396" s="32"/>
      <c r="E396" s="32"/>
      <c r="F396" s="32"/>
      <c r="G396" s="32"/>
      <c r="H396" s="138"/>
      <c r="I396" s="32"/>
      <c r="J396" s="32"/>
      <c r="K396" s="32"/>
      <c r="L396" s="32"/>
      <c r="M396" s="32"/>
      <c r="N396" s="57"/>
      <c r="O396" s="58"/>
      <c r="P396" s="53"/>
      <c r="Q396" s="25"/>
      <c r="R396" s="25"/>
      <c r="S396" s="25"/>
      <c r="T396" s="26"/>
      <c r="U396" s="25"/>
      <c r="V396" s="25"/>
      <c r="W396" s="30"/>
      <c r="X396" s="25"/>
      <c r="Y396" s="25"/>
    </row>
    <row r="397" spans="1:25" x14ac:dyDescent="0.25">
      <c r="A397" s="33"/>
      <c r="B397" s="33"/>
      <c r="C397" s="33"/>
      <c r="D397" s="33"/>
      <c r="E397" s="33"/>
      <c r="F397" s="33"/>
      <c r="G397" s="33"/>
      <c r="H397" s="139"/>
      <c r="I397" s="33"/>
      <c r="J397" s="33"/>
      <c r="K397" s="33"/>
      <c r="L397" s="33"/>
      <c r="M397" s="33"/>
      <c r="N397" s="55"/>
      <c r="O397" s="56"/>
      <c r="P397" s="54"/>
      <c r="Q397" s="27"/>
      <c r="R397" s="27"/>
      <c r="S397" s="27"/>
      <c r="T397" s="28"/>
      <c r="U397" s="27"/>
      <c r="V397" s="27"/>
      <c r="W397" s="29"/>
      <c r="X397" s="27"/>
      <c r="Y397" s="27"/>
    </row>
    <row r="398" spans="1:25" x14ac:dyDescent="0.25">
      <c r="A398" s="32"/>
      <c r="B398" s="32"/>
      <c r="C398" s="32"/>
      <c r="D398" s="32"/>
      <c r="E398" s="32"/>
      <c r="F398" s="32"/>
      <c r="G398" s="32"/>
      <c r="H398" s="138"/>
      <c r="I398" s="32"/>
      <c r="J398" s="32"/>
      <c r="K398" s="32"/>
      <c r="L398" s="32"/>
      <c r="M398" s="32"/>
      <c r="N398" s="57"/>
      <c r="O398" s="58"/>
      <c r="P398" s="53"/>
      <c r="Q398" s="25"/>
      <c r="R398" s="25"/>
      <c r="S398" s="25"/>
      <c r="T398" s="26"/>
      <c r="U398" s="25"/>
      <c r="V398" s="25"/>
      <c r="W398" s="30"/>
      <c r="X398" s="25"/>
      <c r="Y398" s="25"/>
    </row>
    <row r="399" spans="1:25" x14ac:dyDescent="0.25">
      <c r="A399" s="33"/>
      <c r="B399" s="33"/>
      <c r="C399" s="33"/>
      <c r="D399" s="33"/>
      <c r="E399" s="33"/>
      <c r="F399" s="33"/>
      <c r="G399" s="33"/>
      <c r="H399" s="139"/>
      <c r="I399" s="33"/>
      <c r="J399" s="33"/>
      <c r="K399" s="33"/>
      <c r="L399" s="33"/>
      <c r="M399" s="33"/>
      <c r="N399" s="55"/>
      <c r="O399" s="56"/>
      <c r="P399" s="54"/>
      <c r="Q399" s="27"/>
      <c r="R399" s="27"/>
      <c r="S399" s="27"/>
      <c r="T399" s="28"/>
      <c r="U399" s="27"/>
      <c r="V399" s="27"/>
      <c r="W399" s="29"/>
      <c r="X399" s="27"/>
      <c r="Y399" s="27"/>
    </row>
    <row r="400" spans="1:25" x14ac:dyDescent="0.25">
      <c r="A400" s="32"/>
      <c r="B400" s="32"/>
      <c r="C400" s="32"/>
      <c r="D400" s="32"/>
      <c r="E400" s="32"/>
      <c r="F400" s="32"/>
      <c r="G400" s="32"/>
      <c r="H400" s="138"/>
      <c r="I400" s="32"/>
      <c r="J400" s="32"/>
      <c r="K400" s="32"/>
      <c r="L400" s="32"/>
      <c r="M400" s="32"/>
      <c r="N400" s="57"/>
      <c r="O400" s="58"/>
      <c r="P400" s="53"/>
      <c r="Q400" s="25"/>
      <c r="R400" s="25"/>
      <c r="S400" s="25"/>
      <c r="T400" s="26"/>
      <c r="U400" s="25"/>
      <c r="V400" s="25"/>
      <c r="W400" s="30"/>
      <c r="X400" s="25"/>
      <c r="Y400" s="25"/>
    </row>
    <row r="401" spans="1:25" x14ac:dyDescent="0.25">
      <c r="N401" s="55"/>
      <c r="O401" s="56"/>
      <c r="P401" s="54"/>
      <c r="Q401" s="27"/>
      <c r="R401" s="27"/>
      <c r="S401" s="27"/>
      <c r="T401" s="28"/>
      <c r="U401" s="27"/>
      <c r="V401" s="27"/>
      <c r="W401" s="29"/>
      <c r="X401" s="27"/>
      <c r="Y401" s="27"/>
    </row>
    <row r="402" spans="1:25" x14ac:dyDescent="0.25">
      <c r="A402" s="32"/>
      <c r="B402" s="32"/>
      <c r="C402" s="32"/>
      <c r="D402" s="32"/>
      <c r="E402" s="32"/>
      <c r="F402" s="32"/>
      <c r="G402" s="32"/>
      <c r="H402" s="138"/>
      <c r="I402" s="32"/>
      <c r="J402" s="32"/>
      <c r="K402" s="32"/>
      <c r="L402" s="32"/>
      <c r="M402" s="32"/>
      <c r="N402" s="57"/>
      <c r="O402" s="58"/>
      <c r="P402" s="53"/>
      <c r="Q402" s="25"/>
      <c r="R402" s="25"/>
      <c r="S402" s="25"/>
      <c r="T402" s="26"/>
      <c r="U402" s="25"/>
      <c r="V402" s="25"/>
      <c r="W402" s="30"/>
      <c r="X402" s="25"/>
      <c r="Y402" s="25"/>
    </row>
    <row r="403" spans="1:25" x14ac:dyDescent="0.25">
      <c r="A403" s="33"/>
      <c r="B403" s="33"/>
      <c r="C403" s="33"/>
      <c r="D403" s="33"/>
      <c r="E403" s="33"/>
      <c r="F403" s="33"/>
      <c r="G403" s="33"/>
      <c r="H403" s="139"/>
      <c r="I403" s="33"/>
      <c r="J403" s="33"/>
      <c r="K403" s="33"/>
      <c r="L403" s="33"/>
      <c r="M403" s="33"/>
      <c r="N403" s="55"/>
      <c r="O403" s="56"/>
      <c r="P403" s="54"/>
      <c r="Q403" s="27"/>
      <c r="R403" s="27"/>
      <c r="S403" s="27"/>
      <c r="T403" s="28"/>
      <c r="U403" s="27"/>
      <c r="V403" s="27"/>
      <c r="W403" s="29"/>
      <c r="X403" s="27"/>
      <c r="Y403" s="27"/>
    </row>
    <row r="404" spans="1:25" x14ac:dyDescent="0.25">
      <c r="A404" s="32"/>
      <c r="B404" s="32"/>
      <c r="C404" s="32"/>
      <c r="D404" s="32"/>
      <c r="E404" s="32"/>
      <c r="F404" s="32"/>
      <c r="G404" s="32"/>
      <c r="H404" s="138"/>
      <c r="I404" s="32"/>
      <c r="J404" s="32"/>
      <c r="K404" s="32"/>
      <c r="L404" s="32"/>
      <c r="M404" s="32"/>
      <c r="N404" s="57"/>
      <c r="O404" s="58"/>
      <c r="P404" s="53"/>
      <c r="Q404" s="25"/>
      <c r="R404" s="25"/>
      <c r="S404" s="25"/>
      <c r="T404" s="26"/>
      <c r="U404" s="25"/>
      <c r="V404" s="25"/>
      <c r="W404" s="30"/>
      <c r="X404" s="25"/>
      <c r="Y404" s="25"/>
    </row>
    <row r="405" spans="1:25" x14ac:dyDescent="0.25">
      <c r="A405" s="33"/>
      <c r="B405" s="33"/>
      <c r="C405" s="33"/>
      <c r="D405" s="33"/>
      <c r="E405" s="33"/>
      <c r="F405" s="33"/>
      <c r="G405" s="33"/>
      <c r="H405" s="139"/>
      <c r="I405" s="33"/>
      <c r="J405" s="33"/>
      <c r="K405" s="33"/>
      <c r="L405" s="33"/>
      <c r="M405" s="33"/>
      <c r="N405" s="55"/>
      <c r="O405" s="56"/>
      <c r="P405" s="54"/>
      <c r="Q405" s="27"/>
      <c r="R405" s="27"/>
      <c r="S405" s="27"/>
      <c r="T405" s="28"/>
      <c r="U405" s="27"/>
      <c r="V405" s="27"/>
      <c r="W405" s="29"/>
      <c r="X405" s="27"/>
      <c r="Y405" s="27"/>
    </row>
    <row r="406" spans="1:25" x14ac:dyDescent="0.25">
      <c r="A406" s="32"/>
      <c r="B406" s="32"/>
      <c r="C406" s="32"/>
      <c r="D406" s="32"/>
      <c r="E406" s="32"/>
      <c r="F406" s="32"/>
      <c r="G406" s="32"/>
      <c r="H406" s="138"/>
      <c r="I406" s="32"/>
      <c r="J406" s="32"/>
      <c r="K406" s="32"/>
      <c r="L406" s="32"/>
      <c r="M406" s="32"/>
      <c r="N406" s="57"/>
      <c r="O406" s="58"/>
      <c r="P406" s="53"/>
      <c r="Q406" s="25"/>
      <c r="R406" s="25"/>
      <c r="S406" s="25"/>
      <c r="T406" s="26"/>
      <c r="U406" s="25"/>
      <c r="V406" s="25"/>
      <c r="W406" s="30"/>
      <c r="X406" s="25"/>
      <c r="Y406" s="25"/>
    </row>
    <row r="407" spans="1:25" x14ac:dyDescent="0.25">
      <c r="A407" s="33"/>
      <c r="B407" s="33"/>
      <c r="C407" s="33"/>
      <c r="D407" s="33"/>
      <c r="E407" s="33"/>
      <c r="F407" s="33"/>
      <c r="G407" s="33"/>
      <c r="H407" s="139"/>
      <c r="I407" s="33"/>
      <c r="J407" s="33"/>
      <c r="K407" s="33"/>
      <c r="L407" s="33"/>
      <c r="M407" s="33"/>
      <c r="N407" s="55"/>
      <c r="O407" s="56"/>
      <c r="P407" s="54"/>
      <c r="Q407" s="27"/>
      <c r="R407" s="27"/>
      <c r="S407" s="27"/>
      <c r="T407" s="28"/>
      <c r="U407" s="27"/>
      <c r="V407" s="27"/>
      <c r="W407" s="29"/>
      <c r="X407" s="27"/>
      <c r="Y407" s="27"/>
    </row>
    <row r="408" spans="1:25" x14ac:dyDescent="0.25">
      <c r="A408" s="32"/>
      <c r="B408" s="32"/>
      <c r="C408" s="32"/>
      <c r="D408" s="32"/>
      <c r="E408" s="32"/>
      <c r="F408" s="32"/>
      <c r="G408" s="32"/>
      <c r="H408" s="138"/>
      <c r="I408" s="32"/>
      <c r="J408" s="32"/>
      <c r="K408" s="32"/>
      <c r="L408" s="32"/>
      <c r="M408" s="32"/>
      <c r="N408" s="59"/>
      <c r="O408" s="15"/>
      <c r="P408" s="60"/>
      <c r="Q408" s="11"/>
      <c r="R408" s="2"/>
      <c r="S408" s="2"/>
      <c r="T408" s="12"/>
      <c r="U408" s="3"/>
      <c r="V408" s="4"/>
      <c r="W408" s="4"/>
      <c r="X408" s="4"/>
      <c r="Y408" s="4"/>
    </row>
    <row r="409" spans="1:25" x14ac:dyDescent="0.25">
      <c r="A409" s="32"/>
      <c r="B409" s="32"/>
      <c r="C409" s="32"/>
      <c r="D409" s="32"/>
      <c r="E409" s="32"/>
      <c r="F409" s="32"/>
      <c r="G409" s="32"/>
      <c r="H409" s="138"/>
      <c r="I409" s="32"/>
      <c r="J409" s="32"/>
      <c r="K409" s="32"/>
      <c r="L409" s="32"/>
      <c r="M409" s="32"/>
      <c r="N409" s="55"/>
      <c r="O409" s="56"/>
      <c r="P409" s="54"/>
      <c r="Q409" s="27"/>
      <c r="R409" s="27"/>
      <c r="S409" s="27"/>
      <c r="T409" s="28"/>
      <c r="U409" s="27"/>
      <c r="V409" s="27"/>
      <c r="W409" s="29"/>
      <c r="X409" s="27"/>
      <c r="Y409" s="27"/>
    </row>
    <row r="410" spans="1:25" x14ac:dyDescent="0.25">
      <c r="A410" s="33"/>
      <c r="B410" s="33"/>
      <c r="C410" s="33"/>
      <c r="D410" s="33"/>
      <c r="E410" s="33"/>
      <c r="F410" s="33"/>
      <c r="G410" s="33"/>
      <c r="H410" s="139"/>
      <c r="I410" s="33"/>
      <c r="J410" s="33"/>
      <c r="K410" s="33"/>
      <c r="L410" s="33"/>
      <c r="M410" s="33"/>
      <c r="N410" s="57"/>
      <c r="O410" s="58"/>
      <c r="P410" s="53"/>
      <c r="Q410" s="25"/>
      <c r="R410" s="25"/>
      <c r="S410" s="25"/>
      <c r="T410" s="26"/>
      <c r="U410" s="25"/>
      <c r="V410" s="25"/>
      <c r="W410" s="30"/>
      <c r="X410" s="25"/>
      <c r="Y410" s="25"/>
    </row>
    <row r="411" spans="1:25" x14ac:dyDescent="0.25">
      <c r="A411" s="32"/>
      <c r="B411" s="32"/>
      <c r="C411" s="32"/>
      <c r="D411" s="32"/>
      <c r="E411" s="32"/>
      <c r="F411" s="32"/>
      <c r="G411" s="32"/>
      <c r="H411" s="138"/>
      <c r="I411" s="32"/>
      <c r="J411" s="32"/>
      <c r="K411" s="32"/>
      <c r="L411" s="32"/>
      <c r="M411" s="32"/>
      <c r="N411" s="55"/>
      <c r="O411" s="56"/>
      <c r="P411" s="54"/>
      <c r="Q411" s="27"/>
      <c r="R411" s="27"/>
      <c r="S411" s="27"/>
      <c r="T411" s="28"/>
      <c r="U411" s="27"/>
      <c r="V411" s="27"/>
      <c r="W411" s="29"/>
      <c r="X411" s="27"/>
      <c r="Y411" s="27"/>
    </row>
    <row r="412" spans="1:25" x14ac:dyDescent="0.25">
      <c r="A412" s="33"/>
      <c r="B412" s="33"/>
      <c r="C412" s="33"/>
      <c r="D412" s="33"/>
      <c r="E412" s="33"/>
      <c r="F412" s="33"/>
      <c r="G412" s="33"/>
      <c r="H412" s="139"/>
      <c r="I412" s="33"/>
      <c r="J412" s="33"/>
      <c r="K412" s="33"/>
      <c r="L412" s="33"/>
      <c r="M412" s="33"/>
      <c r="N412" s="57"/>
      <c r="O412" s="58"/>
      <c r="P412" s="53"/>
      <c r="Q412" s="25"/>
      <c r="R412" s="25"/>
      <c r="S412" s="25"/>
      <c r="T412" s="26"/>
      <c r="U412" s="25"/>
      <c r="V412" s="25"/>
      <c r="W412" s="30"/>
      <c r="X412" s="25"/>
      <c r="Y412" s="25"/>
    </row>
    <row r="413" spans="1:25" x14ac:dyDescent="0.25">
      <c r="A413" s="32"/>
      <c r="B413" s="32"/>
      <c r="C413" s="32"/>
      <c r="D413" s="32"/>
      <c r="E413" s="32"/>
      <c r="F413" s="32"/>
      <c r="G413" s="32"/>
      <c r="H413" s="138"/>
      <c r="I413" s="32"/>
      <c r="J413" s="32"/>
      <c r="K413" s="32"/>
      <c r="L413" s="32"/>
      <c r="M413" s="32"/>
      <c r="N413" s="55"/>
      <c r="O413" s="56"/>
      <c r="P413" s="54"/>
      <c r="Q413" s="27"/>
      <c r="R413" s="27"/>
      <c r="S413" s="27"/>
      <c r="T413" s="28"/>
      <c r="U413" s="27"/>
      <c r="V413" s="27"/>
      <c r="W413" s="29"/>
      <c r="X413" s="27"/>
      <c r="Y413" s="27"/>
    </row>
    <row r="414" spans="1:25" x14ac:dyDescent="0.25">
      <c r="A414" s="33"/>
      <c r="B414" s="33"/>
      <c r="C414" s="33"/>
      <c r="D414" s="33"/>
      <c r="E414" s="33"/>
      <c r="F414" s="33"/>
      <c r="G414" s="33"/>
      <c r="H414" s="139"/>
      <c r="I414" s="33"/>
      <c r="J414" s="33"/>
      <c r="K414" s="33"/>
      <c r="L414" s="33"/>
      <c r="M414" s="33"/>
      <c r="N414" s="57"/>
      <c r="O414" s="58"/>
      <c r="P414" s="53"/>
      <c r="Q414" s="25"/>
      <c r="R414" s="25"/>
      <c r="S414" s="25"/>
      <c r="T414" s="26"/>
      <c r="U414" s="25"/>
      <c r="V414" s="25"/>
      <c r="W414" s="30"/>
      <c r="X414" s="25"/>
      <c r="Y414" s="25"/>
    </row>
    <row r="415" spans="1:25" x14ac:dyDescent="0.25">
      <c r="A415" s="32"/>
      <c r="B415" s="32"/>
      <c r="C415" s="32"/>
      <c r="D415" s="32"/>
      <c r="E415" s="32"/>
      <c r="F415" s="32"/>
      <c r="G415" s="32"/>
      <c r="H415" s="138"/>
      <c r="I415" s="32"/>
      <c r="J415" s="32"/>
      <c r="K415" s="32"/>
      <c r="L415" s="32"/>
      <c r="M415" s="32"/>
      <c r="N415" s="55"/>
      <c r="O415" s="56"/>
      <c r="P415" s="54"/>
      <c r="Q415" s="27"/>
      <c r="R415" s="27"/>
      <c r="S415" s="27"/>
      <c r="T415" s="28"/>
      <c r="U415" s="27"/>
      <c r="V415" s="27"/>
      <c r="W415" s="29"/>
      <c r="X415" s="27"/>
      <c r="Y415" s="27"/>
    </row>
    <row r="416" spans="1:25" x14ac:dyDescent="0.25">
      <c r="A416" s="33"/>
      <c r="B416" s="33"/>
      <c r="C416" s="33"/>
      <c r="D416" s="33"/>
      <c r="E416" s="33"/>
      <c r="F416" s="33"/>
      <c r="G416" s="33"/>
      <c r="H416" s="139"/>
      <c r="I416" s="33"/>
      <c r="J416" s="33"/>
      <c r="K416" s="33"/>
      <c r="L416" s="33"/>
      <c r="M416" s="33"/>
      <c r="N416" s="57"/>
      <c r="O416" s="58"/>
      <c r="P416" s="53"/>
      <c r="Q416" s="25"/>
      <c r="R416" s="25"/>
      <c r="S416" s="25"/>
      <c r="T416" s="26"/>
      <c r="U416" s="25"/>
      <c r="V416" s="25"/>
      <c r="W416" s="30"/>
      <c r="X416" s="25"/>
      <c r="Y416" s="25"/>
    </row>
    <row r="417" spans="1:25" x14ac:dyDescent="0.25">
      <c r="A417" s="32"/>
      <c r="B417" s="32"/>
      <c r="C417" s="32"/>
      <c r="D417" s="32"/>
      <c r="E417" s="32"/>
      <c r="F417" s="32"/>
      <c r="G417" s="32"/>
      <c r="H417" s="138"/>
      <c r="I417" s="32"/>
      <c r="J417" s="32"/>
      <c r="K417" s="32"/>
      <c r="L417" s="32"/>
      <c r="M417" s="32"/>
      <c r="N417" s="55"/>
      <c r="O417" s="56"/>
      <c r="P417" s="54"/>
      <c r="Q417" s="27"/>
      <c r="R417" s="27"/>
      <c r="S417" s="27"/>
      <c r="T417" s="28"/>
      <c r="U417" s="27"/>
      <c r="V417" s="27"/>
      <c r="W417" s="29"/>
      <c r="X417" s="27"/>
      <c r="Y417" s="27"/>
    </row>
    <row r="418" spans="1:25" x14ac:dyDescent="0.25">
      <c r="N418" s="57"/>
      <c r="O418" s="58"/>
      <c r="P418" s="53"/>
      <c r="Q418" s="25"/>
      <c r="R418" s="25"/>
      <c r="S418" s="25"/>
      <c r="T418" s="26"/>
      <c r="U418" s="25"/>
      <c r="V418" s="25"/>
      <c r="W418" s="30"/>
      <c r="X418" s="25"/>
      <c r="Y418" s="25"/>
    </row>
    <row r="419" spans="1:25" x14ac:dyDescent="0.25">
      <c r="A419" s="32"/>
      <c r="B419" s="32"/>
      <c r="C419" s="32"/>
      <c r="D419" s="32"/>
      <c r="E419" s="32"/>
      <c r="F419" s="32"/>
      <c r="G419" s="32"/>
      <c r="H419" s="138"/>
      <c r="I419" s="32"/>
      <c r="J419" s="32"/>
      <c r="K419" s="32"/>
      <c r="L419" s="32"/>
      <c r="M419" s="32"/>
      <c r="N419" s="55"/>
      <c r="O419" s="56"/>
      <c r="P419" s="54"/>
      <c r="Q419" s="27"/>
      <c r="R419" s="27"/>
      <c r="S419" s="27"/>
      <c r="T419" s="28"/>
      <c r="U419" s="27"/>
      <c r="V419" s="27"/>
      <c r="W419" s="29"/>
      <c r="X419" s="27"/>
      <c r="Y419" s="27"/>
    </row>
    <row r="420" spans="1:25" x14ac:dyDescent="0.25">
      <c r="A420" s="33"/>
      <c r="B420" s="33"/>
      <c r="C420" s="33"/>
      <c r="D420" s="33"/>
      <c r="E420" s="33"/>
      <c r="F420" s="33"/>
      <c r="G420" s="33"/>
      <c r="H420" s="139"/>
      <c r="I420" s="33"/>
      <c r="J420" s="33"/>
      <c r="K420" s="33"/>
      <c r="L420" s="33"/>
      <c r="M420" s="33"/>
      <c r="N420" s="57"/>
      <c r="O420" s="58"/>
      <c r="P420" s="53"/>
      <c r="Q420" s="25"/>
      <c r="R420" s="25"/>
      <c r="S420" s="25"/>
      <c r="T420" s="26"/>
      <c r="U420" s="25"/>
      <c r="V420" s="25"/>
      <c r="W420" s="30"/>
      <c r="X420" s="25"/>
      <c r="Y420" s="25"/>
    </row>
    <row r="421" spans="1:25" x14ac:dyDescent="0.25">
      <c r="A421" s="32"/>
      <c r="B421" s="32"/>
      <c r="C421" s="32"/>
      <c r="D421" s="32"/>
      <c r="E421" s="32"/>
      <c r="F421" s="32"/>
      <c r="G421" s="32"/>
      <c r="H421" s="138"/>
      <c r="I421" s="32"/>
      <c r="J421" s="32"/>
      <c r="K421" s="32"/>
      <c r="L421" s="32"/>
      <c r="M421" s="32"/>
      <c r="N421" s="55"/>
      <c r="O421" s="56"/>
      <c r="P421" s="54"/>
      <c r="Q421" s="27"/>
      <c r="R421" s="27"/>
      <c r="S421" s="27"/>
      <c r="T421" s="28"/>
      <c r="U421" s="27"/>
      <c r="V421" s="27"/>
      <c r="W421" s="29"/>
      <c r="X421" s="27"/>
      <c r="Y421" s="27"/>
    </row>
    <row r="422" spans="1:25" x14ac:dyDescent="0.25">
      <c r="A422" s="33"/>
      <c r="B422" s="33"/>
      <c r="C422" s="33"/>
      <c r="D422" s="33"/>
      <c r="E422" s="33"/>
      <c r="F422" s="33"/>
      <c r="G422" s="33"/>
      <c r="H422" s="139"/>
      <c r="I422" s="33"/>
      <c r="J422" s="33"/>
      <c r="K422" s="33"/>
      <c r="L422" s="33"/>
      <c r="M422" s="33"/>
      <c r="N422" s="57"/>
      <c r="O422" s="58"/>
      <c r="P422" s="53"/>
      <c r="Q422" s="25"/>
      <c r="R422" s="25"/>
      <c r="S422" s="25"/>
      <c r="T422" s="26"/>
      <c r="U422" s="25"/>
      <c r="V422" s="25"/>
      <c r="W422" s="30"/>
      <c r="X422" s="25"/>
      <c r="Y422" s="25"/>
    </row>
    <row r="423" spans="1:25" x14ac:dyDescent="0.25">
      <c r="A423" s="32"/>
      <c r="B423" s="32"/>
      <c r="C423" s="32"/>
      <c r="D423" s="32"/>
      <c r="E423" s="32"/>
      <c r="F423" s="32"/>
      <c r="G423" s="32"/>
      <c r="H423" s="138"/>
      <c r="I423" s="32"/>
      <c r="J423" s="32"/>
      <c r="K423" s="32"/>
      <c r="L423" s="32"/>
      <c r="M423" s="32"/>
      <c r="N423" s="55"/>
      <c r="O423" s="56"/>
      <c r="P423" s="54"/>
      <c r="Q423" s="27"/>
      <c r="R423" s="27"/>
      <c r="S423" s="27"/>
      <c r="T423" s="28"/>
      <c r="U423" s="27"/>
      <c r="V423" s="27"/>
      <c r="W423" s="29"/>
      <c r="X423" s="27"/>
      <c r="Y423" s="27"/>
    </row>
    <row r="424" spans="1:25" x14ac:dyDescent="0.25">
      <c r="A424" s="33"/>
      <c r="B424" s="33"/>
      <c r="C424" s="33"/>
      <c r="D424" s="33"/>
      <c r="E424" s="33"/>
      <c r="F424" s="33"/>
      <c r="G424" s="33"/>
      <c r="H424" s="139"/>
      <c r="I424" s="33"/>
      <c r="J424" s="33"/>
      <c r="K424" s="33"/>
      <c r="L424" s="33"/>
      <c r="M424" s="33"/>
      <c r="N424" s="59"/>
      <c r="O424" s="15"/>
      <c r="P424" s="60"/>
      <c r="Q424" s="11"/>
      <c r="R424" s="2"/>
      <c r="S424" s="2"/>
      <c r="T424" s="12"/>
      <c r="U424" s="3"/>
      <c r="V424" s="4"/>
      <c r="W424" s="4"/>
      <c r="X424" s="4"/>
      <c r="Y424" s="4"/>
    </row>
    <row r="425" spans="1:25" x14ac:dyDescent="0.25">
      <c r="A425" s="32"/>
      <c r="B425" s="32"/>
      <c r="C425" s="32"/>
      <c r="D425" s="32"/>
      <c r="E425" s="32"/>
      <c r="F425" s="32"/>
      <c r="G425" s="32"/>
      <c r="H425" s="138"/>
      <c r="I425" s="32"/>
      <c r="J425" s="32"/>
      <c r="K425" s="32"/>
      <c r="L425" s="32"/>
      <c r="M425" s="32"/>
      <c r="N425" s="55"/>
      <c r="O425" s="56"/>
      <c r="P425" s="54"/>
      <c r="Q425" s="27"/>
      <c r="R425" s="27"/>
      <c r="S425" s="27"/>
      <c r="T425" s="28"/>
      <c r="U425" s="27"/>
      <c r="V425" s="27"/>
      <c r="W425" s="29"/>
      <c r="X425" s="27"/>
      <c r="Y425" s="27"/>
    </row>
    <row r="426" spans="1:25" x14ac:dyDescent="0.25">
      <c r="A426" s="32"/>
      <c r="B426" s="32"/>
      <c r="C426" s="32"/>
      <c r="D426" s="32"/>
      <c r="E426" s="32"/>
      <c r="F426" s="32"/>
      <c r="G426" s="32"/>
      <c r="H426" s="138"/>
      <c r="I426" s="32"/>
      <c r="J426" s="32"/>
      <c r="K426" s="32"/>
      <c r="L426" s="32"/>
      <c r="M426" s="32"/>
      <c r="N426" s="57"/>
      <c r="O426" s="58"/>
      <c r="P426" s="53"/>
      <c r="Q426" s="25"/>
      <c r="R426" s="25"/>
      <c r="S426" s="25"/>
      <c r="T426" s="26"/>
      <c r="U426" s="25"/>
      <c r="V426" s="25"/>
      <c r="W426" s="30"/>
      <c r="X426" s="25"/>
      <c r="Y426" s="25"/>
    </row>
    <row r="427" spans="1:25" x14ac:dyDescent="0.25">
      <c r="A427" s="33"/>
      <c r="B427" s="33"/>
      <c r="C427" s="33"/>
      <c r="D427" s="33"/>
      <c r="E427" s="33"/>
      <c r="F427" s="33"/>
      <c r="G427" s="33"/>
      <c r="H427" s="139"/>
      <c r="I427" s="33"/>
      <c r="J427" s="33"/>
      <c r="K427" s="33"/>
      <c r="L427" s="33"/>
      <c r="M427" s="33"/>
      <c r="N427" s="55"/>
      <c r="O427" s="56"/>
      <c r="P427" s="54"/>
      <c r="Q427" s="27"/>
      <c r="R427" s="27"/>
      <c r="S427" s="27"/>
      <c r="T427" s="28"/>
      <c r="U427" s="27"/>
      <c r="V427" s="27"/>
      <c r="W427" s="29"/>
      <c r="X427" s="27"/>
      <c r="Y427" s="27"/>
    </row>
    <row r="428" spans="1:25" x14ac:dyDescent="0.25">
      <c r="A428" s="32"/>
      <c r="B428" s="32"/>
      <c r="C428" s="32"/>
      <c r="D428" s="32"/>
      <c r="E428" s="32"/>
      <c r="F428" s="32"/>
      <c r="G428" s="32"/>
      <c r="H428" s="138"/>
      <c r="I428" s="32"/>
      <c r="J428" s="32"/>
      <c r="K428" s="32"/>
      <c r="L428" s="32"/>
      <c r="M428" s="32"/>
      <c r="N428" s="57"/>
      <c r="O428" s="58"/>
      <c r="P428" s="53"/>
      <c r="Q428" s="25"/>
      <c r="R428" s="25"/>
      <c r="S428" s="25"/>
      <c r="T428" s="26"/>
      <c r="U428" s="25"/>
      <c r="V428" s="25"/>
      <c r="W428" s="30"/>
      <c r="X428" s="25"/>
      <c r="Y428" s="25"/>
    </row>
    <row r="429" spans="1:25" x14ac:dyDescent="0.25">
      <c r="A429" s="33"/>
      <c r="B429" s="33"/>
      <c r="C429" s="33"/>
      <c r="D429" s="33"/>
      <c r="E429" s="33"/>
      <c r="F429" s="33"/>
      <c r="G429" s="33"/>
      <c r="H429" s="139"/>
      <c r="I429" s="33"/>
      <c r="J429" s="33"/>
      <c r="K429" s="33"/>
      <c r="L429" s="33"/>
      <c r="M429" s="33"/>
      <c r="N429" s="55"/>
      <c r="O429" s="56"/>
      <c r="P429" s="54"/>
      <c r="Q429" s="27"/>
      <c r="R429" s="27"/>
      <c r="S429" s="27"/>
      <c r="T429" s="28"/>
      <c r="U429" s="27"/>
      <c r="V429" s="27"/>
      <c r="W429" s="29"/>
      <c r="X429" s="27"/>
      <c r="Y429" s="27"/>
    </row>
    <row r="430" spans="1:25" x14ac:dyDescent="0.25">
      <c r="A430" s="32"/>
      <c r="B430" s="32"/>
      <c r="C430" s="32"/>
      <c r="D430" s="32"/>
      <c r="E430" s="32"/>
      <c r="F430" s="32"/>
      <c r="G430" s="32"/>
      <c r="H430" s="138"/>
      <c r="I430" s="32"/>
      <c r="J430" s="32"/>
      <c r="K430" s="32"/>
      <c r="L430" s="32"/>
      <c r="M430" s="32"/>
      <c r="N430" s="57"/>
      <c r="O430" s="58"/>
      <c r="P430" s="53"/>
      <c r="Q430" s="25"/>
      <c r="R430" s="25"/>
      <c r="S430" s="25"/>
      <c r="T430" s="26"/>
      <c r="U430" s="25"/>
      <c r="V430" s="25"/>
      <c r="W430" s="30"/>
      <c r="X430" s="25"/>
      <c r="Y430" s="25"/>
    </row>
    <row r="431" spans="1:25" x14ac:dyDescent="0.25">
      <c r="A431" s="33"/>
      <c r="B431" s="33"/>
      <c r="C431" s="33"/>
      <c r="D431" s="33"/>
      <c r="E431" s="33"/>
      <c r="F431" s="33"/>
      <c r="G431" s="33"/>
      <c r="H431" s="139"/>
      <c r="I431" s="33"/>
      <c r="J431" s="33"/>
      <c r="K431" s="33"/>
      <c r="L431" s="33"/>
      <c r="M431" s="33"/>
      <c r="N431" s="55"/>
      <c r="O431" s="56"/>
      <c r="P431" s="54"/>
      <c r="Q431" s="27"/>
      <c r="R431" s="27"/>
      <c r="S431" s="27"/>
      <c r="T431" s="28"/>
      <c r="U431" s="27"/>
      <c r="V431" s="27"/>
      <c r="W431" s="29"/>
      <c r="X431" s="27"/>
      <c r="Y431" s="27"/>
    </row>
    <row r="432" spans="1:25" x14ac:dyDescent="0.25">
      <c r="A432" s="32"/>
      <c r="B432" s="32"/>
      <c r="C432" s="32"/>
      <c r="D432" s="32"/>
      <c r="E432" s="32"/>
      <c r="F432" s="32"/>
      <c r="G432" s="32"/>
      <c r="H432" s="138"/>
      <c r="I432" s="32"/>
      <c r="J432" s="32"/>
      <c r="K432" s="32"/>
      <c r="L432" s="32"/>
      <c r="M432" s="32"/>
      <c r="N432" s="57"/>
      <c r="O432" s="58"/>
      <c r="P432" s="53"/>
      <c r="Q432" s="25"/>
      <c r="R432" s="25"/>
      <c r="S432" s="25"/>
      <c r="T432" s="26"/>
      <c r="U432" s="25"/>
      <c r="V432" s="25"/>
      <c r="W432" s="30"/>
      <c r="X432" s="25"/>
      <c r="Y432" s="25"/>
    </row>
    <row r="433" spans="1:25" x14ac:dyDescent="0.25">
      <c r="A433" s="33"/>
      <c r="B433" s="33"/>
      <c r="C433" s="33"/>
      <c r="D433" s="33"/>
      <c r="E433" s="33"/>
      <c r="F433" s="33"/>
      <c r="G433" s="33"/>
      <c r="H433" s="139"/>
      <c r="I433" s="33"/>
      <c r="J433" s="33"/>
      <c r="K433" s="33"/>
      <c r="L433" s="33"/>
      <c r="M433" s="33"/>
      <c r="N433" s="55"/>
      <c r="O433" s="56"/>
      <c r="P433" s="54"/>
      <c r="Q433" s="27"/>
      <c r="R433" s="27"/>
      <c r="S433" s="27"/>
      <c r="T433" s="28"/>
      <c r="U433" s="27"/>
      <c r="V433" s="27"/>
      <c r="W433" s="29"/>
      <c r="X433" s="27"/>
      <c r="Y433" s="27"/>
    </row>
    <row r="434" spans="1:25" x14ac:dyDescent="0.25">
      <c r="A434" s="32"/>
      <c r="B434" s="32"/>
      <c r="C434" s="32"/>
      <c r="D434" s="32"/>
      <c r="E434" s="32"/>
      <c r="F434" s="32"/>
      <c r="G434" s="32"/>
      <c r="H434" s="138"/>
      <c r="I434" s="32"/>
      <c r="J434" s="32"/>
      <c r="K434" s="32"/>
      <c r="L434" s="32"/>
      <c r="M434" s="32"/>
      <c r="N434" s="57"/>
      <c r="O434" s="58"/>
      <c r="P434" s="53"/>
      <c r="Q434" s="25"/>
      <c r="R434" s="25"/>
      <c r="S434" s="25"/>
      <c r="T434" s="26"/>
      <c r="U434" s="25"/>
      <c r="V434" s="25"/>
      <c r="W434" s="30"/>
      <c r="X434" s="25"/>
      <c r="Y434" s="25"/>
    </row>
    <row r="435" spans="1:25" x14ac:dyDescent="0.25">
      <c r="N435" s="55"/>
      <c r="O435" s="56"/>
      <c r="P435" s="54"/>
      <c r="Q435" s="27"/>
      <c r="R435" s="27"/>
      <c r="S435" s="27"/>
      <c r="T435" s="28"/>
      <c r="U435" s="27"/>
      <c r="V435" s="27"/>
      <c r="W435" s="29"/>
      <c r="X435" s="27"/>
      <c r="Y435" s="27"/>
    </row>
    <row r="436" spans="1:25" x14ac:dyDescent="0.25">
      <c r="A436" s="32"/>
      <c r="B436" s="32"/>
      <c r="C436" s="32"/>
      <c r="D436" s="32"/>
      <c r="E436" s="32"/>
      <c r="F436" s="32"/>
      <c r="G436" s="32"/>
      <c r="H436" s="138"/>
      <c r="I436" s="32"/>
      <c r="J436" s="32"/>
      <c r="K436" s="32"/>
      <c r="L436" s="32"/>
      <c r="M436" s="32"/>
      <c r="N436" s="57"/>
      <c r="O436" s="58"/>
      <c r="P436" s="53"/>
      <c r="Q436" s="25"/>
      <c r="R436" s="25"/>
      <c r="S436" s="25"/>
      <c r="T436" s="26"/>
      <c r="U436" s="25"/>
      <c r="V436" s="25"/>
      <c r="W436" s="30"/>
      <c r="X436" s="25"/>
      <c r="Y436" s="25"/>
    </row>
    <row r="437" spans="1:25" x14ac:dyDescent="0.25">
      <c r="A437" s="33"/>
      <c r="B437" s="33"/>
      <c r="C437" s="33"/>
      <c r="D437" s="33"/>
      <c r="E437" s="33"/>
      <c r="F437" s="33"/>
      <c r="G437" s="33"/>
      <c r="H437" s="139"/>
      <c r="I437" s="33"/>
      <c r="J437" s="33"/>
      <c r="K437" s="33"/>
      <c r="L437" s="33"/>
      <c r="M437" s="33"/>
      <c r="N437" s="55"/>
      <c r="O437" s="56"/>
      <c r="P437" s="54"/>
      <c r="Q437" s="27"/>
      <c r="R437" s="27"/>
      <c r="S437" s="27"/>
      <c r="T437" s="28"/>
      <c r="U437" s="27"/>
      <c r="V437" s="27"/>
      <c r="W437" s="29"/>
      <c r="X437" s="27"/>
      <c r="Y437" s="27"/>
    </row>
    <row r="438" spans="1:25" x14ac:dyDescent="0.25">
      <c r="A438" s="32"/>
      <c r="B438" s="32"/>
      <c r="C438" s="32"/>
      <c r="D438" s="32"/>
      <c r="E438" s="32"/>
      <c r="F438" s="32"/>
      <c r="G438" s="32"/>
      <c r="H438" s="138"/>
      <c r="I438" s="32"/>
      <c r="J438" s="32"/>
      <c r="K438" s="32"/>
      <c r="L438" s="32"/>
      <c r="M438" s="32"/>
      <c r="N438" s="57"/>
      <c r="O438" s="58"/>
      <c r="P438" s="53"/>
      <c r="Q438" s="25"/>
      <c r="R438" s="25"/>
      <c r="S438" s="25"/>
      <c r="T438" s="26"/>
      <c r="U438" s="25"/>
      <c r="V438" s="25"/>
      <c r="W438" s="30"/>
      <c r="X438" s="25"/>
      <c r="Y438" s="25"/>
    </row>
    <row r="439" spans="1:25" x14ac:dyDescent="0.25">
      <c r="A439" s="33"/>
      <c r="B439" s="33"/>
      <c r="C439" s="33"/>
      <c r="D439" s="33"/>
      <c r="E439" s="33"/>
      <c r="F439" s="33"/>
      <c r="G439" s="33"/>
      <c r="H439" s="139"/>
      <c r="I439" s="33"/>
      <c r="J439" s="33"/>
      <c r="K439" s="33"/>
      <c r="L439" s="33"/>
      <c r="M439" s="33"/>
      <c r="N439" s="55"/>
      <c r="O439" s="56"/>
      <c r="P439" s="54"/>
      <c r="Q439" s="27"/>
      <c r="R439" s="27"/>
      <c r="S439" s="27"/>
      <c r="T439" s="28"/>
      <c r="U439" s="27"/>
      <c r="V439" s="27"/>
      <c r="W439" s="29"/>
      <c r="X439" s="27"/>
      <c r="Y439" s="27"/>
    </row>
    <row r="440" spans="1:25" x14ac:dyDescent="0.25">
      <c r="A440" s="32"/>
      <c r="B440" s="32"/>
      <c r="C440" s="32"/>
      <c r="D440" s="32"/>
      <c r="E440" s="32"/>
      <c r="F440" s="32"/>
      <c r="G440" s="32"/>
      <c r="H440" s="138"/>
      <c r="I440" s="32"/>
      <c r="J440" s="32"/>
      <c r="K440" s="32"/>
      <c r="L440" s="32"/>
      <c r="M440" s="32"/>
      <c r="N440" s="59"/>
      <c r="O440" s="15"/>
      <c r="P440" s="60"/>
      <c r="Q440" s="11"/>
      <c r="R440" s="2"/>
      <c r="S440" s="2"/>
      <c r="T440" s="12"/>
      <c r="U440" s="3"/>
      <c r="V440" s="4"/>
      <c r="W440" s="4"/>
      <c r="X440" s="4"/>
      <c r="Y440" s="4"/>
    </row>
    <row r="441" spans="1:25" x14ac:dyDescent="0.25">
      <c r="A441" s="33"/>
      <c r="B441" s="33"/>
      <c r="C441" s="33"/>
      <c r="D441" s="33"/>
      <c r="E441" s="33"/>
      <c r="F441" s="33"/>
      <c r="G441" s="33"/>
      <c r="H441" s="139"/>
      <c r="I441" s="33"/>
      <c r="J441" s="33"/>
      <c r="K441" s="33"/>
      <c r="L441" s="33"/>
      <c r="M441" s="33"/>
      <c r="N441" s="55"/>
      <c r="O441" s="56"/>
      <c r="P441" s="54"/>
      <c r="Q441" s="27"/>
      <c r="R441" s="27"/>
      <c r="S441" s="27"/>
      <c r="T441" s="28"/>
      <c r="U441" s="27"/>
      <c r="V441" s="27"/>
      <c r="W441" s="29"/>
      <c r="X441" s="27"/>
      <c r="Y441" s="27"/>
    </row>
    <row r="442" spans="1:25" x14ac:dyDescent="0.25">
      <c r="A442" s="32"/>
      <c r="B442" s="32"/>
      <c r="C442" s="32"/>
      <c r="D442" s="32"/>
      <c r="E442" s="32"/>
      <c r="F442" s="32"/>
      <c r="G442" s="32"/>
      <c r="H442" s="138"/>
      <c r="I442" s="32"/>
      <c r="J442" s="32"/>
      <c r="K442" s="32"/>
      <c r="L442" s="32"/>
      <c r="M442" s="32"/>
      <c r="N442" s="57"/>
      <c r="O442" s="58"/>
      <c r="P442" s="53"/>
      <c r="Q442" s="25"/>
      <c r="R442" s="25"/>
      <c r="S442" s="25"/>
      <c r="T442" s="26"/>
      <c r="U442" s="25"/>
      <c r="V442" s="25"/>
      <c r="W442" s="30"/>
      <c r="X442" s="25"/>
      <c r="Y442" s="25"/>
    </row>
    <row r="443" spans="1:25" x14ac:dyDescent="0.25">
      <c r="A443" s="32"/>
      <c r="B443" s="32"/>
      <c r="C443" s="32"/>
      <c r="D443" s="32"/>
      <c r="E443" s="32"/>
      <c r="F443" s="32"/>
      <c r="G443" s="32"/>
      <c r="H443" s="138"/>
      <c r="I443" s="32"/>
      <c r="J443" s="32"/>
      <c r="K443" s="32"/>
      <c r="L443" s="32"/>
      <c r="M443" s="32"/>
      <c r="N443" s="55"/>
      <c r="O443" s="56"/>
      <c r="P443" s="54"/>
      <c r="Q443" s="27"/>
      <c r="R443" s="27"/>
      <c r="S443" s="27"/>
      <c r="T443" s="28"/>
      <c r="U443" s="27"/>
      <c r="V443" s="27"/>
      <c r="W443" s="29"/>
      <c r="X443" s="27"/>
      <c r="Y443" s="27"/>
    </row>
    <row r="444" spans="1:25" x14ac:dyDescent="0.25">
      <c r="A444" s="33"/>
      <c r="B444" s="33"/>
      <c r="C444" s="33"/>
      <c r="D444" s="33"/>
      <c r="E444" s="33"/>
      <c r="F444" s="33"/>
      <c r="G444" s="33"/>
      <c r="H444" s="139"/>
      <c r="I444" s="33"/>
      <c r="J444" s="33"/>
      <c r="K444" s="33"/>
      <c r="L444" s="33"/>
      <c r="M444" s="33"/>
      <c r="N444" s="57"/>
      <c r="O444" s="58"/>
      <c r="P444" s="53"/>
      <c r="Q444" s="25"/>
      <c r="R444" s="25"/>
      <c r="S444" s="25"/>
      <c r="T444" s="26"/>
      <c r="U444" s="25"/>
      <c r="V444" s="25"/>
      <c r="W444" s="30"/>
      <c r="X444" s="25"/>
      <c r="Y444" s="25"/>
    </row>
    <row r="445" spans="1:25" x14ac:dyDescent="0.25">
      <c r="A445" s="32"/>
      <c r="B445" s="32"/>
      <c r="C445" s="32"/>
      <c r="D445" s="32"/>
      <c r="E445" s="32"/>
      <c r="F445" s="32"/>
      <c r="G445" s="32"/>
      <c r="H445" s="138"/>
      <c r="I445" s="32"/>
      <c r="J445" s="32"/>
      <c r="K445" s="32"/>
      <c r="L445" s="32"/>
      <c r="M445" s="32"/>
      <c r="N445" s="55"/>
      <c r="O445" s="56"/>
      <c r="P445" s="54"/>
      <c r="Q445" s="27"/>
      <c r="R445" s="27"/>
      <c r="S445" s="27"/>
      <c r="T445" s="28"/>
      <c r="U445" s="27"/>
      <c r="V445" s="27"/>
      <c r="W445" s="29"/>
      <c r="X445" s="27"/>
      <c r="Y445" s="27"/>
    </row>
    <row r="446" spans="1:25" x14ac:dyDescent="0.25">
      <c r="A446" s="33"/>
      <c r="B446" s="33"/>
      <c r="C446" s="33"/>
      <c r="D446" s="33"/>
      <c r="E446" s="33"/>
      <c r="F446" s="33"/>
      <c r="G446" s="33"/>
      <c r="H446" s="139"/>
      <c r="I446" s="33"/>
      <c r="J446" s="33"/>
      <c r="K446" s="33"/>
      <c r="L446" s="33"/>
      <c r="M446" s="33"/>
      <c r="N446" s="57"/>
      <c r="O446" s="58"/>
      <c r="P446" s="53"/>
      <c r="Q446" s="25"/>
      <c r="R446" s="25"/>
      <c r="S446" s="25"/>
      <c r="T446" s="26"/>
      <c r="U446" s="25"/>
      <c r="V446" s="25"/>
      <c r="W446" s="30"/>
      <c r="X446" s="25"/>
      <c r="Y446" s="25"/>
    </row>
    <row r="447" spans="1:25" x14ac:dyDescent="0.25">
      <c r="A447" s="32"/>
      <c r="B447" s="32"/>
      <c r="C447" s="32"/>
      <c r="D447" s="32"/>
      <c r="E447" s="32"/>
      <c r="F447" s="32"/>
      <c r="G447" s="32"/>
      <c r="H447" s="138"/>
      <c r="I447" s="32"/>
      <c r="J447" s="32"/>
      <c r="K447" s="32"/>
      <c r="L447" s="32"/>
      <c r="M447" s="32"/>
      <c r="N447" s="55"/>
      <c r="O447" s="56"/>
      <c r="P447" s="54"/>
      <c r="Q447" s="27"/>
      <c r="R447" s="27"/>
      <c r="S447" s="27"/>
      <c r="T447" s="28"/>
      <c r="U447" s="27"/>
      <c r="V447" s="27"/>
      <c r="W447" s="29"/>
      <c r="X447" s="27"/>
      <c r="Y447" s="27"/>
    </row>
    <row r="448" spans="1:25" x14ac:dyDescent="0.25">
      <c r="A448" s="33"/>
      <c r="B448" s="33"/>
      <c r="C448" s="33"/>
      <c r="D448" s="33"/>
      <c r="E448" s="33"/>
      <c r="F448" s="33"/>
      <c r="G448" s="33"/>
      <c r="H448" s="139"/>
      <c r="I448" s="33"/>
      <c r="J448" s="33"/>
      <c r="K448" s="33"/>
      <c r="L448" s="33"/>
      <c r="M448" s="33"/>
      <c r="N448" s="57"/>
      <c r="O448" s="58"/>
      <c r="P448" s="53"/>
      <c r="Q448" s="25"/>
      <c r="R448" s="25"/>
      <c r="S448" s="25"/>
      <c r="T448" s="26"/>
      <c r="U448" s="25"/>
      <c r="V448" s="25"/>
      <c r="W448" s="30"/>
      <c r="X448" s="25"/>
      <c r="Y448" s="25"/>
    </row>
    <row r="449" spans="1:25" x14ac:dyDescent="0.25">
      <c r="A449" s="32"/>
      <c r="B449" s="32"/>
      <c r="C449" s="32"/>
      <c r="D449" s="32"/>
      <c r="E449" s="32"/>
      <c r="F449" s="32"/>
      <c r="G449" s="32"/>
      <c r="H449" s="138"/>
      <c r="I449" s="32"/>
      <c r="J449" s="32"/>
      <c r="K449" s="32"/>
      <c r="L449" s="32"/>
      <c r="M449" s="32"/>
      <c r="N449" s="55"/>
      <c r="O449" s="56"/>
      <c r="P449" s="54"/>
      <c r="Q449" s="27"/>
      <c r="R449" s="27"/>
      <c r="S449" s="27"/>
      <c r="T449" s="28"/>
      <c r="U449" s="27"/>
      <c r="V449" s="27"/>
      <c r="W449" s="29"/>
      <c r="X449" s="27"/>
      <c r="Y449" s="27"/>
    </row>
    <row r="450" spans="1:25" x14ac:dyDescent="0.25">
      <c r="A450" s="33"/>
      <c r="B450" s="33"/>
      <c r="C450" s="33"/>
      <c r="D450" s="33"/>
      <c r="E450" s="33"/>
      <c r="F450" s="33"/>
      <c r="G450" s="33"/>
      <c r="H450" s="139"/>
      <c r="I450" s="33"/>
      <c r="J450" s="33"/>
      <c r="K450" s="33"/>
      <c r="L450" s="33"/>
      <c r="M450" s="33"/>
      <c r="N450" s="57"/>
      <c r="O450" s="58"/>
      <c r="P450" s="53"/>
      <c r="Q450" s="25"/>
      <c r="R450" s="25"/>
      <c r="S450" s="25"/>
      <c r="T450" s="26"/>
      <c r="U450" s="25"/>
      <c r="V450" s="25"/>
      <c r="W450" s="30"/>
      <c r="X450" s="25"/>
      <c r="Y450" s="25"/>
    </row>
    <row r="451" spans="1:25" x14ac:dyDescent="0.25">
      <c r="A451" s="32"/>
      <c r="B451" s="32"/>
      <c r="C451" s="32"/>
      <c r="D451" s="32"/>
      <c r="E451" s="32"/>
      <c r="F451" s="32"/>
      <c r="G451" s="32"/>
      <c r="H451" s="138"/>
      <c r="I451" s="32"/>
      <c r="J451" s="32"/>
      <c r="K451" s="32"/>
      <c r="L451" s="32"/>
      <c r="M451" s="32"/>
      <c r="N451" s="55"/>
      <c r="O451" s="56"/>
      <c r="P451" s="54"/>
      <c r="Q451" s="27"/>
      <c r="R451" s="27"/>
      <c r="S451" s="27"/>
      <c r="T451" s="28"/>
      <c r="U451" s="27"/>
      <c r="V451" s="27"/>
      <c r="W451" s="29"/>
      <c r="X451" s="27"/>
      <c r="Y451" s="27"/>
    </row>
    <row r="452" spans="1:25" x14ac:dyDescent="0.25">
      <c r="N452" s="57"/>
      <c r="O452" s="58"/>
      <c r="P452" s="53"/>
      <c r="Q452" s="25"/>
      <c r="R452" s="25"/>
      <c r="S452" s="25"/>
      <c r="T452" s="26"/>
      <c r="U452" s="25"/>
      <c r="V452" s="25"/>
      <c r="W452" s="30"/>
      <c r="X452" s="25"/>
      <c r="Y452" s="25"/>
    </row>
    <row r="453" spans="1:25" x14ac:dyDescent="0.25">
      <c r="A453" s="32"/>
      <c r="B453" s="32"/>
      <c r="C453" s="32"/>
      <c r="D453" s="32"/>
      <c r="E453" s="32"/>
      <c r="F453" s="32"/>
      <c r="G453" s="32"/>
      <c r="H453" s="138"/>
      <c r="I453" s="32"/>
      <c r="J453" s="32"/>
      <c r="K453" s="32"/>
      <c r="L453" s="32"/>
      <c r="M453" s="32"/>
      <c r="N453" s="55"/>
      <c r="O453" s="56"/>
      <c r="P453" s="54"/>
      <c r="Q453" s="27"/>
      <c r="R453" s="27"/>
      <c r="S453" s="27"/>
      <c r="T453" s="28"/>
      <c r="U453" s="27"/>
      <c r="V453" s="27"/>
      <c r="W453" s="29"/>
      <c r="X453" s="27"/>
      <c r="Y453" s="27"/>
    </row>
    <row r="454" spans="1:25" x14ac:dyDescent="0.25">
      <c r="A454" s="33"/>
      <c r="B454" s="33"/>
      <c r="C454" s="33"/>
      <c r="D454" s="33"/>
      <c r="E454" s="33"/>
      <c r="F454" s="33"/>
      <c r="G454" s="33"/>
      <c r="H454" s="139"/>
      <c r="I454" s="33"/>
      <c r="J454" s="33"/>
      <c r="K454" s="33"/>
      <c r="L454" s="33"/>
      <c r="M454" s="33"/>
      <c r="N454" s="57"/>
      <c r="O454" s="58"/>
      <c r="P454" s="53"/>
      <c r="Q454" s="25"/>
      <c r="R454" s="25"/>
      <c r="S454" s="25"/>
      <c r="T454" s="26"/>
      <c r="U454" s="25"/>
      <c r="V454" s="25"/>
      <c r="W454" s="30"/>
      <c r="X454" s="25"/>
      <c r="Y454" s="25"/>
    </row>
    <row r="455" spans="1:25" x14ac:dyDescent="0.25">
      <c r="A455" s="32"/>
      <c r="B455" s="32"/>
      <c r="C455" s="32"/>
      <c r="D455" s="32"/>
      <c r="E455" s="32"/>
      <c r="F455" s="32"/>
      <c r="G455" s="32"/>
      <c r="H455" s="138"/>
      <c r="I455" s="32"/>
      <c r="J455" s="32"/>
      <c r="K455" s="32"/>
      <c r="L455" s="32"/>
      <c r="M455" s="32"/>
      <c r="N455" s="55"/>
      <c r="O455" s="56"/>
      <c r="P455" s="54"/>
      <c r="Q455" s="27"/>
      <c r="R455" s="27"/>
      <c r="S455" s="27"/>
      <c r="T455" s="28"/>
      <c r="U455" s="27"/>
      <c r="V455" s="27"/>
      <c r="W455" s="29"/>
      <c r="X455" s="27"/>
      <c r="Y455" s="27"/>
    </row>
    <row r="456" spans="1:25" x14ac:dyDescent="0.25">
      <c r="A456" s="33"/>
      <c r="B456" s="33"/>
      <c r="C456" s="33"/>
      <c r="D456" s="33"/>
      <c r="E456" s="33"/>
      <c r="F456" s="33"/>
      <c r="G456" s="33"/>
      <c r="H456" s="139"/>
      <c r="I456" s="33"/>
      <c r="J456" s="33"/>
      <c r="K456" s="33"/>
      <c r="L456" s="33"/>
      <c r="M456" s="33"/>
      <c r="N456" s="59"/>
      <c r="O456" s="15"/>
      <c r="P456" s="60"/>
      <c r="Q456" s="11"/>
      <c r="R456" s="2"/>
      <c r="S456" s="2"/>
      <c r="T456" s="12"/>
      <c r="U456" s="3"/>
      <c r="V456" s="4"/>
      <c r="W456" s="4"/>
      <c r="X456" s="4"/>
      <c r="Y456" s="4"/>
    </row>
    <row r="457" spans="1:25" x14ac:dyDescent="0.25">
      <c r="A457" s="32"/>
      <c r="B457" s="32"/>
      <c r="C457" s="32"/>
      <c r="D457" s="32"/>
      <c r="E457" s="32"/>
      <c r="F457" s="32"/>
      <c r="G457" s="32"/>
      <c r="H457" s="138"/>
      <c r="I457" s="32"/>
      <c r="J457" s="32"/>
      <c r="K457" s="32"/>
      <c r="L457" s="32"/>
      <c r="M457" s="32"/>
      <c r="N457" s="55"/>
      <c r="O457" s="56"/>
      <c r="P457" s="54"/>
      <c r="Q457" s="27"/>
      <c r="R457" s="27"/>
      <c r="S457" s="27"/>
      <c r="T457" s="28"/>
      <c r="U457" s="27"/>
      <c r="V457" s="27"/>
      <c r="W457" s="29"/>
      <c r="X457" s="27"/>
      <c r="Y457" s="27"/>
    </row>
    <row r="458" spans="1:25" x14ac:dyDescent="0.25">
      <c r="A458" s="33"/>
      <c r="B458" s="33"/>
      <c r="C458" s="33"/>
      <c r="D458" s="33"/>
      <c r="E458" s="33"/>
      <c r="F458" s="33"/>
      <c r="G458" s="33"/>
      <c r="H458" s="139"/>
      <c r="I458" s="33"/>
      <c r="J458" s="33"/>
      <c r="K458" s="33"/>
      <c r="L458" s="33"/>
      <c r="M458" s="33"/>
      <c r="N458" s="57"/>
      <c r="O458" s="58"/>
      <c r="P458" s="53"/>
      <c r="Q458" s="25"/>
      <c r="R458" s="25"/>
      <c r="S458" s="25"/>
      <c r="T458" s="26"/>
      <c r="U458" s="25"/>
      <c r="V458" s="25"/>
      <c r="W458" s="30"/>
      <c r="X458" s="25"/>
      <c r="Y458" s="25"/>
    </row>
    <row r="459" spans="1:25" x14ac:dyDescent="0.25">
      <c r="A459" s="32"/>
      <c r="B459" s="32"/>
      <c r="C459" s="32"/>
      <c r="D459" s="32"/>
      <c r="E459" s="32"/>
      <c r="F459" s="32"/>
      <c r="G459" s="32"/>
      <c r="H459" s="138"/>
      <c r="I459" s="32"/>
      <c r="J459" s="32"/>
      <c r="K459" s="32"/>
      <c r="L459" s="32"/>
      <c r="M459" s="32"/>
      <c r="N459" s="55"/>
      <c r="O459" s="56"/>
      <c r="P459" s="54"/>
      <c r="Q459" s="27"/>
      <c r="R459" s="27"/>
      <c r="S459" s="27"/>
      <c r="T459" s="28"/>
      <c r="U459" s="27"/>
      <c r="V459" s="27"/>
      <c r="W459" s="29"/>
      <c r="X459" s="27"/>
      <c r="Y459" s="27"/>
    </row>
    <row r="460" spans="1:25" x14ac:dyDescent="0.25">
      <c r="A460" s="32"/>
      <c r="B460" s="32"/>
      <c r="C460" s="32"/>
      <c r="D460" s="32"/>
      <c r="E460" s="32"/>
      <c r="F460" s="32"/>
      <c r="G460" s="32"/>
      <c r="H460" s="138"/>
      <c r="I460" s="32"/>
      <c r="J460" s="32"/>
      <c r="K460" s="32"/>
      <c r="L460" s="32"/>
      <c r="M460" s="32"/>
      <c r="N460" s="57"/>
      <c r="O460" s="58"/>
      <c r="P460" s="53"/>
      <c r="Q460" s="25"/>
      <c r="R460" s="25"/>
      <c r="S460" s="25"/>
      <c r="T460" s="26"/>
      <c r="U460" s="25"/>
      <c r="V460" s="25"/>
      <c r="W460" s="30"/>
      <c r="X460" s="25"/>
      <c r="Y460" s="25"/>
    </row>
    <row r="461" spans="1:25" x14ac:dyDescent="0.25">
      <c r="A461" s="33"/>
      <c r="B461" s="33"/>
      <c r="C461" s="33"/>
      <c r="D461" s="33"/>
      <c r="E461" s="33"/>
      <c r="F461" s="33"/>
      <c r="G461" s="33"/>
      <c r="H461" s="139"/>
      <c r="I461" s="33"/>
      <c r="J461" s="33"/>
      <c r="K461" s="33"/>
      <c r="L461" s="33"/>
      <c r="M461" s="33"/>
      <c r="N461" s="55"/>
      <c r="O461" s="56"/>
      <c r="P461" s="54"/>
      <c r="Q461" s="27"/>
      <c r="R461" s="27"/>
      <c r="S461" s="27"/>
      <c r="T461" s="28"/>
      <c r="U461" s="27"/>
      <c r="V461" s="27"/>
      <c r="W461" s="29"/>
      <c r="X461" s="27"/>
      <c r="Y461" s="27"/>
    </row>
    <row r="462" spans="1:25" x14ac:dyDescent="0.25">
      <c r="A462" s="32"/>
      <c r="B462" s="32"/>
      <c r="C462" s="32"/>
      <c r="D462" s="32"/>
      <c r="E462" s="32"/>
      <c r="F462" s="32"/>
      <c r="G462" s="32"/>
      <c r="H462" s="138"/>
      <c r="I462" s="32"/>
      <c r="J462" s="32"/>
      <c r="K462" s="32"/>
      <c r="L462" s="32"/>
      <c r="M462" s="32"/>
      <c r="N462" s="57"/>
      <c r="O462" s="58"/>
      <c r="P462" s="53"/>
      <c r="Q462" s="25"/>
      <c r="R462" s="25"/>
      <c r="S462" s="25"/>
      <c r="T462" s="26"/>
      <c r="U462" s="25"/>
      <c r="V462" s="25"/>
      <c r="W462" s="30"/>
      <c r="X462" s="25"/>
      <c r="Y462" s="25"/>
    </row>
    <row r="463" spans="1:25" x14ac:dyDescent="0.25">
      <c r="A463" s="33"/>
      <c r="B463" s="33"/>
      <c r="C463" s="33"/>
      <c r="D463" s="33"/>
      <c r="E463" s="33"/>
      <c r="F463" s="33"/>
      <c r="G463" s="33"/>
      <c r="H463" s="139"/>
      <c r="I463" s="33"/>
      <c r="J463" s="33"/>
      <c r="K463" s="33"/>
      <c r="L463" s="33"/>
      <c r="M463" s="33"/>
      <c r="N463" s="55"/>
      <c r="O463" s="56"/>
      <c r="P463" s="54"/>
      <c r="Q463" s="27"/>
      <c r="R463" s="27"/>
      <c r="S463" s="27"/>
      <c r="T463" s="28"/>
      <c r="U463" s="27"/>
      <c r="V463" s="27"/>
      <c r="W463" s="29"/>
      <c r="X463" s="27"/>
      <c r="Y463" s="27"/>
    </row>
    <row r="464" spans="1:25" x14ac:dyDescent="0.25">
      <c r="A464" s="32"/>
      <c r="B464" s="32"/>
      <c r="C464" s="32"/>
      <c r="D464" s="32"/>
      <c r="E464" s="32"/>
      <c r="F464" s="32"/>
      <c r="G464" s="32"/>
      <c r="H464" s="138"/>
      <c r="I464" s="32"/>
      <c r="J464" s="32"/>
      <c r="K464" s="32"/>
      <c r="L464" s="32"/>
      <c r="M464" s="32"/>
      <c r="N464" s="57"/>
      <c r="O464" s="58"/>
      <c r="P464" s="53"/>
      <c r="Q464" s="25"/>
      <c r="R464" s="25"/>
      <c r="S464" s="25"/>
      <c r="T464" s="26"/>
      <c r="U464" s="25"/>
      <c r="V464" s="25"/>
      <c r="W464" s="30"/>
      <c r="X464" s="25"/>
      <c r="Y464" s="25"/>
    </row>
    <row r="465" spans="1:25" x14ac:dyDescent="0.25">
      <c r="A465" s="33"/>
      <c r="B465" s="33"/>
      <c r="C465" s="33"/>
      <c r="D465" s="33"/>
      <c r="E465" s="33"/>
      <c r="F465" s="33"/>
      <c r="G465" s="33"/>
      <c r="H465" s="139"/>
      <c r="I465" s="33"/>
      <c r="J465" s="33"/>
      <c r="K465" s="33"/>
      <c r="L465" s="33"/>
      <c r="M465" s="33"/>
      <c r="N465" s="55"/>
      <c r="O465" s="56"/>
      <c r="P465" s="54"/>
      <c r="Q465" s="27"/>
      <c r="R465" s="27"/>
      <c r="S465" s="27"/>
      <c r="T465" s="28"/>
      <c r="U465" s="27"/>
      <c r="V465" s="27"/>
      <c r="W465" s="29"/>
      <c r="X465" s="27"/>
      <c r="Y465" s="27"/>
    </row>
    <row r="466" spans="1:25" x14ac:dyDescent="0.25">
      <c r="A466" s="32"/>
      <c r="B466" s="32"/>
      <c r="C466" s="32"/>
      <c r="D466" s="32"/>
      <c r="E466" s="32"/>
      <c r="F466" s="32"/>
      <c r="G466" s="32"/>
      <c r="H466" s="138"/>
      <c r="I466" s="32"/>
      <c r="J466" s="32"/>
      <c r="K466" s="32"/>
      <c r="L466" s="32"/>
      <c r="M466" s="32"/>
      <c r="N466" s="57"/>
      <c r="O466" s="58"/>
      <c r="P466" s="53"/>
      <c r="Q466" s="25"/>
      <c r="R466" s="25"/>
      <c r="S466" s="25"/>
      <c r="T466" s="26"/>
      <c r="U466" s="25"/>
      <c r="V466" s="25"/>
      <c r="W466" s="30"/>
      <c r="X466" s="25"/>
      <c r="Y466" s="25"/>
    </row>
    <row r="467" spans="1:25" x14ac:dyDescent="0.25">
      <c r="A467" s="33"/>
      <c r="B467" s="33"/>
      <c r="C467" s="33"/>
      <c r="D467" s="33"/>
      <c r="E467" s="33"/>
      <c r="F467" s="33"/>
      <c r="G467" s="33"/>
      <c r="H467" s="139"/>
      <c r="I467" s="33"/>
      <c r="J467" s="33"/>
      <c r="K467" s="33"/>
      <c r="L467" s="33"/>
      <c r="M467" s="33"/>
      <c r="N467" s="55"/>
      <c r="O467" s="56"/>
      <c r="P467" s="54"/>
      <c r="Q467" s="27"/>
      <c r="R467" s="27"/>
      <c r="S467" s="27"/>
      <c r="T467" s="28"/>
      <c r="U467" s="27"/>
      <c r="V467" s="27"/>
      <c r="W467" s="29"/>
      <c r="X467" s="27"/>
      <c r="Y467" s="27"/>
    </row>
    <row r="468" spans="1:25" x14ac:dyDescent="0.25">
      <c r="A468" s="32"/>
      <c r="B468" s="32"/>
      <c r="C468" s="32"/>
      <c r="D468" s="32"/>
      <c r="E468" s="32"/>
      <c r="F468" s="32"/>
      <c r="G468" s="32"/>
      <c r="H468" s="138"/>
      <c r="I468" s="32"/>
      <c r="J468" s="32"/>
      <c r="K468" s="32"/>
      <c r="L468" s="32"/>
      <c r="M468" s="32"/>
      <c r="N468" s="57"/>
      <c r="O468" s="58"/>
      <c r="P468" s="53"/>
      <c r="Q468" s="25"/>
      <c r="R468" s="25"/>
      <c r="S468" s="25"/>
      <c r="T468" s="26"/>
      <c r="U468" s="25"/>
      <c r="V468" s="25"/>
      <c r="W468" s="30"/>
      <c r="X468" s="25"/>
      <c r="Y468" s="25"/>
    </row>
    <row r="469" spans="1:25" x14ac:dyDescent="0.25">
      <c r="N469" s="55"/>
      <c r="O469" s="56"/>
      <c r="P469" s="54"/>
      <c r="Q469" s="27"/>
      <c r="R469" s="27"/>
      <c r="S469" s="27"/>
      <c r="T469" s="28"/>
      <c r="U469" s="27"/>
      <c r="V469" s="27"/>
      <c r="W469" s="29"/>
      <c r="X469" s="27"/>
      <c r="Y469" s="27"/>
    </row>
    <row r="470" spans="1:25" x14ac:dyDescent="0.25">
      <c r="A470" s="32"/>
      <c r="B470" s="32"/>
      <c r="C470" s="32"/>
      <c r="D470" s="32"/>
      <c r="E470" s="32"/>
      <c r="F470" s="32"/>
      <c r="G470" s="32"/>
      <c r="H470" s="138"/>
      <c r="I470" s="32"/>
      <c r="J470" s="32"/>
      <c r="K470" s="32"/>
      <c r="L470" s="32"/>
      <c r="M470" s="32"/>
      <c r="N470" s="57"/>
      <c r="O470" s="58"/>
      <c r="P470" s="53"/>
      <c r="Q470" s="25"/>
      <c r="R470" s="25"/>
      <c r="S470" s="25"/>
      <c r="T470" s="26"/>
      <c r="U470" s="25"/>
      <c r="V470" s="25"/>
      <c r="W470" s="30"/>
      <c r="X470" s="25"/>
      <c r="Y470" s="25"/>
    </row>
    <row r="471" spans="1:25" x14ac:dyDescent="0.25">
      <c r="A471" s="33"/>
      <c r="B471" s="33"/>
      <c r="C471" s="33"/>
      <c r="D471" s="33"/>
      <c r="E471" s="33"/>
      <c r="F471" s="33"/>
      <c r="G471" s="33"/>
      <c r="H471" s="139"/>
      <c r="I471" s="33"/>
      <c r="J471" s="33"/>
      <c r="K471" s="33"/>
      <c r="L471" s="33"/>
      <c r="M471" s="33"/>
      <c r="N471" s="55"/>
      <c r="O471" s="56"/>
      <c r="P471" s="54"/>
      <c r="Q471" s="27"/>
      <c r="R471" s="27"/>
      <c r="S471" s="27"/>
      <c r="T471" s="28"/>
      <c r="U471" s="27"/>
      <c r="V471" s="27"/>
      <c r="W471" s="29"/>
      <c r="X471" s="27"/>
      <c r="Y471" s="27"/>
    </row>
    <row r="472" spans="1:25" x14ac:dyDescent="0.25">
      <c r="A472" s="32"/>
      <c r="B472" s="32"/>
      <c r="C472" s="32"/>
      <c r="D472" s="32"/>
      <c r="E472" s="32"/>
      <c r="F472" s="32"/>
      <c r="G472" s="32"/>
      <c r="H472" s="138"/>
      <c r="I472" s="32"/>
      <c r="J472" s="32"/>
      <c r="K472" s="32"/>
      <c r="L472" s="32"/>
      <c r="M472" s="32"/>
      <c r="N472" s="59"/>
      <c r="O472" s="15"/>
      <c r="P472" s="60"/>
      <c r="Q472" s="11"/>
      <c r="R472" s="2"/>
      <c r="S472" s="2"/>
      <c r="T472" s="12"/>
      <c r="U472" s="3"/>
      <c r="V472" s="4"/>
      <c r="W472" s="4"/>
      <c r="X472" s="4"/>
      <c r="Y472" s="4"/>
    </row>
    <row r="473" spans="1:25" x14ac:dyDescent="0.25">
      <c r="A473" s="33"/>
      <c r="B473" s="33"/>
      <c r="C473" s="33"/>
      <c r="D473" s="33"/>
      <c r="E473" s="33"/>
      <c r="F473" s="33"/>
      <c r="G473" s="33"/>
      <c r="H473" s="139"/>
      <c r="I473" s="33"/>
      <c r="J473" s="33"/>
      <c r="K473" s="33"/>
      <c r="L473" s="33"/>
      <c r="M473" s="33"/>
      <c r="N473" s="55"/>
      <c r="O473" s="56"/>
      <c r="P473" s="54"/>
      <c r="Q473" s="27"/>
      <c r="R473" s="27"/>
      <c r="S473" s="27"/>
      <c r="T473" s="28"/>
      <c r="U473" s="27"/>
      <c r="V473" s="27"/>
      <c r="W473" s="29"/>
      <c r="X473" s="27"/>
      <c r="Y473" s="27"/>
    </row>
    <row r="474" spans="1:25" x14ac:dyDescent="0.25">
      <c r="A474" s="32"/>
      <c r="B474" s="32"/>
      <c r="C474" s="32"/>
      <c r="D474" s="32"/>
      <c r="E474" s="32"/>
      <c r="F474" s="32"/>
      <c r="G474" s="32"/>
      <c r="H474" s="138"/>
      <c r="I474" s="32"/>
      <c r="J474" s="32"/>
      <c r="K474" s="32"/>
      <c r="L474" s="32"/>
      <c r="M474" s="32"/>
      <c r="N474" s="57"/>
      <c r="O474" s="58"/>
      <c r="P474" s="53"/>
      <c r="Q474" s="25"/>
      <c r="R474" s="25"/>
      <c r="S474" s="25"/>
      <c r="T474" s="26"/>
      <c r="U474" s="25"/>
      <c r="V474" s="25"/>
      <c r="W474" s="30"/>
      <c r="X474" s="25"/>
      <c r="Y474" s="25"/>
    </row>
    <row r="475" spans="1:25" x14ac:dyDescent="0.25">
      <c r="A475" s="33"/>
      <c r="B475" s="33"/>
      <c r="C475" s="33"/>
      <c r="D475" s="33"/>
      <c r="E475" s="33"/>
      <c r="F475" s="33"/>
      <c r="G475" s="33"/>
      <c r="H475" s="139"/>
      <c r="I475" s="33"/>
      <c r="J475" s="33"/>
      <c r="K475" s="33"/>
      <c r="L475" s="33"/>
      <c r="M475" s="33"/>
      <c r="N475" s="55"/>
      <c r="O475" s="56"/>
      <c r="P475" s="54"/>
      <c r="Q475" s="27"/>
      <c r="R475" s="27"/>
      <c r="S475" s="27"/>
      <c r="T475" s="28"/>
      <c r="U475" s="27"/>
      <c r="V475" s="27"/>
      <c r="W475" s="29"/>
      <c r="X475" s="27"/>
      <c r="Y475" s="27"/>
    </row>
    <row r="476" spans="1:25" x14ac:dyDescent="0.25">
      <c r="A476" s="32"/>
      <c r="B476" s="32"/>
      <c r="C476" s="32"/>
      <c r="D476" s="32"/>
      <c r="E476" s="32"/>
      <c r="F476" s="32"/>
      <c r="G476" s="32"/>
      <c r="H476" s="138"/>
      <c r="I476" s="32"/>
      <c r="J476" s="32"/>
      <c r="K476" s="32"/>
      <c r="L476" s="32"/>
      <c r="M476" s="32"/>
      <c r="N476" s="57"/>
      <c r="O476" s="58"/>
      <c r="P476" s="53"/>
      <c r="Q476" s="25"/>
      <c r="R476" s="25"/>
      <c r="S476" s="25"/>
      <c r="T476" s="26"/>
      <c r="U476" s="25"/>
      <c r="V476" s="25"/>
      <c r="W476" s="30"/>
      <c r="X476" s="25"/>
      <c r="Y476" s="25"/>
    </row>
    <row r="477" spans="1:25" x14ac:dyDescent="0.25">
      <c r="A477" s="32"/>
      <c r="B477" s="32"/>
      <c r="C477" s="32"/>
      <c r="D477" s="32"/>
      <c r="E477" s="32"/>
      <c r="F477" s="32"/>
      <c r="G477" s="32"/>
      <c r="H477" s="138"/>
      <c r="I477" s="32"/>
      <c r="J477" s="32"/>
      <c r="K477" s="32"/>
      <c r="L477" s="32"/>
      <c r="M477" s="32"/>
      <c r="N477" s="55"/>
      <c r="O477" s="56"/>
      <c r="P477" s="54"/>
      <c r="Q477" s="27"/>
      <c r="R477" s="27"/>
      <c r="S477" s="27"/>
      <c r="T477" s="28"/>
      <c r="U477" s="27"/>
      <c r="V477" s="27"/>
      <c r="W477" s="29"/>
      <c r="X477" s="27"/>
      <c r="Y477" s="27"/>
    </row>
    <row r="478" spans="1:25" x14ac:dyDescent="0.25">
      <c r="A478" s="33"/>
      <c r="B478" s="33"/>
      <c r="C478" s="33"/>
      <c r="D478" s="33"/>
      <c r="E478" s="33"/>
      <c r="F478" s="33"/>
      <c r="G478" s="33"/>
      <c r="H478" s="139"/>
      <c r="I478" s="33"/>
      <c r="J478" s="33"/>
      <c r="K478" s="33"/>
      <c r="L478" s="33"/>
      <c r="M478" s="33"/>
      <c r="N478" s="57"/>
      <c r="O478" s="58"/>
      <c r="P478" s="53"/>
      <c r="Q478" s="25"/>
      <c r="R478" s="25"/>
      <c r="S478" s="25"/>
      <c r="T478" s="26"/>
      <c r="U478" s="25"/>
      <c r="V478" s="25"/>
      <c r="W478" s="30"/>
      <c r="X478" s="25"/>
      <c r="Y478" s="25"/>
    </row>
    <row r="479" spans="1:25" x14ac:dyDescent="0.25">
      <c r="A479" s="32"/>
      <c r="B479" s="32"/>
      <c r="C479" s="32"/>
      <c r="D479" s="32"/>
      <c r="E479" s="32"/>
      <c r="F479" s="32"/>
      <c r="G479" s="32"/>
      <c r="H479" s="138"/>
      <c r="I479" s="32"/>
      <c r="J479" s="32"/>
      <c r="K479" s="32"/>
      <c r="L479" s="32"/>
      <c r="M479" s="32"/>
      <c r="N479" s="55"/>
      <c r="O479" s="56"/>
      <c r="P479" s="54"/>
      <c r="Q479" s="27"/>
      <c r="R479" s="27"/>
      <c r="S479" s="27"/>
      <c r="T479" s="28"/>
      <c r="U479" s="27"/>
      <c r="V479" s="27"/>
      <c r="W479" s="29"/>
      <c r="X479" s="27"/>
      <c r="Y479" s="27"/>
    </row>
    <row r="480" spans="1:25" x14ac:dyDescent="0.25">
      <c r="A480" s="33"/>
      <c r="B480" s="33"/>
      <c r="C480" s="33"/>
      <c r="D480" s="33"/>
      <c r="E480" s="33"/>
      <c r="F480" s="33"/>
      <c r="G480" s="33"/>
      <c r="H480" s="139"/>
      <c r="I480" s="33"/>
      <c r="J480" s="33"/>
      <c r="K480" s="33"/>
      <c r="L480" s="33"/>
      <c r="M480" s="33"/>
      <c r="N480" s="57"/>
      <c r="O480" s="58"/>
      <c r="P480" s="53"/>
      <c r="Q480" s="25"/>
      <c r="R480" s="25"/>
      <c r="S480" s="25"/>
      <c r="T480" s="26"/>
      <c r="U480" s="25"/>
      <c r="V480" s="25"/>
      <c r="W480" s="30"/>
      <c r="X480" s="25"/>
      <c r="Y480" s="25"/>
    </row>
    <row r="481" spans="1:25" x14ac:dyDescent="0.25">
      <c r="A481" s="32"/>
      <c r="B481" s="32"/>
      <c r="C481" s="32"/>
      <c r="D481" s="32"/>
      <c r="E481" s="32"/>
      <c r="F481" s="32"/>
      <c r="G481" s="32"/>
      <c r="H481" s="138"/>
      <c r="I481" s="32"/>
      <c r="J481" s="32"/>
      <c r="K481" s="32"/>
      <c r="L481" s="32"/>
      <c r="M481" s="32"/>
      <c r="N481" s="55"/>
      <c r="O481" s="56"/>
      <c r="P481" s="54"/>
      <c r="Q481" s="27"/>
      <c r="R481" s="27"/>
      <c r="S481" s="27"/>
      <c r="T481" s="28"/>
      <c r="U481" s="27"/>
      <c r="V481" s="27"/>
      <c r="W481" s="29"/>
      <c r="X481" s="27"/>
      <c r="Y481" s="27"/>
    </row>
    <row r="482" spans="1:25" x14ac:dyDescent="0.25">
      <c r="A482" s="33"/>
      <c r="B482" s="33"/>
      <c r="C482" s="33"/>
      <c r="D482" s="33"/>
      <c r="E482" s="33"/>
      <c r="F482" s="33"/>
      <c r="G482" s="33"/>
      <c r="H482" s="139"/>
      <c r="I482" s="33"/>
      <c r="J482" s="33"/>
      <c r="K482" s="33"/>
      <c r="L482" s="33"/>
      <c r="M482" s="33"/>
      <c r="N482" s="57"/>
      <c r="O482" s="58"/>
      <c r="P482" s="53"/>
      <c r="Q482" s="25"/>
      <c r="R482" s="25"/>
      <c r="S482" s="25"/>
      <c r="T482" s="26"/>
      <c r="U482" s="25"/>
      <c r="V482" s="25"/>
      <c r="W482" s="30"/>
      <c r="X482" s="25"/>
      <c r="Y482" s="25"/>
    </row>
    <row r="483" spans="1:25" x14ac:dyDescent="0.25">
      <c r="A483" s="32"/>
      <c r="B483" s="32"/>
      <c r="C483" s="32"/>
      <c r="D483" s="32"/>
      <c r="E483" s="32"/>
      <c r="F483" s="32"/>
      <c r="G483" s="32"/>
      <c r="H483" s="138"/>
      <c r="I483" s="32"/>
      <c r="J483" s="32"/>
      <c r="K483" s="32"/>
      <c r="L483" s="32"/>
      <c r="M483" s="32"/>
      <c r="N483" s="55"/>
      <c r="O483" s="56"/>
      <c r="P483" s="54"/>
      <c r="Q483" s="27"/>
      <c r="R483" s="27"/>
      <c r="S483" s="27"/>
      <c r="T483" s="28"/>
      <c r="U483" s="27"/>
      <c r="V483" s="27"/>
      <c r="W483" s="29"/>
      <c r="X483" s="27"/>
      <c r="Y483" s="27"/>
    </row>
    <row r="484" spans="1:25" x14ac:dyDescent="0.25">
      <c r="A484" s="33"/>
      <c r="B484" s="33"/>
      <c r="C484" s="33"/>
      <c r="D484" s="33"/>
      <c r="E484" s="33"/>
      <c r="F484" s="33"/>
      <c r="G484" s="33"/>
      <c r="H484" s="139"/>
      <c r="I484" s="33"/>
      <c r="J484" s="33"/>
      <c r="K484" s="33"/>
      <c r="L484" s="33"/>
      <c r="M484" s="33"/>
      <c r="N484" s="57"/>
      <c r="O484" s="58"/>
      <c r="P484" s="53"/>
      <c r="Q484" s="25"/>
      <c r="R484" s="25"/>
      <c r="S484" s="25"/>
      <c r="T484" s="26"/>
      <c r="U484" s="25"/>
      <c r="V484" s="25"/>
      <c r="W484" s="30"/>
      <c r="X484" s="25"/>
      <c r="Y484" s="25"/>
    </row>
    <row r="485" spans="1:25" x14ac:dyDescent="0.25">
      <c r="A485" s="32"/>
      <c r="B485" s="32"/>
      <c r="C485" s="32"/>
      <c r="D485" s="32"/>
      <c r="E485" s="32"/>
      <c r="F485" s="32"/>
      <c r="G485" s="32"/>
      <c r="H485" s="138"/>
      <c r="I485" s="32"/>
      <c r="J485" s="32"/>
      <c r="K485" s="32"/>
      <c r="L485" s="32"/>
      <c r="M485" s="32"/>
      <c r="N485" s="55"/>
      <c r="O485" s="56"/>
      <c r="P485" s="54"/>
      <c r="Q485" s="27"/>
      <c r="R485" s="27"/>
      <c r="S485" s="27"/>
      <c r="T485" s="28"/>
      <c r="U485" s="27"/>
      <c r="V485" s="27"/>
      <c r="W485" s="29"/>
      <c r="X485" s="27"/>
      <c r="Y485" s="27"/>
    </row>
    <row r="486" spans="1:25" x14ac:dyDescent="0.25">
      <c r="N486" s="57"/>
      <c r="O486" s="58"/>
      <c r="P486" s="53"/>
      <c r="Q486" s="25"/>
      <c r="R486" s="25"/>
      <c r="S486" s="25"/>
      <c r="T486" s="26"/>
      <c r="U486" s="25"/>
      <c r="V486" s="25"/>
      <c r="W486" s="30"/>
      <c r="X486" s="25"/>
      <c r="Y486" s="25"/>
    </row>
    <row r="487" spans="1:25" x14ac:dyDescent="0.25">
      <c r="A487" s="32"/>
      <c r="B487" s="32"/>
      <c r="C487" s="32"/>
      <c r="D487" s="32"/>
      <c r="E487" s="32"/>
      <c r="F487" s="32"/>
      <c r="G487" s="32"/>
      <c r="H487" s="138"/>
      <c r="I487" s="32"/>
      <c r="J487" s="32"/>
      <c r="K487" s="32"/>
      <c r="L487" s="32"/>
      <c r="M487" s="32"/>
      <c r="N487" s="55"/>
      <c r="O487" s="56"/>
      <c r="P487" s="54"/>
      <c r="Q487" s="27"/>
      <c r="R487" s="27"/>
      <c r="S487" s="27"/>
      <c r="T487" s="28"/>
      <c r="U487" s="27"/>
      <c r="V487" s="27"/>
      <c r="W487" s="29"/>
      <c r="X487" s="27"/>
      <c r="Y487" s="27"/>
    </row>
    <row r="488" spans="1:25" x14ac:dyDescent="0.25">
      <c r="A488" s="33"/>
      <c r="B488" s="33"/>
      <c r="C488" s="33"/>
      <c r="D488" s="33"/>
      <c r="E488" s="33"/>
      <c r="F488" s="33"/>
      <c r="G488" s="33"/>
      <c r="H488" s="139"/>
      <c r="I488" s="33"/>
      <c r="J488" s="33"/>
      <c r="K488" s="33"/>
      <c r="L488" s="33"/>
      <c r="M488" s="33"/>
      <c r="N488" s="59"/>
      <c r="O488" s="15"/>
      <c r="P488" s="60"/>
      <c r="Q488" s="11"/>
      <c r="R488" s="2"/>
      <c r="S488" s="2"/>
      <c r="T488" s="12"/>
      <c r="U488" s="3"/>
      <c r="V488" s="4"/>
      <c r="W488" s="4"/>
      <c r="X488" s="4"/>
      <c r="Y488" s="4"/>
    </row>
    <row r="489" spans="1:25" x14ac:dyDescent="0.25">
      <c r="A489" s="32"/>
      <c r="B489" s="32"/>
      <c r="C489" s="32"/>
      <c r="D489" s="32"/>
      <c r="E489" s="32"/>
      <c r="F489" s="32"/>
      <c r="G489" s="32"/>
      <c r="H489" s="138"/>
      <c r="I489" s="32"/>
      <c r="J489" s="32"/>
      <c r="K489" s="32"/>
      <c r="L489" s="32"/>
      <c r="M489" s="32"/>
      <c r="N489" s="55"/>
      <c r="O489" s="56"/>
      <c r="P489" s="54"/>
      <c r="Q489" s="27"/>
      <c r="R489" s="27"/>
      <c r="S489" s="27"/>
      <c r="T489" s="28"/>
      <c r="U489" s="27"/>
      <c r="V489" s="27"/>
      <c r="W489" s="29"/>
      <c r="X489" s="27"/>
      <c r="Y489" s="27"/>
    </row>
    <row r="490" spans="1:25" x14ac:dyDescent="0.25">
      <c r="A490" s="33"/>
      <c r="B490" s="33"/>
      <c r="C490" s="33"/>
      <c r="D490" s="33"/>
      <c r="E490" s="33"/>
      <c r="F490" s="33"/>
      <c r="G490" s="33"/>
      <c r="H490" s="139"/>
      <c r="I490" s="33"/>
      <c r="J490" s="33"/>
      <c r="K490" s="33"/>
      <c r="L490" s="33"/>
      <c r="M490" s="33"/>
      <c r="N490" s="57"/>
      <c r="O490" s="58"/>
      <c r="P490" s="53"/>
      <c r="Q490" s="25"/>
      <c r="R490" s="25"/>
      <c r="S490" s="25"/>
      <c r="T490" s="26"/>
      <c r="U490" s="25"/>
      <c r="V490" s="25"/>
      <c r="W490" s="30"/>
      <c r="X490" s="25"/>
      <c r="Y490" s="25"/>
    </row>
    <row r="491" spans="1:25" x14ac:dyDescent="0.25">
      <c r="A491" s="32"/>
      <c r="B491" s="32"/>
      <c r="C491" s="32"/>
      <c r="D491" s="32"/>
      <c r="E491" s="32"/>
      <c r="F491" s="32"/>
      <c r="G491" s="32"/>
      <c r="H491" s="138"/>
      <c r="I491" s="32"/>
      <c r="J491" s="32"/>
      <c r="K491" s="32"/>
      <c r="L491" s="32"/>
      <c r="M491" s="32"/>
      <c r="N491" s="55"/>
      <c r="O491" s="56"/>
      <c r="P491" s="54"/>
      <c r="Q491" s="27"/>
      <c r="R491" s="27"/>
      <c r="S491" s="27"/>
      <c r="T491" s="28"/>
      <c r="U491" s="27"/>
      <c r="V491" s="27"/>
      <c r="W491" s="29"/>
      <c r="X491" s="27"/>
      <c r="Y491" s="27"/>
    </row>
    <row r="492" spans="1:25" x14ac:dyDescent="0.25">
      <c r="A492" s="33"/>
      <c r="B492" s="33"/>
      <c r="C492" s="33"/>
      <c r="D492" s="33"/>
      <c r="E492" s="33"/>
      <c r="F492" s="33"/>
      <c r="G492" s="33"/>
      <c r="H492" s="139"/>
      <c r="I492" s="33"/>
      <c r="J492" s="33"/>
      <c r="K492" s="33"/>
      <c r="L492" s="33"/>
      <c r="M492" s="33"/>
      <c r="N492" s="57"/>
      <c r="O492" s="58"/>
      <c r="P492" s="53"/>
      <c r="Q492" s="25"/>
      <c r="R492" s="25"/>
      <c r="S492" s="25"/>
      <c r="T492" s="26"/>
      <c r="U492" s="25"/>
      <c r="V492" s="25"/>
      <c r="W492" s="30"/>
      <c r="X492" s="25"/>
      <c r="Y492" s="25"/>
    </row>
    <row r="493" spans="1:25" x14ac:dyDescent="0.25">
      <c r="A493" s="32"/>
      <c r="B493" s="32"/>
      <c r="C493" s="32"/>
      <c r="D493" s="32"/>
      <c r="E493" s="32"/>
      <c r="F493" s="32"/>
      <c r="G493" s="32"/>
      <c r="H493" s="138"/>
      <c r="I493" s="32"/>
      <c r="J493" s="32"/>
      <c r="K493" s="32"/>
      <c r="L493" s="32"/>
      <c r="M493" s="32"/>
      <c r="N493" s="55"/>
      <c r="O493" s="56"/>
      <c r="P493" s="54"/>
      <c r="Q493" s="27"/>
      <c r="R493" s="27"/>
      <c r="S493" s="27"/>
      <c r="T493" s="28"/>
      <c r="U493" s="27"/>
      <c r="V493" s="27"/>
      <c r="W493" s="29"/>
      <c r="X493" s="27"/>
      <c r="Y493" s="27"/>
    </row>
    <row r="494" spans="1:25" x14ac:dyDescent="0.25">
      <c r="A494" s="32"/>
      <c r="B494" s="32"/>
      <c r="C494" s="32"/>
      <c r="D494" s="32"/>
      <c r="E494" s="32"/>
      <c r="F494" s="32"/>
      <c r="G494" s="32"/>
      <c r="H494" s="138"/>
      <c r="I494" s="32"/>
      <c r="J494" s="32"/>
      <c r="K494" s="32"/>
      <c r="L494" s="32"/>
      <c r="M494" s="32"/>
      <c r="N494" s="57"/>
      <c r="O494" s="58"/>
      <c r="P494" s="53"/>
      <c r="Q494" s="25"/>
      <c r="R494" s="25"/>
      <c r="S494" s="25"/>
      <c r="T494" s="26"/>
      <c r="U494" s="25"/>
      <c r="V494" s="25"/>
      <c r="W494" s="30"/>
      <c r="X494" s="25"/>
      <c r="Y494" s="25"/>
    </row>
    <row r="495" spans="1:25" x14ac:dyDescent="0.25">
      <c r="A495" s="33"/>
      <c r="B495" s="33"/>
      <c r="C495" s="33"/>
      <c r="D495" s="33"/>
      <c r="E495" s="33"/>
      <c r="F495" s="33"/>
      <c r="G495" s="33"/>
      <c r="H495" s="139"/>
      <c r="I495" s="33"/>
      <c r="J495" s="33"/>
      <c r="K495" s="33"/>
      <c r="L495" s="33"/>
      <c r="M495" s="33"/>
      <c r="N495" s="55"/>
      <c r="O495" s="56"/>
      <c r="P495" s="54"/>
      <c r="Q495" s="27"/>
      <c r="R495" s="27"/>
      <c r="S495" s="27"/>
      <c r="T495" s="28"/>
      <c r="U495" s="27"/>
      <c r="V495" s="27"/>
      <c r="W495" s="29"/>
      <c r="X495" s="27"/>
      <c r="Y495" s="27"/>
    </row>
    <row r="496" spans="1:25" x14ac:dyDescent="0.25">
      <c r="A496" s="32"/>
      <c r="B496" s="32"/>
      <c r="C496" s="32"/>
      <c r="D496" s="32"/>
      <c r="E496" s="32"/>
      <c r="F496" s="32"/>
      <c r="G496" s="32"/>
      <c r="H496" s="138"/>
      <c r="I496" s="32"/>
      <c r="J496" s="32"/>
      <c r="K496" s="32"/>
      <c r="L496" s="32"/>
      <c r="M496" s="32"/>
      <c r="N496" s="57"/>
      <c r="O496" s="58"/>
      <c r="P496" s="53"/>
      <c r="Q496" s="25"/>
      <c r="R496" s="25"/>
      <c r="S496" s="25"/>
      <c r="T496" s="26"/>
      <c r="U496" s="25"/>
      <c r="V496" s="25"/>
      <c r="W496" s="30"/>
      <c r="X496" s="25"/>
      <c r="Y496" s="25"/>
    </row>
    <row r="497" spans="1:25" x14ac:dyDescent="0.25">
      <c r="A497" s="33"/>
      <c r="B497" s="33"/>
      <c r="C497" s="33"/>
      <c r="D497" s="33"/>
      <c r="E497" s="33"/>
      <c r="F497" s="33"/>
      <c r="G497" s="33"/>
      <c r="H497" s="139"/>
      <c r="I497" s="33"/>
      <c r="J497" s="33"/>
      <c r="K497" s="33"/>
      <c r="L497" s="33"/>
      <c r="M497" s="33"/>
      <c r="N497" s="55"/>
      <c r="O497" s="56"/>
      <c r="P497" s="54"/>
      <c r="Q497" s="27"/>
      <c r="R497" s="27"/>
      <c r="S497" s="27"/>
      <c r="T497" s="28"/>
      <c r="U497" s="27"/>
      <c r="V497" s="27"/>
      <c r="W497" s="29"/>
      <c r="X497" s="27"/>
      <c r="Y497" s="27"/>
    </row>
    <row r="498" spans="1:25" x14ac:dyDescent="0.25">
      <c r="A498" s="32"/>
      <c r="B498" s="32"/>
      <c r="C498" s="32"/>
      <c r="D498" s="32"/>
      <c r="E498" s="32"/>
      <c r="F498" s="32"/>
      <c r="G498" s="32"/>
      <c r="H498" s="138"/>
      <c r="I498" s="32"/>
      <c r="J498" s="32"/>
      <c r="K498" s="32"/>
      <c r="L498" s="32"/>
      <c r="M498" s="32"/>
      <c r="N498" s="57"/>
      <c r="O498" s="58"/>
      <c r="P498" s="53"/>
      <c r="Q498" s="25"/>
      <c r="R498" s="25"/>
      <c r="S498" s="25"/>
      <c r="T498" s="26"/>
      <c r="U498" s="25"/>
      <c r="V498" s="25"/>
      <c r="W498" s="30"/>
      <c r="X498" s="25"/>
      <c r="Y498" s="25"/>
    </row>
    <row r="499" spans="1:25" x14ac:dyDescent="0.25">
      <c r="A499" s="33"/>
      <c r="B499" s="33"/>
      <c r="C499" s="33"/>
      <c r="D499" s="33"/>
      <c r="E499" s="33"/>
      <c r="F499" s="33"/>
      <c r="G499" s="33"/>
      <c r="H499" s="139"/>
      <c r="I499" s="33"/>
      <c r="J499" s="33"/>
      <c r="K499" s="33"/>
      <c r="L499" s="33"/>
      <c r="M499" s="33"/>
      <c r="N499" s="55"/>
      <c r="O499" s="56"/>
      <c r="P499" s="54"/>
      <c r="Q499" s="27"/>
      <c r="R499" s="27"/>
      <c r="S499" s="27"/>
      <c r="T499" s="28"/>
      <c r="U499" s="27"/>
      <c r="V499" s="27"/>
      <c r="W499" s="29"/>
      <c r="X499" s="27"/>
      <c r="Y499" s="27"/>
    </row>
    <row r="500" spans="1:25" x14ac:dyDescent="0.25">
      <c r="A500" s="32"/>
      <c r="B500" s="32"/>
      <c r="C500" s="32"/>
      <c r="D500" s="32"/>
      <c r="E500" s="32"/>
      <c r="F500" s="32"/>
      <c r="G500" s="32"/>
      <c r="H500" s="138"/>
      <c r="I500" s="32"/>
      <c r="J500" s="32"/>
      <c r="K500" s="32"/>
      <c r="L500" s="32"/>
      <c r="M500" s="32"/>
      <c r="N500" s="57"/>
      <c r="O500" s="58"/>
      <c r="P500" s="53"/>
      <c r="Q500" s="25"/>
      <c r="R500" s="25"/>
      <c r="S500" s="25"/>
      <c r="T500" s="26"/>
      <c r="U500" s="25"/>
      <c r="V500" s="25"/>
      <c r="W500" s="30"/>
      <c r="X500" s="25"/>
      <c r="Y500" s="25"/>
    </row>
    <row r="501" spans="1:25" x14ac:dyDescent="0.25">
      <c r="A501" s="33"/>
      <c r="B501" s="33"/>
      <c r="C501" s="33"/>
      <c r="D501" s="33"/>
      <c r="E501" s="33"/>
      <c r="F501" s="33"/>
      <c r="G501" s="33"/>
      <c r="H501" s="139"/>
      <c r="I501" s="33"/>
      <c r="J501" s="33"/>
      <c r="K501" s="33"/>
      <c r="L501" s="33"/>
      <c r="M501" s="33"/>
      <c r="N501" s="55"/>
      <c r="O501" s="56"/>
      <c r="P501" s="54"/>
      <c r="Q501" s="27"/>
      <c r="R501" s="27"/>
      <c r="S501" s="27"/>
      <c r="T501" s="28"/>
      <c r="U501" s="27"/>
      <c r="V501" s="27"/>
      <c r="W501" s="29"/>
      <c r="X501" s="27"/>
      <c r="Y501" s="27"/>
    </row>
    <row r="502" spans="1:25" x14ac:dyDescent="0.25">
      <c r="A502" s="32"/>
      <c r="B502" s="32"/>
      <c r="C502" s="32"/>
      <c r="D502" s="32"/>
      <c r="E502" s="32"/>
      <c r="F502" s="32"/>
      <c r="G502" s="32"/>
      <c r="H502" s="138"/>
      <c r="I502" s="32"/>
      <c r="J502" s="32"/>
      <c r="K502" s="32"/>
      <c r="L502" s="32"/>
      <c r="M502" s="32"/>
      <c r="N502" s="57"/>
      <c r="O502" s="58"/>
      <c r="P502" s="53"/>
      <c r="Q502" s="25"/>
      <c r="R502" s="25"/>
      <c r="S502" s="25"/>
      <c r="T502" s="26"/>
      <c r="U502" s="25"/>
      <c r="V502" s="25"/>
      <c r="W502" s="30"/>
      <c r="X502" s="25"/>
      <c r="Y502" s="25"/>
    </row>
    <row r="503" spans="1:25" x14ac:dyDescent="0.25">
      <c r="N503" s="55"/>
      <c r="O503" s="56"/>
      <c r="P503" s="54"/>
      <c r="Q503" s="27"/>
      <c r="R503" s="27"/>
      <c r="S503" s="27"/>
      <c r="T503" s="28"/>
      <c r="U503" s="27"/>
      <c r="V503" s="27"/>
      <c r="W503" s="29"/>
      <c r="X503" s="27"/>
      <c r="Y503" s="27"/>
    </row>
    <row r="504" spans="1:25" x14ac:dyDescent="0.25">
      <c r="A504" s="32"/>
      <c r="B504" s="32"/>
      <c r="C504" s="32"/>
      <c r="D504" s="32"/>
      <c r="E504" s="32"/>
      <c r="F504" s="32"/>
      <c r="G504" s="32"/>
      <c r="H504" s="138"/>
      <c r="I504" s="32"/>
      <c r="J504" s="32"/>
      <c r="K504" s="32"/>
      <c r="L504" s="32"/>
      <c r="M504" s="32"/>
      <c r="N504" s="59"/>
      <c r="O504" s="15"/>
      <c r="P504" s="60"/>
      <c r="Q504" s="11"/>
      <c r="R504" s="2"/>
      <c r="S504" s="2"/>
      <c r="T504" s="12"/>
      <c r="U504" s="3"/>
      <c r="V504" s="4"/>
      <c r="W504" s="4"/>
      <c r="X504" s="4"/>
      <c r="Y504" s="4"/>
    </row>
    <row r="505" spans="1:25" x14ac:dyDescent="0.25">
      <c r="A505" s="33"/>
      <c r="B505" s="33"/>
      <c r="C505" s="33"/>
      <c r="D505" s="33"/>
      <c r="E505" s="33"/>
      <c r="F505" s="33"/>
      <c r="G505" s="33"/>
      <c r="H505" s="139"/>
      <c r="I505" s="33"/>
      <c r="J505" s="33"/>
      <c r="K505" s="33"/>
      <c r="L505" s="33"/>
      <c r="M505" s="33"/>
      <c r="N505" s="55"/>
      <c r="O505" s="56"/>
      <c r="P505" s="54"/>
      <c r="Q505" s="27"/>
      <c r="R505" s="27"/>
      <c r="S505" s="27"/>
      <c r="T505" s="28"/>
      <c r="U505" s="27"/>
      <c r="V505" s="27"/>
      <c r="W505" s="29"/>
      <c r="X505" s="27"/>
      <c r="Y505" s="27"/>
    </row>
    <row r="506" spans="1:25" x14ac:dyDescent="0.25">
      <c r="A506" s="32"/>
      <c r="B506" s="32"/>
      <c r="C506" s="32"/>
      <c r="D506" s="32"/>
      <c r="E506" s="32"/>
      <c r="F506" s="32"/>
      <c r="G506" s="32"/>
      <c r="H506" s="138"/>
      <c r="I506" s="32"/>
      <c r="J506" s="32"/>
      <c r="K506" s="32"/>
      <c r="L506" s="32"/>
      <c r="M506" s="32"/>
      <c r="N506" s="57"/>
      <c r="O506" s="58"/>
      <c r="P506" s="53"/>
      <c r="Q506" s="25"/>
      <c r="R506" s="25"/>
      <c r="S506" s="25"/>
      <c r="T506" s="26"/>
      <c r="U506" s="25"/>
      <c r="V506" s="25"/>
      <c r="W506" s="30"/>
      <c r="X506" s="25"/>
      <c r="Y506" s="25"/>
    </row>
    <row r="507" spans="1:25" x14ac:dyDescent="0.25">
      <c r="A507" s="33"/>
      <c r="B507" s="33"/>
      <c r="C507" s="33"/>
      <c r="D507" s="33"/>
      <c r="E507" s="33"/>
      <c r="F507" s="33"/>
      <c r="G507" s="33"/>
      <c r="H507" s="139"/>
      <c r="I507" s="33"/>
      <c r="J507" s="33"/>
      <c r="K507" s="33"/>
      <c r="L507" s="33"/>
      <c r="M507" s="33"/>
      <c r="N507" s="55"/>
      <c r="O507" s="56"/>
      <c r="P507" s="54"/>
      <c r="Q507" s="27"/>
      <c r="R507" s="27"/>
      <c r="S507" s="27"/>
      <c r="T507" s="28"/>
      <c r="U507" s="27"/>
      <c r="V507" s="27"/>
      <c r="W507" s="29"/>
      <c r="X507" s="27"/>
      <c r="Y507" s="27"/>
    </row>
    <row r="508" spans="1:25" x14ac:dyDescent="0.25">
      <c r="A508" s="32"/>
      <c r="B508" s="32"/>
      <c r="C508" s="32"/>
      <c r="D508" s="32"/>
      <c r="E508" s="32"/>
      <c r="F508" s="32"/>
      <c r="G508" s="32"/>
      <c r="H508" s="138"/>
      <c r="I508" s="32"/>
      <c r="J508" s="32"/>
      <c r="K508" s="32"/>
      <c r="L508" s="32"/>
      <c r="M508" s="32"/>
      <c r="N508" s="57"/>
      <c r="O508" s="58"/>
      <c r="P508" s="53"/>
      <c r="Q508" s="25"/>
      <c r="R508" s="25"/>
      <c r="S508" s="25"/>
      <c r="T508" s="26"/>
      <c r="U508" s="25"/>
      <c r="V508" s="25"/>
      <c r="W508" s="30"/>
      <c r="X508" s="25"/>
      <c r="Y508" s="25"/>
    </row>
    <row r="509" spans="1:25" x14ac:dyDescent="0.25">
      <c r="A509" s="33"/>
      <c r="B509" s="33"/>
      <c r="C509" s="33"/>
      <c r="D509" s="33"/>
      <c r="E509" s="33"/>
      <c r="F509" s="33"/>
      <c r="G509" s="33"/>
      <c r="H509" s="139"/>
      <c r="I509" s="33"/>
      <c r="J509" s="33"/>
      <c r="K509" s="33"/>
      <c r="L509" s="33"/>
      <c r="M509" s="33"/>
      <c r="N509" s="55"/>
      <c r="O509" s="56"/>
      <c r="P509" s="54"/>
      <c r="Q509" s="27"/>
      <c r="R509" s="27"/>
      <c r="S509" s="27"/>
      <c r="T509" s="28"/>
      <c r="U509" s="27"/>
      <c r="V509" s="27"/>
      <c r="W509" s="29"/>
      <c r="X509" s="27"/>
      <c r="Y509" s="27"/>
    </row>
    <row r="510" spans="1:25" x14ac:dyDescent="0.25">
      <c r="A510" s="32"/>
      <c r="B510" s="32"/>
      <c r="C510" s="32"/>
      <c r="D510" s="32"/>
      <c r="E510" s="32"/>
      <c r="F510" s="32"/>
      <c r="G510" s="32"/>
      <c r="H510" s="138"/>
      <c r="I510" s="32"/>
      <c r="J510" s="32"/>
      <c r="K510" s="32"/>
      <c r="L510" s="32"/>
      <c r="M510" s="32"/>
      <c r="N510" s="57"/>
      <c r="O510" s="58"/>
      <c r="P510" s="53"/>
      <c r="Q510" s="25"/>
      <c r="R510" s="25"/>
      <c r="S510" s="25"/>
      <c r="T510" s="26"/>
      <c r="U510" s="25"/>
      <c r="V510" s="25"/>
      <c r="W510" s="30"/>
      <c r="X510" s="25"/>
      <c r="Y510" s="25"/>
    </row>
    <row r="511" spans="1:25" x14ac:dyDescent="0.25">
      <c r="A511" s="32"/>
      <c r="B511" s="32"/>
      <c r="C511" s="32"/>
      <c r="D511" s="32"/>
      <c r="E511" s="32"/>
      <c r="F511" s="32"/>
      <c r="G511" s="32"/>
      <c r="H511" s="138"/>
      <c r="I511" s="32"/>
      <c r="J511" s="32"/>
      <c r="K511" s="32"/>
      <c r="L511" s="32"/>
      <c r="M511" s="32"/>
      <c r="N511" s="55"/>
      <c r="O511" s="56"/>
      <c r="P511" s="54"/>
      <c r="Q511" s="27"/>
      <c r="R511" s="27"/>
      <c r="S511" s="27"/>
      <c r="T511" s="28"/>
      <c r="U511" s="27"/>
      <c r="V511" s="27"/>
      <c r="W511" s="29"/>
      <c r="X511" s="27"/>
      <c r="Y511" s="27"/>
    </row>
    <row r="512" spans="1:25" x14ac:dyDescent="0.25">
      <c r="A512" s="33"/>
      <c r="B512" s="33"/>
      <c r="C512" s="33"/>
      <c r="D512" s="33"/>
      <c r="E512" s="33"/>
      <c r="F512" s="33"/>
      <c r="G512" s="33"/>
      <c r="H512" s="139"/>
      <c r="I512" s="33"/>
      <c r="J512" s="33"/>
      <c r="K512" s="33"/>
      <c r="L512" s="33"/>
      <c r="M512" s="33"/>
      <c r="N512" s="57"/>
      <c r="O512" s="58"/>
      <c r="P512" s="53"/>
      <c r="Q512" s="25"/>
      <c r="R512" s="25"/>
      <c r="S512" s="25"/>
      <c r="T512" s="26"/>
      <c r="U512" s="25"/>
      <c r="V512" s="25"/>
      <c r="W512" s="30"/>
      <c r="X512" s="25"/>
      <c r="Y512" s="25"/>
    </row>
    <row r="513" spans="1:25" x14ac:dyDescent="0.25">
      <c r="A513" s="32"/>
      <c r="B513" s="32"/>
      <c r="C513" s="32"/>
      <c r="D513" s="32"/>
      <c r="E513" s="32"/>
      <c r="F513" s="32"/>
      <c r="G513" s="32"/>
      <c r="H513" s="138"/>
      <c r="I513" s="32"/>
      <c r="J513" s="32"/>
      <c r="K513" s="32"/>
      <c r="L513" s="32"/>
      <c r="M513" s="32"/>
      <c r="N513" s="55"/>
      <c r="O513" s="56"/>
      <c r="P513" s="54"/>
      <c r="Q513" s="27"/>
      <c r="R513" s="27"/>
      <c r="S513" s="27"/>
      <c r="T513" s="28"/>
      <c r="U513" s="27"/>
      <c r="V513" s="27"/>
      <c r="W513" s="29"/>
      <c r="X513" s="27"/>
      <c r="Y513" s="27"/>
    </row>
    <row r="514" spans="1:25" x14ac:dyDescent="0.25">
      <c r="A514" s="33"/>
      <c r="B514" s="33"/>
      <c r="C514" s="33"/>
      <c r="D514" s="33"/>
      <c r="E514" s="33"/>
      <c r="F514" s="33"/>
      <c r="G514" s="33"/>
      <c r="H514" s="139"/>
      <c r="I514" s="33"/>
      <c r="J514" s="33"/>
      <c r="K514" s="33"/>
      <c r="L514" s="33"/>
      <c r="M514" s="33"/>
      <c r="N514" s="57"/>
      <c r="O514" s="58"/>
      <c r="P514" s="53"/>
      <c r="Q514" s="25"/>
      <c r="R514" s="25"/>
      <c r="S514" s="25"/>
      <c r="T514" s="26"/>
      <c r="U514" s="25"/>
      <c r="V514" s="25"/>
      <c r="W514" s="30"/>
      <c r="X514" s="25"/>
      <c r="Y514" s="25"/>
    </row>
    <row r="515" spans="1:25" x14ac:dyDescent="0.25">
      <c r="A515" s="32"/>
      <c r="B515" s="32"/>
      <c r="C515" s="32"/>
      <c r="D515" s="32"/>
      <c r="E515" s="32"/>
      <c r="F515" s="32"/>
      <c r="G515" s="32"/>
      <c r="H515" s="138"/>
      <c r="I515" s="32"/>
      <c r="J515" s="32"/>
      <c r="K515" s="32"/>
      <c r="L515" s="32"/>
      <c r="M515" s="32"/>
      <c r="N515" s="55"/>
      <c r="O515" s="56"/>
      <c r="P515" s="54"/>
      <c r="Q515" s="27"/>
      <c r="R515" s="27"/>
      <c r="S515" s="27"/>
      <c r="T515" s="28"/>
      <c r="U515" s="27"/>
      <c r="V515" s="27"/>
      <c r="W515" s="29"/>
      <c r="X515" s="27"/>
      <c r="Y515" s="27"/>
    </row>
    <row r="516" spans="1:25" x14ac:dyDescent="0.25">
      <c r="A516" s="33"/>
      <c r="B516" s="33"/>
      <c r="C516" s="33"/>
      <c r="D516" s="33"/>
      <c r="E516" s="33"/>
      <c r="F516" s="33"/>
      <c r="G516" s="33"/>
      <c r="H516" s="139"/>
      <c r="I516" s="33"/>
      <c r="J516" s="33"/>
      <c r="K516" s="33"/>
      <c r="L516" s="33"/>
      <c r="M516" s="33"/>
      <c r="N516" s="57"/>
      <c r="O516" s="58"/>
      <c r="P516" s="53"/>
      <c r="Q516" s="25"/>
      <c r="R516" s="25"/>
      <c r="S516" s="25"/>
      <c r="T516" s="26"/>
      <c r="U516" s="25"/>
      <c r="V516" s="25"/>
      <c r="W516" s="30"/>
      <c r="X516" s="25"/>
      <c r="Y516" s="25"/>
    </row>
    <row r="517" spans="1:25" x14ac:dyDescent="0.25">
      <c r="A517" s="32"/>
      <c r="B517" s="32"/>
      <c r="C517" s="32"/>
      <c r="D517" s="32"/>
      <c r="E517" s="32"/>
      <c r="F517" s="32"/>
      <c r="G517" s="32"/>
      <c r="H517" s="138"/>
      <c r="I517" s="32"/>
      <c r="J517" s="32"/>
      <c r="K517" s="32"/>
      <c r="L517" s="32"/>
      <c r="M517" s="32"/>
      <c r="N517" s="55"/>
      <c r="O517" s="56"/>
      <c r="P517" s="54"/>
      <c r="Q517" s="27"/>
      <c r="R517" s="27"/>
      <c r="S517" s="27"/>
      <c r="T517" s="28"/>
      <c r="U517" s="27"/>
      <c r="V517" s="27"/>
      <c r="W517" s="29"/>
      <c r="X517" s="27"/>
      <c r="Y517" s="27"/>
    </row>
    <row r="518" spans="1:25" x14ac:dyDescent="0.25">
      <c r="A518" s="33"/>
      <c r="B518" s="33"/>
      <c r="C518" s="33"/>
      <c r="D518" s="33"/>
      <c r="E518" s="33"/>
      <c r="F518" s="33"/>
      <c r="G518" s="33"/>
      <c r="H518" s="139"/>
      <c r="I518" s="33"/>
      <c r="J518" s="33"/>
      <c r="K518" s="33"/>
      <c r="L518" s="33"/>
      <c r="M518" s="33"/>
      <c r="N518" s="57"/>
      <c r="O518" s="58"/>
      <c r="P518" s="53"/>
      <c r="Q518" s="25"/>
      <c r="R518" s="25"/>
      <c r="S518" s="25"/>
      <c r="T518" s="26"/>
      <c r="U518" s="25"/>
      <c r="V518" s="25"/>
      <c r="W518" s="30"/>
      <c r="X518" s="25"/>
      <c r="Y518" s="25"/>
    </row>
    <row r="519" spans="1:25" x14ac:dyDescent="0.25">
      <c r="A519" s="32"/>
      <c r="B519" s="32"/>
      <c r="C519" s="32"/>
      <c r="D519" s="32"/>
      <c r="E519" s="32"/>
      <c r="F519" s="32"/>
      <c r="G519" s="32"/>
      <c r="H519" s="138"/>
      <c r="I519" s="32"/>
      <c r="J519" s="32"/>
      <c r="K519" s="32"/>
      <c r="L519" s="32"/>
      <c r="M519" s="32"/>
      <c r="N519" s="55"/>
      <c r="O519" s="56"/>
      <c r="P519" s="54"/>
      <c r="Q519" s="27"/>
      <c r="R519" s="27"/>
      <c r="S519" s="27"/>
      <c r="T519" s="28"/>
      <c r="U519" s="27"/>
      <c r="V519" s="27"/>
      <c r="W519" s="29"/>
      <c r="X519" s="27"/>
      <c r="Y519" s="27"/>
    </row>
    <row r="520" spans="1:25" ht="15" x14ac:dyDescent="0.2">
      <c r="N520" s="59"/>
      <c r="O520" s="15"/>
      <c r="P520" s="60"/>
      <c r="Q520" s="11"/>
      <c r="R520" s="2"/>
      <c r="S520" s="2"/>
      <c r="T520" s="12"/>
      <c r="U520" s="3"/>
      <c r="V520" s="4"/>
      <c r="W520" s="4"/>
      <c r="X520" s="4"/>
      <c r="Y520" s="4"/>
    </row>
    <row r="521" spans="1:25" x14ac:dyDescent="0.25">
      <c r="A521" s="32"/>
      <c r="B521" s="32"/>
      <c r="C521" s="32"/>
      <c r="D521" s="32"/>
      <c r="E521" s="32"/>
      <c r="F521" s="32"/>
      <c r="G521" s="32"/>
      <c r="H521" s="138"/>
      <c r="I521" s="32"/>
      <c r="J521" s="32"/>
      <c r="K521" s="32"/>
      <c r="L521" s="32"/>
      <c r="M521" s="32"/>
      <c r="N521" s="55"/>
      <c r="O521" s="56"/>
      <c r="P521" s="54"/>
      <c r="Q521" s="27"/>
      <c r="R521" s="27"/>
      <c r="S521" s="27"/>
      <c r="T521" s="28"/>
      <c r="U521" s="27"/>
      <c r="V521" s="27"/>
      <c r="W521" s="29"/>
      <c r="X521" s="27"/>
      <c r="Y521" s="27"/>
    </row>
    <row r="522" spans="1:25" x14ac:dyDescent="0.25">
      <c r="A522" s="33"/>
      <c r="B522" s="33"/>
      <c r="C522" s="33"/>
      <c r="D522" s="33"/>
      <c r="E522" s="33"/>
      <c r="F522" s="33"/>
      <c r="G522" s="33"/>
      <c r="H522" s="139"/>
      <c r="I522" s="33"/>
      <c r="J522" s="33"/>
      <c r="K522" s="33"/>
      <c r="L522" s="33"/>
      <c r="M522" s="33"/>
      <c r="N522" s="57"/>
      <c r="O522" s="58"/>
      <c r="P522" s="53"/>
      <c r="Q522" s="25"/>
      <c r="R522" s="25"/>
      <c r="S522" s="25"/>
      <c r="T522" s="26"/>
      <c r="U522" s="25"/>
      <c r="V522" s="25"/>
      <c r="W522" s="30"/>
      <c r="X522" s="25"/>
      <c r="Y522" s="25"/>
    </row>
    <row r="523" spans="1:25" x14ac:dyDescent="0.25">
      <c r="A523" s="32"/>
      <c r="B523" s="32"/>
      <c r="C523" s="32"/>
      <c r="D523" s="32"/>
      <c r="E523" s="32"/>
      <c r="F523" s="32"/>
      <c r="G523" s="32"/>
      <c r="H523" s="138"/>
      <c r="I523" s="32"/>
      <c r="J523" s="32"/>
      <c r="K523" s="32"/>
      <c r="L523" s="32"/>
      <c r="M523" s="32"/>
      <c r="N523" s="55"/>
      <c r="O523" s="56"/>
      <c r="P523" s="54"/>
      <c r="Q523" s="27"/>
      <c r="R523" s="27"/>
      <c r="S523" s="27"/>
      <c r="T523" s="28"/>
      <c r="U523" s="27"/>
      <c r="V523" s="27"/>
      <c r="W523" s="29"/>
      <c r="X523" s="27"/>
      <c r="Y523" s="27"/>
    </row>
    <row r="524" spans="1:25" x14ac:dyDescent="0.25">
      <c r="A524" s="33"/>
      <c r="B524" s="33"/>
      <c r="C524" s="33"/>
      <c r="D524" s="33"/>
      <c r="E524" s="33"/>
      <c r="F524" s="33"/>
      <c r="G524" s="33"/>
      <c r="H524" s="139"/>
      <c r="I524" s="33"/>
      <c r="J524" s="33"/>
      <c r="K524" s="33"/>
      <c r="L524" s="33"/>
      <c r="M524" s="33"/>
      <c r="N524" s="57"/>
      <c r="O524" s="58"/>
      <c r="P524" s="53"/>
      <c r="Q524" s="25"/>
      <c r="R524" s="25"/>
      <c r="S524" s="25"/>
      <c r="T524" s="26"/>
      <c r="U524" s="25"/>
      <c r="V524" s="25"/>
      <c r="W524" s="30"/>
      <c r="X524" s="25"/>
      <c r="Y524" s="25"/>
    </row>
    <row r="525" spans="1:25" x14ac:dyDescent="0.25">
      <c r="N525" s="61"/>
      <c r="O525" s="61"/>
      <c r="P525" s="62"/>
      <c r="Q525" s="13"/>
      <c r="R525" s="13"/>
      <c r="S525" s="14"/>
      <c r="T525" s="1"/>
      <c r="U525" s="15"/>
      <c r="V525" s="1"/>
      <c r="W525" s="15"/>
      <c r="X525" s="16"/>
      <c r="Y525" s="17"/>
    </row>
    <row r="526" spans="1:25" x14ac:dyDescent="0.25">
      <c r="N526" s="61"/>
      <c r="O526" s="61"/>
      <c r="P526" s="62"/>
      <c r="Q526" s="13"/>
      <c r="R526" s="13"/>
      <c r="S526" s="14"/>
      <c r="T526" s="1"/>
      <c r="U526" s="15"/>
      <c r="V526" s="1"/>
      <c r="W526" s="15"/>
      <c r="X526" s="16"/>
      <c r="Y526" s="17"/>
    </row>
    <row r="527" spans="1:25" x14ac:dyDescent="0.25">
      <c r="N527" s="61"/>
      <c r="O527" s="61"/>
      <c r="P527" s="62"/>
      <c r="Q527" s="13"/>
      <c r="R527" s="13"/>
      <c r="S527" s="14"/>
      <c r="T527" s="1"/>
      <c r="U527" s="15"/>
      <c r="V527" s="1"/>
      <c r="W527" s="15"/>
      <c r="X527" s="16"/>
      <c r="Y527" s="17"/>
    </row>
    <row r="528" spans="1:25" x14ac:dyDescent="0.25">
      <c r="N528" s="61"/>
      <c r="O528" s="61"/>
      <c r="P528" s="62"/>
      <c r="Q528" s="13"/>
      <c r="R528" s="13"/>
      <c r="S528" s="14"/>
      <c r="T528" s="1"/>
      <c r="U528" s="15"/>
      <c r="V528" s="1"/>
      <c r="W528" s="15"/>
      <c r="X528" s="16"/>
      <c r="Y528" s="17"/>
    </row>
    <row r="529" spans="14:25" x14ac:dyDescent="0.25">
      <c r="N529" s="61"/>
      <c r="O529" s="61"/>
      <c r="P529" s="62"/>
      <c r="Q529" s="13"/>
      <c r="R529" s="13"/>
      <c r="S529" s="14"/>
      <c r="T529" s="1"/>
      <c r="U529" s="15"/>
      <c r="V529" s="1"/>
      <c r="W529" s="15"/>
      <c r="X529" s="16"/>
      <c r="Y529" s="17"/>
    </row>
    <row r="530" spans="14:25" x14ac:dyDescent="0.25">
      <c r="N530" s="61"/>
      <c r="O530" s="61"/>
      <c r="P530" s="62"/>
      <c r="Q530" s="13"/>
      <c r="R530" s="13"/>
      <c r="S530" s="14"/>
      <c r="T530" s="1"/>
      <c r="U530" s="15"/>
      <c r="V530" s="1"/>
      <c r="W530" s="15"/>
      <c r="X530" s="16"/>
      <c r="Y530" s="17"/>
    </row>
    <row r="531" spans="14:25" x14ac:dyDescent="0.25">
      <c r="N531" s="61"/>
      <c r="O531" s="61"/>
      <c r="P531" s="62"/>
      <c r="Q531" s="13"/>
      <c r="R531" s="13"/>
      <c r="S531" s="14"/>
      <c r="T531" s="1"/>
      <c r="U531" s="15"/>
      <c r="V531" s="1"/>
      <c r="W531" s="15"/>
      <c r="X531" s="16"/>
      <c r="Y531" s="17"/>
    </row>
    <row r="532" spans="14:25" x14ac:dyDescent="0.25">
      <c r="N532" s="61"/>
      <c r="O532" s="61"/>
      <c r="P532" s="62"/>
      <c r="Q532" s="13"/>
      <c r="R532" s="13"/>
      <c r="S532" s="14"/>
      <c r="T532" s="1"/>
      <c r="U532" s="15"/>
      <c r="V532" s="1"/>
      <c r="W532" s="15"/>
      <c r="X532" s="16"/>
      <c r="Y532" s="17"/>
    </row>
    <row r="533" spans="14:25" x14ac:dyDescent="0.25">
      <c r="N533" s="61"/>
      <c r="O533" s="61"/>
      <c r="P533" s="62"/>
      <c r="Q533" s="13"/>
      <c r="R533" s="13"/>
      <c r="S533" s="14"/>
      <c r="T533" s="1"/>
      <c r="U533" s="15"/>
      <c r="V533" s="1"/>
      <c r="W533" s="15"/>
      <c r="X533" s="16"/>
      <c r="Y533" s="17"/>
    </row>
    <row r="534" spans="14:25" x14ac:dyDescent="0.25">
      <c r="N534" s="61"/>
      <c r="O534" s="61"/>
      <c r="P534" s="62"/>
      <c r="Q534" s="13"/>
      <c r="R534" s="13"/>
      <c r="S534" s="14"/>
      <c r="T534" s="1"/>
      <c r="U534" s="15"/>
      <c r="V534" s="1"/>
      <c r="W534" s="15"/>
      <c r="X534" s="16"/>
      <c r="Y534" s="17"/>
    </row>
    <row r="535" spans="14:25" x14ac:dyDescent="0.25">
      <c r="N535" s="61"/>
      <c r="O535" s="61"/>
      <c r="P535" s="62"/>
      <c r="Q535" s="13"/>
      <c r="R535" s="13"/>
      <c r="S535" s="14"/>
      <c r="T535" s="1"/>
      <c r="U535" s="15"/>
      <c r="V535" s="1"/>
      <c r="W535" s="15"/>
      <c r="X535" s="16"/>
      <c r="Y535" s="17"/>
    </row>
    <row r="536" spans="14:25" x14ac:dyDescent="0.25">
      <c r="N536" s="61"/>
      <c r="O536" s="61"/>
      <c r="P536" s="62"/>
      <c r="Q536" s="13"/>
      <c r="R536" s="13"/>
      <c r="S536" s="14"/>
      <c r="T536" s="1"/>
      <c r="U536" s="15"/>
      <c r="V536" s="1"/>
      <c r="W536" s="15"/>
      <c r="X536" s="16"/>
      <c r="Y536" s="17"/>
    </row>
    <row r="537" spans="14:25" x14ac:dyDescent="0.25">
      <c r="N537" s="61"/>
      <c r="O537" s="61"/>
      <c r="P537" s="62"/>
      <c r="Q537" s="13"/>
      <c r="R537" s="13"/>
      <c r="S537" s="14"/>
      <c r="T537" s="1"/>
      <c r="U537" s="15"/>
      <c r="V537" s="1"/>
      <c r="W537" s="15"/>
      <c r="X537" s="16"/>
      <c r="Y537" s="17"/>
    </row>
    <row r="538" spans="14:25" x14ac:dyDescent="0.25">
      <c r="N538" s="61"/>
      <c r="O538" s="61"/>
      <c r="P538" s="62"/>
      <c r="Q538" s="13"/>
      <c r="R538" s="13"/>
      <c r="S538" s="14"/>
      <c r="T538" s="1"/>
      <c r="U538" s="15"/>
      <c r="V538" s="1"/>
      <c r="W538" s="15"/>
      <c r="X538" s="16"/>
      <c r="Y538" s="17"/>
    </row>
    <row r="539" spans="14:25" x14ac:dyDescent="0.25">
      <c r="N539" s="61"/>
      <c r="O539" s="61"/>
      <c r="P539" s="62"/>
      <c r="Q539" s="13"/>
      <c r="R539" s="13"/>
      <c r="S539" s="14"/>
      <c r="T539" s="1"/>
      <c r="U539" s="15"/>
      <c r="V539" s="1"/>
      <c r="W539" s="15"/>
      <c r="X539" s="16"/>
      <c r="Y539" s="17"/>
    </row>
    <row r="540" spans="14:25" x14ac:dyDescent="0.25">
      <c r="N540" s="61"/>
      <c r="O540" s="61"/>
      <c r="P540" s="62"/>
      <c r="Q540" s="13"/>
      <c r="R540" s="13"/>
      <c r="S540" s="14"/>
      <c r="T540" s="1"/>
      <c r="U540" s="15"/>
      <c r="V540" s="1"/>
      <c r="W540" s="15"/>
      <c r="X540" s="16"/>
      <c r="Y540" s="17"/>
    </row>
    <row r="541" spans="14:25" x14ac:dyDescent="0.25">
      <c r="N541" s="61"/>
      <c r="O541" s="61"/>
      <c r="P541" s="62"/>
      <c r="Q541" s="13"/>
      <c r="R541" s="13"/>
      <c r="S541" s="14"/>
      <c r="T541" s="1"/>
      <c r="U541" s="15"/>
      <c r="V541" s="1"/>
      <c r="W541" s="15"/>
      <c r="X541" s="16"/>
      <c r="Y541" s="17"/>
    </row>
    <row r="542" spans="14:25" x14ac:dyDescent="0.25">
      <c r="N542" s="61"/>
      <c r="O542" s="61"/>
      <c r="P542" s="62"/>
      <c r="Q542" s="13"/>
      <c r="R542" s="13"/>
      <c r="S542" s="14"/>
      <c r="T542" s="1"/>
      <c r="U542" s="15"/>
      <c r="V542" s="1"/>
      <c r="W542" s="15"/>
      <c r="X542" s="16"/>
      <c r="Y542" s="17"/>
    </row>
    <row r="543" spans="14:25" x14ac:dyDescent="0.25">
      <c r="N543" s="61"/>
      <c r="O543" s="61"/>
      <c r="P543" s="62"/>
      <c r="Q543" s="13"/>
      <c r="R543" s="13"/>
      <c r="S543" s="14"/>
      <c r="T543" s="1"/>
      <c r="U543" s="15"/>
      <c r="V543" s="1"/>
      <c r="W543" s="15"/>
      <c r="X543" s="16"/>
      <c r="Y543" s="17"/>
    </row>
    <row r="544" spans="14:25" x14ac:dyDescent="0.25">
      <c r="N544" s="61"/>
      <c r="O544" s="61"/>
      <c r="P544" s="62"/>
      <c r="Q544" s="13"/>
      <c r="R544" s="13"/>
      <c r="S544" s="14"/>
      <c r="T544" s="1"/>
      <c r="U544" s="15"/>
      <c r="V544" s="1"/>
      <c r="W544" s="15"/>
      <c r="X544" s="16"/>
      <c r="Y544" s="17"/>
    </row>
    <row r="545" spans="14:25" x14ac:dyDescent="0.25">
      <c r="N545" s="61"/>
      <c r="O545" s="61"/>
      <c r="P545" s="62"/>
      <c r="Q545" s="13"/>
      <c r="R545" s="13"/>
      <c r="S545" s="14"/>
      <c r="T545" s="1"/>
      <c r="U545" s="15"/>
      <c r="V545" s="1"/>
      <c r="W545" s="15"/>
      <c r="X545" s="16"/>
      <c r="Y545" s="17"/>
    </row>
    <row r="546" spans="14:25" x14ac:dyDescent="0.25">
      <c r="N546" s="61"/>
      <c r="O546" s="61"/>
      <c r="P546" s="62"/>
      <c r="Q546" s="13"/>
      <c r="R546" s="13"/>
      <c r="S546" s="14"/>
      <c r="T546" s="1"/>
      <c r="U546" s="15"/>
      <c r="V546" s="1"/>
      <c r="W546" s="15"/>
      <c r="X546" s="16"/>
      <c r="Y546" s="17"/>
    </row>
    <row r="547" spans="14:25" x14ac:dyDescent="0.25">
      <c r="N547" s="61"/>
      <c r="O547" s="61"/>
      <c r="P547" s="62"/>
      <c r="Q547" s="13"/>
      <c r="R547" s="13"/>
      <c r="S547" s="14"/>
      <c r="T547" s="1"/>
      <c r="U547" s="15"/>
      <c r="V547" s="1"/>
      <c r="W547" s="15"/>
      <c r="X547" s="16"/>
      <c r="Y547" s="17"/>
    </row>
    <row r="548" spans="14:25" x14ac:dyDescent="0.25">
      <c r="N548" s="61"/>
      <c r="O548" s="61"/>
      <c r="P548" s="62"/>
      <c r="Q548" s="13"/>
      <c r="R548" s="13"/>
      <c r="S548" s="14"/>
      <c r="T548" s="1"/>
      <c r="U548" s="15"/>
      <c r="V548" s="1"/>
      <c r="W548" s="15"/>
      <c r="X548" s="16"/>
      <c r="Y548" s="17"/>
    </row>
    <row r="549" spans="14:25" x14ac:dyDescent="0.25">
      <c r="N549" s="61"/>
      <c r="O549" s="61"/>
      <c r="P549" s="62"/>
      <c r="Q549" s="13"/>
      <c r="R549" s="13"/>
      <c r="S549" s="14"/>
      <c r="T549" s="1"/>
      <c r="U549" s="15"/>
      <c r="V549" s="1"/>
      <c r="W549" s="15"/>
      <c r="X549" s="16"/>
      <c r="Y549" s="17"/>
    </row>
    <row r="550" spans="14:25" x14ac:dyDescent="0.25">
      <c r="N550" s="61"/>
      <c r="O550" s="61"/>
      <c r="P550" s="62"/>
      <c r="Q550" s="13"/>
      <c r="R550" s="13"/>
      <c r="S550" s="14"/>
      <c r="T550" s="1"/>
      <c r="U550" s="15"/>
      <c r="V550" s="1"/>
      <c r="W550" s="15"/>
      <c r="X550" s="16"/>
      <c r="Y550" s="17"/>
    </row>
    <row r="551" spans="14:25" x14ac:dyDescent="0.25">
      <c r="N551" s="61"/>
      <c r="O551" s="61"/>
      <c r="P551" s="62"/>
      <c r="Q551" s="13"/>
      <c r="R551" s="13"/>
      <c r="S551" s="14"/>
      <c r="T551" s="1"/>
      <c r="U551" s="15"/>
      <c r="V551" s="1"/>
      <c r="W551" s="15"/>
      <c r="X551" s="16"/>
      <c r="Y551" s="17"/>
    </row>
    <row r="552" spans="14:25" x14ac:dyDescent="0.25">
      <c r="N552" s="61"/>
      <c r="O552" s="61"/>
      <c r="P552" s="62"/>
      <c r="Q552" s="13"/>
      <c r="R552" s="13"/>
      <c r="S552" s="14"/>
      <c r="T552" s="1"/>
      <c r="U552" s="15"/>
      <c r="V552" s="1"/>
      <c r="W552" s="15"/>
      <c r="X552" s="16"/>
      <c r="Y552" s="17"/>
    </row>
    <row r="553" spans="14:25" x14ac:dyDescent="0.25">
      <c r="N553" s="61"/>
      <c r="O553" s="61"/>
      <c r="P553" s="62"/>
      <c r="Q553" s="13"/>
      <c r="R553" s="13"/>
      <c r="S553" s="14"/>
      <c r="T553" s="1"/>
      <c r="U553" s="15"/>
      <c r="V553" s="1"/>
      <c r="W553" s="15"/>
      <c r="X553" s="16"/>
      <c r="Y553" s="17"/>
    </row>
    <row r="554" spans="14:25" x14ac:dyDescent="0.25">
      <c r="N554" s="61"/>
      <c r="O554" s="61"/>
      <c r="P554" s="62"/>
      <c r="Q554" s="13"/>
      <c r="R554" s="13"/>
      <c r="S554" s="14"/>
      <c r="T554" s="1"/>
      <c r="U554" s="15"/>
      <c r="V554" s="1"/>
      <c r="W554" s="15"/>
      <c r="X554" s="16"/>
      <c r="Y554" s="17"/>
    </row>
    <row r="555" spans="14:25" x14ac:dyDescent="0.25">
      <c r="N555" s="61"/>
      <c r="O555" s="61"/>
      <c r="P555" s="62"/>
      <c r="Q555" s="13"/>
      <c r="R555" s="13"/>
      <c r="S555" s="14"/>
      <c r="T555" s="1"/>
      <c r="U555" s="15"/>
      <c r="V555" s="1"/>
      <c r="W555" s="15"/>
      <c r="X555" s="16"/>
      <c r="Y555" s="17"/>
    </row>
    <row r="556" spans="14:25" x14ac:dyDescent="0.25">
      <c r="N556" s="61"/>
      <c r="O556" s="61"/>
      <c r="P556" s="62"/>
      <c r="Q556" s="13"/>
      <c r="R556" s="13"/>
      <c r="S556" s="14"/>
      <c r="T556" s="1"/>
      <c r="U556" s="15"/>
      <c r="V556" s="1"/>
      <c r="W556" s="15"/>
      <c r="X556" s="16"/>
      <c r="Y556" s="17"/>
    </row>
    <row r="557" spans="14:25" x14ac:dyDescent="0.25">
      <c r="N557" s="61"/>
      <c r="O557" s="61"/>
      <c r="P557" s="62"/>
      <c r="Q557" s="13"/>
      <c r="R557" s="13"/>
      <c r="S557" s="14"/>
      <c r="T557" s="1"/>
      <c r="U557" s="15"/>
      <c r="V557" s="1"/>
      <c r="W557" s="15"/>
      <c r="X557" s="16"/>
      <c r="Y557" s="17"/>
    </row>
    <row r="558" spans="14:25" x14ac:dyDescent="0.25">
      <c r="N558" s="61"/>
      <c r="O558" s="61"/>
      <c r="P558" s="62"/>
      <c r="Q558" s="13"/>
      <c r="R558" s="13"/>
      <c r="S558" s="14"/>
      <c r="T558" s="1"/>
      <c r="U558" s="15"/>
      <c r="V558" s="1"/>
      <c r="W558" s="15"/>
      <c r="X558" s="16"/>
      <c r="Y558" s="17"/>
    </row>
    <row r="559" spans="14:25" x14ac:dyDescent="0.25">
      <c r="N559" s="61"/>
      <c r="O559" s="61"/>
      <c r="P559" s="62"/>
      <c r="Q559" s="13"/>
      <c r="R559" s="13"/>
      <c r="S559" s="14"/>
      <c r="T559" s="1"/>
      <c r="U559" s="15"/>
      <c r="V559" s="1"/>
      <c r="W559" s="15"/>
      <c r="X559" s="16"/>
      <c r="Y559" s="17"/>
    </row>
    <row r="560" spans="14:25" x14ac:dyDescent="0.25">
      <c r="N560" s="61"/>
      <c r="O560" s="61"/>
      <c r="P560" s="62"/>
      <c r="Q560" s="13"/>
      <c r="R560" s="13"/>
      <c r="S560" s="14"/>
      <c r="T560" s="1"/>
      <c r="U560" s="15"/>
      <c r="V560" s="1"/>
      <c r="W560" s="15"/>
      <c r="X560" s="16"/>
      <c r="Y560" s="17"/>
    </row>
    <row r="561" spans="14:25" x14ac:dyDescent="0.25">
      <c r="N561" s="61"/>
      <c r="O561" s="61"/>
      <c r="P561" s="62"/>
      <c r="Q561" s="13"/>
      <c r="R561" s="13"/>
      <c r="S561" s="14"/>
      <c r="T561" s="1"/>
      <c r="U561" s="15"/>
      <c r="V561" s="1"/>
      <c r="W561" s="15"/>
      <c r="X561" s="16"/>
      <c r="Y561" s="17"/>
    </row>
    <row r="562" spans="14:25" x14ac:dyDescent="0.25">
      <c r="N562" s="61"/>
      <c r="O562" s="61"/>
      <c r="P562" s="62"/>
      <c r="Q562" s="13"/>
      <c r="R562" s="13"/>
      <c r="S562" s="14"/>
      <c r="T562" s="1"/>
      <c r="U562" s="15"/>
      <c r="V562" s="1"/>
      <c r="W562" s="15"/>
      <c r="X562" s="16"/>
      <c r="Y562" s="17"/>
    </row>
    <row r="563" spans="14:25" x14ac:dyDescent="0.25">
      <c r="N563" s="61"/>
      <c r="O563" s="61"/>
      <c r="P563" s="62"/>
      <c r="Q563" s="13"/>
      <c r="R563" s="13"/>
      <c r="S563" s="14"/>
      <c r="T563" s="1"/>
      <c r="U563" s="15"/>
      <c r="V563" s="1"/>
      <c r="W563" s="15"/>
      <c r="X563" s="16"/>
      <c r="Y563" s="17"/>
    </row>
    <row r="564" spans="14:25" x14ac:dyDescent="0.25">
      <c r="N564" s="61"/>
      <c r="O564" s="61"/>
      <c r="P564" s="62"/>
      <c r="Q564" s="13"/>
      <c r="R564" s="13"/>
      <c r="S564" s="14"/>
      <c r="T564" s="1"/>
      <c r="U564" s="15"/>
      <c r="V564" s="1"/>
      <c r="W564" s="15"/>
      <c r="X564" s="16"/>
      <c r="Y564" s="17"/>
    </row>
    <row r="565" spans="14:25" x14ac:dyDescent="0.25">
      <c r="N565" s="61"/>
      <c r="O565" s="61"/>
      <c r="P565" s="62"/>
      <c r="Q565" s="13"/>
      <c r="R565" s="13"/>
      <c r="S565" s="14"/>
      <c r="T565" s="1"/>
      <c r="U565" s="15"/>
      <c r="V565" s="1"/>
      <c r="W565" s="15"/>
      <c r="X565" s="16"/>
      <c r="Y565" s="17"/>
    </row>
    <row r="566" spans="14:25" x14ac:dyDescent="0.25">
      <c r="N566" s="61"/>
      <c r="O566" s="61"/>
      <c r="P566" s="62"/>
      <c r="Q566" s="13"/>
      <c r="R566" s="13"/>
      <c r="S566" s="14"/>
      <c r="T566" s="1"/>
      <c r="U566" s="15"/>
      <c r="V566" s="1"/>
      <c r="W566" s="15"/>
      <c r="X566" s="16"/>
      <c r="Y566" s="17"/>
    </row>
    <row r="567" spans="14:25" x14ac:dyDescent="0.25">
      <c r="N567" s="61"/>
      <c r="O567" s="61"/>
      <c r="P567" s="62"/>
      <c r="Q567" s="13"/>
      <c r="R567" s="13"/>
      <c r="S567" s="14"/>
      <c r="T567" s="1"/>
      <c r="U567" s="15"/>
      <c r="V567" s="1"/>
      <c r="W567" s="15"/>
      <c r="X567" s="16"/>
      <c r="Y567" s="17"/>
    </row>
    <row r="568" spans="14:25" x14ac:dyDescent="0.25">
      <c r="N568" s="61"/>
      <c r="O568" s="61"/>
      <c r="P568" s="62"/>
      <c r="Q568" s="13"/>
      <c r="R568" s="13"/>
      <c r="S568" s="14"/>
      <c r="T568" s="1"/>
      <c r="U568" s="15"/>
      <c r="V568" s="1"/>
      <c r="W568" s="15"/>
      <c r="X568" s="16"/>
      <c r="Y568" s="17"/>
    </row>
    <row r="569" spans="14:25" x14ac:dyDescent="0.25">
      <c r="N569" s="61"/>
      <c r="O569" s="61"/>
      <c r="P569" s="62"/>
      <c r="Q569" s="13"/>
      <c r="R569" s="13"/>
      <c r="S569" s="14"/>
      <c r="T569" s="1"/>
      <c r="U569" s="15"/>
      <c r="V569" s="1"/>
      <c r="W569" s="15"/>
      <c r="X569" s="16"/>
      <c r="Y569" s="17"/>
    </row>
    <row r="570" spans="14:25" x14ac:dyDescent="0.25">
      <c r="N570" s="61"/>
      <c r="O570" s="61"/>
      <c r="P570" s="62"/>
      <c r="Q570" s="13"/>
      <c r="R570" s="13"/>
      <c r="S570" s="14"/>
      <c r="T570" s="1"/>
      <c r="U570" s="15"/>
      <c r="V570" s="1"/>
      <c r="W570" s="15"/>
      <c r="X570" s="16"/>
      <c r="Y570" s="17"/>
    </row>
    <row r="571" spans="14:25" x14ac:dyDescent="0.25">
      <c r="N571" s="61"/>
      <c r="O571" s="61"/>
      <c r="P571" s="62"/>
      <c r="Q571" s="13"/>
      <c r="R571" s="13"/>
      <c r="S571" s="14"/>
      <c r="T571" s="1"/>
      <c r="U571" s="15"/>
      <c r="V571" s="1"/>
      <c r="W571" s="15"/>
      <c r="X571" s="16"/>
      <c r="Y571" s="17"/>
    </row>
    <row r="572" spans="14:25" x14ac:dyDescent="0.25">
      <c r="N572" s="61"/>
      <c r="O572" s="61"/>
      <c r="P572" s="62"/>
      <c r="Q572" s="13"/>
      <c r="R572" s="13"/>
      <c r="S572" s="14"/>
      <c r="T572" s="1"/>
      <c r="U572" s="15"/>
      <c r="V572" s="1"/>
      <c r="W572" s="15"/>
      <c r="X572" s="16"/>
      <c r="Y572" s="17"/>
    </row>
    <row r="573" spans="14:25" x14ac:dyDescent="0.25">
      <c r="N573" s="61"/>
      <c r="O573" s="61"/>
      <c r="P573" s="62"/>
      <c r="Q573" s="13"/>
      <c r="R573" s="13"/>
      <c r="S573" s="14"/>
      <c r="T573" s="1"/>
      <c r="U573" s="15"/>
      <c r="V573" s="1"/>
      <c r="W573" s="15"/>
      <c r="X573" s="16"/>
      <c r="Y573" s="17"/>
    </row>
    <row r="574" spans="14:25" x14ac:dyDescent="0.25">
      <c r="N574" s="61"/>
      <c r="O574" s="61"/>
      <c r="P574" s="62"/>
      <c r="Q574" s="13"/>
      <c r="R574" s="13"/>
      <c r="S574" s="14"/>
      <c r="T574" s="1"/>
      <c r="U574" s="15"/>
      <c r="V574" s="1"/>
      <c r="W574" s="15"/>
      <c r="X574" s="16"/>
      <c r="Y574" s="17"/>
    </row>
    <row r="575" spans="14:25" x14ac:dyDescent="0.25">
      <c r="N575" s="61"/>
      <c r="O575" s="61"/>
      <c r="P575" s="62"/>
      <c r="Q575" s="13"/>
      <c r="R575" s="13"/>
      <c r="S575" s="14"/>
      <c r="T575" s="1"/>
      <c r="U575" s="15"/>
      <c r="V575" s="1"/>
      <c r="W575" s="15"/>
      <c r="X575" s="16"/>
      <c r="Y575" s="17"/>
    </row>
    <row r="576" spans="14:25" x14ac:dyDescent="0.25">
      <c r="N576" s="61"/>
      <c r="O576" s="61"/>
      <c r="P576" s="62"/>
      <c r="Q576" s="13"/>
      <c r="R576" s="13"/>
      <c r="S576" s="14"/>
      <c r="T576" s="1"/>
      <c r="U576" s="15"/>
      <c r="V576" s="1"/>
      <c r="W576" s="15"/>
      <c r="X576" s="16"/>
      <c r="Y576" s="17"/>
    </row>
    <row r="577" spans="14:25" x14ac:dyDescent="0.25">
      <c r="N577" s="61"/>
      <c r="O577" s="61"/>
      <c r="P577" s="62"/>
      <c r="Q577" s="13"/>
      <c r="R577" s="13"/>
      <c r="S577" s="14"/>
      <c r="T577" s="1"/>
      <c r="U577" s="15"/>
      <c r="V577" s="1"/>
      <c r="W577" s="15"/>
      <c r="X577" s="16"/>
      <c r="Y577" s="17"/>
    </row>
    <row r="578" spans="14:25" x14ac:dyDescent="0.25">
      <c r="N578" s="61"/>
      <c r="O578" s="61"/>
      <c r="P578" s="62"/>
      <c r="Q578" s="13"/>
      <c r="R578" s="13"/>
      <c r="S578" s="14"/>
      <c r="T578" s="1"/>
      <c r="U578" s="15"/>
      <c r="V578" s="1"/>
      <c r="W578" s="15"/>
      <c r="X578" s="16"/>
      <c r="Y578" s="17"/>
    </row>
    <row r="579" spans="14:25" x14ac:dyDescent="0.25">
      <c r="N579" s="61"/>
      <c r="O579" s="61"/>
      <c r="P579" s="62"/>
      <c r="Q579" s="13"/>
      <c r="R579" s="13"/>
      <c r="S579" s="14"/>
      <c r="T579" s="1"/>
      <c r="U579" s="15"/>
      <c r="V579" s="1"/>
      <c r="W579" s="15"/>
      <c r="X579" s="16"/>
      <c r="Y579" s="17"/>
    </row>
    <row r="580" spans="14:25" x14ac:dyDescent="0.25">
      <c r="N580" s="61"/>
      <c r="O580" s="61"/>
      <c r="P580" s="62"/>
      <c r="Q580" s="13"/>
      <c r="R580" s="13"/>
      <c r="S580" s="14"/>
      <c r="T580" s="1"/>
      <c r="U580" s="15"/>
      <c r="V580" s="1"/>
      <c r="W580" s="15"/>
      <c r="X580" s="16"/>
      <c r="Y580" s="17"/>
    </row>
    <row r="581" spans="14:25" x14ac:dyDescent="0.25">
      <c r="N581" s="61"/>
      <c r="O581" s="61"/>
      <c r="P581" s="62"/>
      <c r="Q581" s="13"/>
      <c r="R581" s="13"/>
      <c r="S581" s="14"/>
      <c r="T581" s="1"/>
      <c r="U581" s="15"/>
      <c r="V581" s="1"/>
      <c r="W581" s="15"/>
      <c r="X581" s="16"/>
      <c r="Y581" s="17"/>
    </row>
    <row r="582" spans="14:25" x14ac:dyDescent="0.25">
      <c r="N582" s="61"/>
      <c r="O582" s="61"/>
      <c r="P582" s="62"/>
      <c r="Q582" s="13"/>
      <c r="R582" s="13"/>
      <c r="S582" s="14"/>
      <c r="T582" s="1"/>
      <c r="U582" s="15"/>
      <c r="V582" s="1"/>
      <c r="W582" s="15"/>
      <c r="X582" s="16"/>
      <c r="Y582" s="17"/>
    </row>
    <row r="583" spans="14:25" x14ac:dyDescent="0.25">
      <c r="N583" s="61"/>
      <c r="O583" s="61"/>
      <c r="P583" s="62"/>
      <c r="Q583" s="13"/>
      <c r="R583" s="13"/>
      <c r="S583" s="14"/>
      <c r="T583" s="1"/>
      <c r="U583" s="15"/>
      <c r="V583" s="1"/>
      <c r="W583" s="15"/>
      <c r="X583" s="16"/>
      <c r="Y583" s="17"/>
    </row>
    <row r="584" spans="14:25" x14ac:dyDescent="0.25">
      <c r="N584" s="61"/>
      <c r="O584" s="61"/>
      <c r="P584" s="62"/>
      <c r="Q584" s="13"/>
      <c r="R584" s="13"/>
      <c r="S584" s="14"/>
      <c r="T584" s="1"/>
      <c r="U584" s="15"/>
      <c r="V584" s="1"/>
      <c r="W584" s="15"/>
      <c r="X584" s="16"/>
      <c r="Y584" s="17"/>
    </row>
    <row r="585" spans="14:25" x14ac:dyDescent="0.25">
      <c r="N585" s="61"/>
      <c r="O585" s="61"/>
      <c r="P585" s="62"/>
      <c r="Q585" s="13"/>
      <c r="R585" s="13"/>
      <c r="S585" s="14"/>
      <c r="T585" s="1"/>
      <c r="U585" s="15"/>
      <c r="V585" s="1"/>
      <c r="W585" s="15"/>
      <c r="X585" s="16"/>
      <c r="Y585" s="17"/>
    </row>
    <row r="586" spans="14:25" x14ac:dyDescent="0.25">
      <c r="N586" s="61"/>
      <c r="O586" s="61"/>
      <c r="P586" s="62"/>
      <c r="Q586" s="13"/>
      <c r="R586" s="13"/>
      <c r="S586" s="14"/>
      <c r="T586" s="1"/>
      <c r="U586" s="15"/>
      <c r="V586" s="1"/>
      <c r="W586" s="15"/>
      <c r="X586" s="16"/>
      <c r="Y586" s="17"/>
    </row>
    <row r="587" spans="14:25" x14ac:dyDescent="0.25">
      <c r="N587" s="61"/>
      <c r="O587" s="61"/>
      <c r="P587" s="62"/>
      <c r="Q587" s="13"/>
      <c r="R587" s="13"/>
      <c r="S587" s="14"/>
      <c r="T587" s="1"/>
      <c r="U587" s="15"/>
      <c r="V587" s="1"/>
      <c r="W587" s="15"/>
      <c r="X587" s="16"/>
      <c r="Y587" s="17"/>
    </row>
    <row r="588" spans="14:25" x14ac:dyDescent="0.25">
      <c r="N588" s="61"/>
      <c r="O588" s="61"/>
      <c r="P588" s="62"/>
      <c r="Q588" s="13"/>
      <c r="R588" s="13"/>
      <c r="S588" s="14"/>
      <c r="T588" s="1"/>
      <c r="U588" s="15"/>
      <c r="V588" s="1"/>
      <c r="W588" s="15"/>
      <c r="X588" s="16"/>
      <c r="Y588" s="17"/>
    </row>
    <row r="589" spans="14:25" x14ac:dyDescent="0.25">
      <c r="N589" s="61"/>
      <c r="O589" s="61"/>
      <c r="P589" s="62"/>
      <c r="Q589" s="13"/>
      <c r="R589" s="13"/>
      <c r="S589" s="14"/>
      <c r="T589" s="1"/>
      <c r="U589" s="15"/>
      <c r="V589" s="1"/>
      <c r="W589" s="15"/>
      <c r="X589" s="16"/>
      <c r="Y589" s="17"/>
    </row>
    <row r="590" spans="14:25" x14ac:dyDescent="0.25">
      <c r="N590" s="61"/>
      <c r="O590" s="61"/>
      <c r="P590" s="62"/>
      <c r="Q590" s="13"/>
      <c r="R590" s="13"/>
      <c r="S590" s="14"/>
      <c r="T590" s="1"/>
      <c r="U590" s="15"/>
      <c r="V590" s="1"/>
      <c r="W590" s="15"/>
      <c r="X590" s="16"/>
      <c r="Y590" s="17"/>
    </row>
    <row r="591" spans="14:25" x14ac:dyDescent="0.25">
      <c r="N591" s="61"/>
      <c r="O591" s="61"/>
      <c r="P591" s="62"/>
      <c r="Q591" s="13"/>
      <c r="R591" s="13"/>
      <c r="S591" s="14"/>
      <c r="T591" s="1"/>
      <c r="U591" s="15"/>
      <c r="V591" s="1"/>
      <c r="W591" s="15"/>
      <c r="X591" s="16"/>
      <c r="Y591" s="17"/>
    </row>
    <row r="592" spans="14:25" x14ac:dyDescent="0.25">
      <c r="N592" s="61"/>
      <c r="O592" s="61"/>
      <c r="P592" s="62"/>
      <c r="Q592" s="13"/>
      <c r="R592" s="13"/>
      <c r="S592" s="14"/>
      <c r="T592" s="1"/>
      <c r="U592" s="15"/>
      <c r="V592" s="1"/>
      <c r="W592" s="15"/>
      <c r="X592" s="16"/>
      <c r="Y592" s="17"/>
    </row>
    <row r="593" spans="14:25" x14ac:dyDescent="0.25">
      <c r="N593" s="61"/>
      <c r="O593" s="61"/>
      <c r="P593" s="62"/>
      <c r="Q593" s="13"/>
      <c r="R593" s="13"/>
      <c r="S593" s="14"/>
      <c r="T593" s="1"/>
      <c r="U593" s="15"/>
      <c r="V593" s="1"/>
      <c r="W593" s="15"/>
      <c r="X593" s="16"/>
      <c r="Y593" s="17"/>
    </row>
    <row r="594" spans="14:25" x14ac:dyDescent="0.25">
      <c r="N594" s="61"/>
      <c r="O594" s="61"/>
      <c r="P594" s="62"/>
      <c r="Q594" s="13"/>
      <c r="R594" s="13"/>
      <c r="S594" s="14"/>
      <c r="T594" s="1"/>
      <c r="U594" s="15"/>
      <c r="V594" s="1"/>
      <c r="W594" s="15"/>
      <c r="X594" s="16"/>
      <c r="Y594" s="17"/>
    </row>
    <row r="595" spans="14:25" x14ac:dyDescent="0.25">
      <c r="N595" s="61"/>
      <c r="O595" s="61"/>
      <c r="P595" s="62"/>
      <c r="Q595" s="13"/>
      <c r="R595" s="13"/>
      <c r="S595" s="14"/>
      <c r="T595" s="1"/>
      <c r="U595" s="15"/>
      <c r="V595" s="1"/>
      <c r="W595" s="15"/>
      <c r="X595" s="16"/>
      <c r="Y595" s="17"/>
    </row>
    <row r="596" spans="14:25" x14ac:dyDescent="0.25">
      <c r="N596" s="61"/>
      <c r="O596" s="61"/>
      <c r="P596" s="62"/>
      <c r="Q596" s="13"/>
      <c r="R596" s="13"/>
      <c r="S596" s="14"/>
      <c r="T596" s="1"/>
      <c r="U596" s="15"/>
      <c r="V596" s="1"/>
      <c r="W596" s="15"/>
      <c r="X596" s="16"/>
      <c r="Y596" s="17"/>
    </row>
    <row r="597" spans="14:25" x14ac:dyDescent="0.25">
      <c r="N597" s="61"/>
      <c r="O597" s="61"/>
      <c r="P597" s="62"/>
      <c r="Q597" s="13"/>
      <c r="R597" s="13"/>
      <c r="S597" s="14"/>
      <c r="T597" s="1"/>
      <c r="U597" s="15"/>
      <c r="V597" s="1"/>
      <c r="W597" s="15"/>
      <c r="X597" s="16"/>
      <c r="Y597" s="17"/>
    </row>
    <row r="598" spans="14:25" x14ac:dyDescent="0.25">
      <c r="N598" s="61"/>
      <c r="O598" s="61"/>
      <c r="P598" s="62"/>
      <c r="Q598" s="13"/>
      <c r="R598" s="13"/>
      <c r="S598" s="14"/>
      <c r="T598" s="1"/>
      <c r="U598" s="15"/>
      <c r="V598" s="1"/>
      <c r="W598" s="15"/>
      <c r="X598" s="16"/>
      <c r="Y598" s="17"/>
    </row>
    <row r="599" spans="14:25" x14ac:dyDescent="0.25">
      <c r="N599" s="61"/>
      <c r="O599" s="61"/>
      <c r="P599" s="62"/>
      <c r="Q599" s="13"/>
      <c r="R599" s="13"/>
      <c r="S599" s="14"/>
      <c r="T599" s="1"/>
      <c r="U599" s="15"/>
      <c r="V599" s="1"/>
      <c r="W599" s="15"/>
      <c r="X599" s="16"/>
      <c r="Y599" s="17"/>
    </row>
    <row r="600" spans="14:25" x14ac:dyDescent="0.25">
      <c r="N600" s="61"/>
      <c r="O600" s="61"/>
      <c r="P600" s="62"/>
      <c r="Q600" s="13"/>
      <c r="R600" s="13"/>
      <c r="S600" s="14"/>
      <c r="T600" s="1"/>
      <c r="U600" s="15"/>
      <c r="V600" s="1"/>
      <c r="W600" s="15"/>
      <c r="X600" s="16"/>
      <c r="Y600" s="17"/>
    </row>
    <row r="601" spans="14:25" x14ac:dyDescent="0.25">
      <c r="N601" s="61"/>
      <c r="O601" s="61"/>
      <c r="P601" s="62"/>
      <c r="Q601" s="13"/>
      <c r="R601" s="13"/>
      <c r="S601" s="14"/>
      <c r="T601" s="1"/>
      <c r="U601" s="15"/>
      <c r="V601" s="1"/>
      <c r="W601" s="15"/>
      <c r="X601" s="16"/>
      <c r="Y601" s="17"/>
    </row>
    <row r="602" spans="14:25" x14ac:dyDescent="0.25">
      <c r="N602" s="61"/>
      <c r="O602" s="61"/>
      <c r="P602" s="62"/>
      <c r="Q602" s="13"/>
      <c r="R602" s="13"/>
      <c r="S602" s="14"/>
      <c r="T602" s="1"/>
      <c r="U602" s="15"/>
      <c r="V602" s="1"/>
      <c r="W602" s="15"/>
      <c r="X602" s="16"/>
      <c r="Y602" s="17"/>
    </row>
    <row r="603" spans="14:25" x14ac:dyDescent="0.25">
      <c r="N603" s="61"/>
      <c r="O603" s="61"/>
      <c r="P603" s="62"/>
      <c r="Q603" s="13"/>
      <c r="R603" s="13"/>
      <c r="S603" s="14"/>
      <c r="T603" s="1"/>
      <c r="U603" s="15"/>
      <c r="V603" s="1"/>
      <c r="W603" s="15"/>
      <c r="X603" s="16"/>
      <c r="Y603" s="17"/>
    </row>
    <row r="604" spans="14:25" x14ac:dyDescent="0.25">
      <c r="N604" s="61"/>
      <c r="O604" s="61"/>
      <c r="P604" s="62"/>
      <c r="Q604" s="13"/>
      <c r="R604" s="13"/>
      <c r="S604" s="14"/>
      <c r="T604" s="1"/>
      <c r="U604" s="15"/>
      <c r="V604" s="1"/>
      <c r="W604" s="15"/>
      <c r="X604" s="16"/>
      <c r="Y604" s="17"/>
    </row>
    <row r="605" spans="14:25" x14ac:dyDescent="0.25">
      <c r="N605" s="61"/>
      <c r="O605" s="61"/>
      <c r="P605" s="62"/>
      <c r="Q605" s="13"/>
      <c r="R605" s="13"/>
      <c r="S605" s="14"/>
      <c r="T605" s="1"/>
      <c r="U605" s="15"/>
      <c r="V605" s="1"/>
      <c r="W605" s="15"/>
      <c r="X605" s="16"/>
      <c r="Y605" s="17"/>
    </row>
    <row r="606" spans="14:25" x14ac:dyDescent="0.25">
      <c r="N606" s="61"/>
      <c r="O606" s="61"/>
      <c r="P606" s="62"/>
      <c r="Q606" s="13"/>
      <c r="R606" s="13"/>
      <c r="S606" s="14"/>
      <c r="T606" s="1"/>
      <c r="U606" s="15"/>
      <c r="V606" s="1"/>
      <c r="W606" s="15"/>
      <c r="X606" s="16"/>
      <c r="Y606" s="17"/>
    </row>
    <row r="607" spans="14:25" x14ac:dyDescent="0.25">
      <c r="N607" s="61"/>
      <c r="O607" s="61"/>
      <c r="P607" s="62"/>
      <c r="Q607" s="13"/>
      <c r="R607" s="13"/>
      <c r="S607" s="14"/>
      <c r="T607" s="1"/>
      <c r="U607" s="15"/>
      <c r="V607" s="1"/>
      <c r="W607" s="15"/>
      <c r="X607" s="16"/>
      <c r="Y607" s="17"/>
    </row>
    <row r="608" spans="14:25" x14ac:dyDescent="0.25">
      <c r="N608" s="61"/>
      <c r="O608" s="61"/>
      <c r="P608" s="62"/>
      <c r="Q608" s="13"/>
      <c r="R608" s="13"/>
      <c r="S608" s="14"/>
      <c r="T608" s="1"/>
      <c r="U608" s="15"/>
      <c r="V608" s="1"/>
      <c r="W608" s="15"/>
      <c r="X608" s="16"/>
      <c r="Y608" s="17"/>
    </row>
    <row r="609" spans="14:25" x14ac:dyDescent="0.25">
      <c r="N609" s="61"/>
      <c r="O609" s="61"/>
      <c r="P609" s="62"/>
      <c r="Q609" s="13"/>
      <c r="R609" s="13"/>
      <c r="S609" s="14"/>
      <c r="T609" s="1"/>
      <c r="U609" s="15"/>
      <c r="V609" s="1"/>
      <c r="W609" s="15"/>
      <c r="X609" s="16"/>
      <c r="Y609" s="17"/>
    </row>
    <row r="610" spans="14:25" x14ac:dyDescent="0.25">
      <c r="N610" s="61"/>
      <c r="O610" s="61"/>
      <c r="P610" s="62"/>
      <c r="Q610" s="13"/>
      <c r="R610" s="13"/>
      <c r="S610" s="14"/>
      <c r="T610" s="1"/>
      <c r="U610" s="15"/>
      <c r="V610" s="1"/>
      <c r="W610" s="15"/>
      <c r="X610" s="16"/>
      <c r="Y610" s="17"/>
    </row>
    <row r="611" spans="14:25" x14ac:dyDescent="0.25">
      <c r="N611" s="61"/>
      <c r="O611" s="61"/>
      <c r="P611" s="62"/>
      <c r="Q611" s="13"/>
      <c r="R611" s="13"/>
      <c r="S611" s="14"/>
      <c r="T611" s="1"/>
      <c r="U611" s="15"/>
      <c r="V611" s="1"/>
      <c r="W611" s="15"/>
      <c r="X611" s="16"/>
      <c r="Y611" s="17"/>
    </row>
    <row r="612" spans="14:25" x14ac:dyDescent="0.25">
      <c r="N612" s="61"/>
      <c r="O612" s="61"/>
      <c r="P612" s="62"/>
      <c r="Q612" s="13"/>
      <c r="R612" s="13"/>
      <c r="S612" s="14"/>
      <c r="T612" s="1"/>
      <c r="U612" s="15"/>
      <c r="V612" s="1"/>
      <c r="W612" s="15"/>
      <c r="X612" s="16"/>
      <c r="Y612" s="17"/>
    </row>
    <row r="613" spans="14:25" x14ac:dyDescent="0.25">
      <c r="N613" s="61"/>
      <c r="O613" s="61"/>
      <c r="P613" s="62"/>
      <c r="Q613" s="13"/>
      <c r="R613" s="13"/>
      <c r="S613" s="14"/>
      <c r="T613" s="1"/>
      <c r="U613" s="15"/>
      <c r="V613" s="1"/>
      <c r="W613" s="15"/>
      <c r="X613" s="16"/>
      <c r="Y613" s="17"/>
    </row>
    <row r="614" spans="14:25" x14ac:dyDescent="0.25">
      <c r="N614" s="61"/>
      <c r="O614" s="61"/>
      <c r="P614" s="62"/>
      <c r="Q614" s="13"/>
      <c r="R614" s="13"/>
      <c r="S614" s="14"/>
      <c r="T614" s="1"/>
      <c r="U614" s="15"/>
      <c r="V614" s="1"/>
      <c r="W614" s="15"/>
      <c r="X614" s="16"/>
      <c r="Y614" s="17"/>
    </row>
    <row r="615" spans="14:25" x14ac:dyDescent="0.25">
      <c r="N615" s="61"/>
      <c r="O615" s="61"/>
      <c r="P615" s="62"/>
      <c r="Q615" s="13"/>
      <c r="R615" s="13"/>
      <c r="S615" s="14"/>
      <c r="T615" s="1"/>
      <c r="U615" s="15"/>
      <c r="V615" s="1"/>
      <c r="W615" s="15"/>
      <c r="X615" s="16"/>
      <c r="Y615" s="17"/>
    </row>
    <row r="616" spans="14:25" x14ac:dyDescent="0.25">
      <c r="N616" s="61"/>
      <c r="O616" s="61"/>
      <c r="P616" s="62"/>
      <c r="Q616" s="13"/>
      <c r="R616" s="13"/>
      <c r="S616" s="14"/>
      <c r="T616" s="1"/>
      <c r="U616" s="15"/>
      <c r="V616" s="1"/>
      <c r="W616" s="15"/>
      <c r="X616" s="16"/>
      <c r="Y616" s="17"/>
    </row>
    <row r="617" spans="14:25" x14ac:dyDescent="0.25">
      <c r="N617" s="61"/>
      <c r="O617" s="61"/>
      <c r="P617" s="62"/>
      <c r="Q617" s="13"/>
      <c r="R617" s="13"/>
      <c r="S617" s="14"/>
      <c r="T617" s="1"/>
      <c r="U617" s="15"/>
      <c r="V617" s="1"/>
      <c r="W617" s="15"/>
      <c r="X617" s="16"/>
      <c r="Y617" s="17"/>
    </row>
    <row r="618" spans="14:25" x14ac:dyDescent="0.25">
      <c r="N618" s="61"/>
      <c r="O618" s="61"/>
      <c r="P618" s="62"/>
      <c r="Q618" s="13"/>
      <c r="R618" s="13"/>
      <c r="S618" s="14"/>
      <c r="T618" s="1"/>
      <c r="U618" s="15"/>
      <c r="V618" s="1"/>
      <c r="W618" s="15"/>
      <c r="X618" s="16"/>
      <c r="Y618" s="17"/>
    </row>
    <row r="619" spans="14:25" x14ac:dyDescent="0.25">
      <c r="N619" s="61"/>
      <c r="O619" s="61"/>
      <c r="P619" s="62"/>
      <c r="Q619" s="13"/>
      <c r="R619" s="13"/>
      <c r="S619" s="14"/>
      <c r="T619" s="1"/>
      <c r="U619" s="15"/>
      <c r="V619" s="1"/>
      <c r="W619" s="15"/>
      <c r="X619" s="16"/>
      <c r="Y619" s="17"/>
    </row>
    <row r="620" spans="14:25" x14ac:dyDescent="0.25">
      <c r="N620" s="61"/>
      <c r="O620" s="61"/>
      <c r="P620" s="62"/>
      <c r="Q620" s="13"/>
      <c r="R620" s="13"/>
      <c r="S620" s="14"/>
      <c r="T620" s="1"/>
      <c r="U620" s="15"/>
      <c r="V620" s="1"/>
      <c r="W620" s="15"/>
      <c r="X620" s="16"/>
      <c r="Y620" s="17"/>
    </row>
    <row r="621" spans="14:25" x14ac:dyDescent="0.25">
      <c r="N621" s="61"/>
      <c r="O621" s="61"/>
      <c r="P621" s="62"/>
      <c r="Q621" s="13"/>
      <c r="R621" s="13"/>
      <c r="S621" s="14"/>
      <c r="T621" s="1"/>
      <c r="U621" s="15"/>
      <c r="V621" s="1"/>
      <c r="W621" s="15"/>
      <c r="X621" s="16"/>
      <c r="Y621" s="17"/>
    </row>
    <row r="622" spans="14:25" x14ac:dyDescent="0.25">
      <c r="N622" s="61"/>
      <c r="O622" s="61"/>
      <c r="P622" s="62"/>
      <c r="Q622" s="13"/>
      <c r="R622" s="13"/>
      <c r="S622" s="14"/>
      <c r="T622" s="1"/>
      <c r="U622" s="15"/>
      <c r="V622" s="1"/>
      <c r="W622" s="15"/>
      <c r="X622" s="16"/>
      <c r="Y622" s="17"/>
    </row>
    <row r="623" spans="14:25" x14ac:dyDescent="0.25">
      <c r="N623" s="61"/>
      <c r="O623" s="61"/>
      <c r="P623" s="62"/>
      <c r="Q623" s="13"/>
      <c r="R623" s="13"/>
      <c r="S623" s="14"/>
      <c r="T623" s="1"/>
      <c r="U623" s="15"/>
      <c r="V623" s="1"/>
      <c r="W623" s="15"/>
      <c r="X623" s="16"/>
      <c r="Y623" s="17"/>
    </row>
    <row r="624" spans="14:25" x14ac:dyDescent="0.25">
      <c r="N624" s="61"/>
      <c r="O624" s="61"/>
      <c r="P624" s="62"/>
      <c r="Q624" s="13"/>
      <c r="R624" s="13"/>
      <c r="S624" s="14"/>
      <c r="T624" s="1"/>
      <c r="U624" s="15"/>
      <c r="V624" s="1"/>
      <c r="W624" s="15"/>
      <c r="X624" s="16"/>
      <c r="Y624" s="17"/>
    </row>
    <row r="625" spans="14:25" x14ac:dyDescent="0.25">
      <c r="N625" s="61"/>
      <c r="O625" s="61"/>
      <c r="P625" s="62"/>
      <c r="Q625" s="13"/>
      <c r="R625" s="13"/>
      <c r="S625" s="14"/>
      <c r="T625" s="1"/>
      <c r="U625" s="15"/>
      <c r="V625" s="1"/>
      <c r="W625" s="15"/>
      <c r="X625" s="16"/>
      <c r="Y625" s="17"/>
    </row>
    <row r="626" spans="14:25" x14ac:dyDescent="0.25">
      <c r="N626" s="61"/>
      <c r="O626" s="61"/>
      <c r="P626" s="62"/>
      <c r="Q626" s="13"/>
      <c r="R626" s="13"/>
      <c r="S626" s="14"/>
      <c r="T626" s="1"/>
      <c r="U626" s="15"/>
      <c r="V626" s="1"/>
      <c r="W626" s="15"/>
      <c r="X626" s="16"/>
      <c r="Y626" s="17"/>
    </row>
    <row r="627" spans="14:25" x14ac:dyDescent="0.25">
      <c r="N627" s="61"/>
      <c r="O627" s="61"/>
      <c r="P627" s="62"/>
      <c r="Q627" s="13"/>
      <c r="R627" s="13"/>
      <c r="S627" s="14"/>
      <c r="T627" s="1"/>
      <c r="U627" s="15"/>
      <c r="V627" s="1"/>
      <c r="W627" s="15"/>
      <c r="X627" s="16"/>
      <c r="Y627" s="17"/>
    </row>
    <row r="628" spans="14:25" x14ac:dyDescent="0.25">
      <c r="N628" s="61"/>
      <c r="O628" s="61"/>
      <c r="P628" s="62"/>
      <c r="Q628" s="13"/>
      <c r="R628" s="13"/>
      <c r="S628" s="14"/>
      <c r="T628" s="1"/>
      <c r="U628" s="15"/>
      <c r="V628" s="1"/>
      <c r="W628" s="15"/>
      <c r="X628" s="16"/>
      <c r="Y628" s="17"/>
    </row>
    <row r="629" spans="14:25" x14ac:dyDescent="0.25">
      <c r="N629" s="61"/>
      <c r="O629" s="61"/>
      <c r="P629" s="62"/>
      <c r="Q629" s="13"/>
      <c r="R629" s="13"/>
      <c r="S629" s="14"/>
      <c r="T629" s="1"/>
      <c r="U629" s="15"/>
      <c r="V629" s="1"/>
      <c r="W629" s="15"/>
      <c r="X629" s="16"/>
      <c r="Y629" s="17"/>
    </row>
    <row r="630" spans="14:25" x14ac:dyDescent="0.25">
      <c r="N630" s="61"/>
      <c r="O630" s="61"/>
      <c r="P630" s="62"/>
      <c r="Q630" s="13"/>
      <c r="R630" s="13"/>
      <c r="S630" s="14"/>
      <c r="T630" s="1"/>
      <c r="U630" s="15"/>
      <c r="V630" s="1"/>
      <c r="W630" s="15"/>
      <c r="X630" s="16"/>
      <c r="Y630" s="17"/>
    </row>
    <row r="631" spans="14:25" x14ac:dyDescent="0.25">
      <c r="N631" s="61"/>
      <c r="O631" s="61"/>
      <c r="P631" s="62"/>
      <c r="Q631" s="13"/>
      <c r="R631" s="13"/>
      <c r="S631" s="14"/>
      <c r="T631" s="1"/>
      <c r="U631" s="15"/>
      <c r="V631" s="1"/>
      <c r="W631" s="15"/>
      <c r="X631" s="16"/>
      <c r="Y631" s="17"/>
    </row>
    <row r="632" spans="14:25" x14ac:dyDescent="0.25">
      <c r="N632" s="61"/>
      <c r="O632" s="61"/>
      <c r="P632" s="62"/>
      <c r="Q632" s="13"/>
      <c r="R632" s="13"/>
      <c r="S632" s="14"/>
      <c r="T632" s="1"/>
      <c r="U632" s="15"/>
      <c r="V632" s="1"/>
      <c r="W632" s="15"/>
      <c r="X632" s="16"/>
      <c r="Y632" s="17"/>
    </row>
    <row r="633" spans="14:25" x14ac:dyDescent="0.25">
      <c r="N633" s="61"/>
      <c r="O633" s="61"/>
      <c r="P633" s="62"/>
      <c r="Q633" s="13"/>
      <c r="R633" s="13"/>
      <c r="S633" s="14"/>
      <c r="T633" s="1"/>
      <c r="U633" s="15"/>
      <c r="V633" s="1"/>
      <c r="W633" s="15"/>
      <c r="X633" s="16"/>
      <c r="Y633" s="17"/>
    </row>
    <row r="634" spans="14:25" x14ac:dyDescent="0.25">
      <c r="N634" s="61"/>
      <c r="O634" s="61"/>
      <c r="P634" s="62"/>
      <c r="Q634" s="13"/>
      <c r="R634" s="13"/>
      <c r="S634" s="14"/>
      <c r="T634" s="1"/>
      <c r="U634" s="15"/>
      <c r="V634" s="1"/>
      <c r="W634" s="15"/>
      <c r="X634" s="16"/>
      <c r="Y634" s="17"/>
    </row>
    <row r="635" spans="14:25" x14ac:dyDescent="0.25">
      <c r="N635" s="61"/>
      <c r="O635" s="61"/>
      <c r="P635" s="62"/>
      <c r="Q635" s="13"/>
      <c r="R635" s="13"/>
      <c r="S635" s="14"/>
      <c r="T635" s="1"/>
      <c r="U635" s="15"/>
      <c r="V635" s="1"/>
      <c r="W635" s="15"/>
      <c r="X635" s="16"/>
      <c r="Y635" s="17"/>
    </row>
    <row r="636" spans="14:25" x14ac:dyDescent="0.25">
      <c r="N636" s="61"/>
      <c r="O636" s="61"/>
      <c r="P636" s="62"/>
      <c r="Q636" s="13"/>
      <c r="R636" s="13"/>
      <c r="S636" s="14"/>
      <c r="T636" s="1"/>
      <c r="U636" s="15"/>
      <c r="V636" s="1"/>
      <c r="W636" s="15"/>
      <c r="X636" s="16"/>
      <c r="Y636" s="17"/>
    </row>
    <row r="637" spans="14:25" x14ac:dyDescent="0.25">
      <c r="N637" s="61"/>
      <c r="O637" s="61"/>
      <c r="P637" s="62"/>
      <c r="Q637" s="13"/>
      <c r="R637" s="13"/>
      <c r="S637" s="14"/>
      <c r="T637" s="1"/>
      <c r="U637" s="15"/>
      <c r="V637" s="1"/>
      <c r="W637" s="15"/>
      <c r="X637" s="16"/>
      <c r="Y637" s="17"/>
    </row>
    <row r="638" spans="14:25" x14ac:dyDescent="0.25">
      <c r="N638" s="61"/>
      <c r="O638" s="61"/>
      <c r="P638" s="62"/>
      <c r="Q638" s="13"/>
      <c r="R638" s="13"/>
      <c r="S638" s="14"/>
      <c r="T638" s="1"/>
      <c r="U638" s="15"/>
      <c r="V638" s="1"/>
      <c r="W638" s="15"/>
      <c r="X638" s="16"/>
      <c r="Y638" s="17"/>
    </row>
    <row r="639" spans="14:25" x14ac:dyDescent="0.25">
      <c r="N639" s="61"/>
      <c r="O639" s="61"/>
      <c r="P639" s="62"/>
      <c r="Q639" s="13"/>
      <c r="R639" s="13"/>
      <c r="S639" s="14"/>
      <c r="T639" s="1"/>
      <c r="U639" s="15"/>
      <c r="V639" s="1"/>
      <c r="W639" s="15"/>
      <c r="X639" s="16"/>
      <c r="Y639" s="17"/>
    </row>
    <row r="640" spans="14:25" x14ac:dyDescent="0.25">
      <c r="N640" s="61"/>
      <c r="O640" s="61"/>
      <c r="P640" s="62"/>
      <c r="Q640" s="13"/>
      <c r="R640" s="13"/>
      <c r="S640" s="14"/>
      <c r="T640" s="1"/>
      <c r="U640" s="15"/>
      <c r="V640" s="1"/>
      <c r="W640" s="15"/>
      <c r="X640" s="16"/>
      <c r="Y640" s="17"/>
    </row>
    <row r="641" spans="14:25" x14ac:dyDescent="0.25">
      <c r="N641" s="61"/>
      <c r="O641" s="61"/>
      <c r="P641" s="62"/>
      <c r="Q641" s="13"/>
      <c r="R641" s="13"/>
      <c r="S641" s="14"/>
      <c r="T641" s="1"/>
      <c r="U641" s="15"/>
      <c r="V641" s="1"/>
      <c r="W641" s="15"/>
      <c r="X641" s="16"/>
      <c r="Y641" s="17"/>
    </row>
    <row r="642" spans="14:25" x14ac:dyDescent="0.25">
      <c r="N642" s="61"/>
      <c r="O642" s="61"/>
      <c r="P642" s="62"/>
      <c r="Q642" s="13"/>
      <c r="R642" s="13"/>
      <c r="S642" s="14"/>
      <c r="T642" s="1"/>
      <c r="U642" s="15"/>
      <c r="V642" s="1"/>
      <c r="W642" s="15"/>
      <c r="X642" s="16"/>
      <c r="Y642" s="17"/>
    </row>
    <row r="643" spans="14:25" x14ac:dyDescent="0.25">
      <c r="N643" s="61"/>
      <c r="O643" s="61"/>
      <c r="P643" s="62"/>
      <c r="Q643" s="13"/>
      <c r="R643" s="13"/>
      <c r="S643" s="14"/>
      <c r="T643" s="1"/>
      <c r="U643" s="15"/>
      <c r="V643" s="1"/>
      <c r="W643" s="15"/>
      <c r="X643" s="16"/>
      <c r="Y643" s="17"/>
    </row>
    <row r="644" spans="14:25" x14ac:dyDescent="0.25">
      <c r="N644" s="61"/>
      <c r="O644" s="61"/>
      <c r="P644" s="62"/>
      <c r="Q644" s="13"/>
      <c r="R644" s="13"/>
      <c r="S644" s="14"/>
      <c r="T644" s="1"/>
      <c r="U644" s="15"/>
      <c r="V644" s="1"/>
      <c r="W644" s="15"/>
      <c r="X644" s="16"/>
      <c r="Y644" s="17"/>
    </row>
    <row r="645" spans="14:25" x14ac:dyDescent="0.25">
      <c r="N645" s="61"/>
      <c r="O645" s="61"/>
      <c r="P645" s="62"/>
      <c r="Q645" s="13"/>
      <c r="R645" s="13"/>
      <c r="S645" s="14"/>
      <c r="T645" s="1"/>
      <c r="U645" s="15"/>
      <c r="V645" s="1"/>
      <c r="W645" s="15"/>
      <c r="X645" s="16"/>
      <c r="Y645" s="17"/>
    </row>
    <row r="646" spans="14:25" x14ac:dyDescent="0.25">
      <c r="N646" s="61"/>
      <c r="O646" s="61"/>
      <c r="P646" s="62"/>
      <c r="Q646" s="13"/>
      <c r="R646" s="13"/>
      <c r="S646" s="14"/>
      <c r="T646" s="1"/>
      <c r="U646" s="15"/>
      <c r="V646" s="1"/>
      <c r="W646" s="15"/>
      <c r="X646" s="16"/>
      <c r="Y646" s="17"/>
    </row>
    <row r="647" spans="14:25" x14ac:dyDescent="0.25">
      <c r="N647" s="61"/>
      <c r="O647" s="61"/>
      <c r="P647" s="62"/>
      <c r="Q647" s="13"/>
      <c r="R647" s="13"/>
      <c r="S647" s="14"/>
      <c r="T647" s="1"/>
      <c r="U647" s="15"/>
      <c r="V647" s="1"/>
      <c r="W647" s="15"/>
      <c r="X647" s="16"/>
      <c r="Y647" s="17"/>
    </row>
    <row r="648" spans="14:25" x14ac:dyDescent="0.25">
      <c r="N648" s="61"/>
      <c r="O648" s="61"/>
      <c r="P648" s="62"/>
      <c r="Q648" s="13"/>
      <c r="R648" s="13"/>
      <c r="S648" s="14"/>
      <c r="T648" s="1"/>
      <c r="U648" s="15"/>
      <c r="V648" s="1"/>
      <c r="W648" s="15"/>
      <c r="X648" s="16"/>
      <c r="Y648" s="17"/>
    </row>
    <row r="649" spans="14:25" x14ac:dyDescent="0.25">
      <c r="N649" s="61"/>
      <c r="O649" s="61"/>
      <c r="P649" s="62"/>
      <c r="Q649" s="13"/>
      <c r="R649" s="13"/>
      <c r="S649" s="14"/>
      <c r="T649" s="1"/>
      <c r="U649" s="15"/>
      <c r="V649" s="1"/>
      <c r="W649" s="15"/>
      <c r="X649" s="16"/>
      <c r="Y649" s="17"/>
    </row>
    <row r="650" spans="14:25" x14ac:dyDescent="0.25">
      <c r="N650" s="61"/>
      <c r="O650" s="61"/>
      <c r="P650" s="62"/>
      <c r="Q650" s="13"/>
      <c r="R650" s="13"/>
      <c r="S650" s="14"/>
      <c r="T650" s="1"/>
      <c r="U650" s="15"/>
      <c r="V650" s="1"/>
      <c r="W650" s="15"/>
      <c r="X650" s="16"/>
      <c r="Y650" s="17"/>
    </row>
    <row r="651" spans="14:25" x14ac:dyDescent="0.25">
      <c r="N651" s="61"/>
      <c r="O651" s="61"/>
      <c r="P651" s="62"/>
      <c r="Q651" s="13"/>
      <c r="R651" s="13"/>
      <c r="S651" s="14"/>
      <c r="T651" s="1"/>
      <c r="U651" s="15"/>
      <c r="V651" s="1"/>
      <c r="W651" s="15"/>
      <c r="X651" s="16"/>
      <c r="Y651" s="17"/>
    </row>
    <row r="652" spans="14:25" x14ac:dyDescent="0.25">
      <c r="N652" s="61"/>
      <c r="O652" s="61"/>
      <c r="P652" s="62"/>
      <c r="Q652" s="13"/>
      <c r="R652" s="13"/>
      <c r="S652" s="14"/>
      <c r="T652" s="1"/>
      <c r="U652" s="15"/>
      <c r="V652" s="1"/>
      <c r="W652" s="15"/>
      <c r="X652" s="16"/>
      <c r="Y652" s="17"/>
    </row>
    <row r="653" spans="14:25" x14ac:dyDescent="0.25">
      <c r="N653" s="61"/>
      <c r="O653" s="61"/>
      <c r="P653" s="62"/>
      <c r="Q653" s="13"/>
      <c r="R653" s="13"/>
      <c r="S653" s="14"/>
      <c r="T653" s="1"/>
      <c r="U653" s="15"/>
      <c r="V653" s="1"/>
      <c r="W653" s="15"/>
      <c r="X653" s="16"/>
      <c r="Y653" s="17"/>
    </row>
    <row r="654" spans="14:25" x14ac:dyDescent="0.25">
      <c r="N654" s="61"/>
      <c r="O654" s="61"/>
      <c r="P654" s="62"/>
      <c r="Q654" s="13"/>
      <c r="R654" s="13"/>
      <c r="S654" s="14"/>
      <c r="T654" s="1"/>
      <c r="U654" s="15"/>
      <c r="V654" s="1"/>
      <c r="W654" s="15"/>
      <c r="X654" s="16"/>
      <c r="Y654" s="17"/>
    </row>
    <row r="655" spans="14:25" x14ac:dyDescent="0.25">
      <c r="N655" s="61"/>
      <c r="O655" s="61"/>
      <c r="P655" s="62"/>
      <c r="Q655" s="13"/>
      <c r="R655" s="13"/>
      <c r="S655" s="14"/>
      <c r="T655" s="1"/>
      <c r="U655" s="15"/>
      <c r="V655" s="1"/>
      <c r="W655" s="15"/>
      <c r="X655" s="16"/>
      <c r="Y655" s="17"/>
    </row>
    <row r="656" spans="14:25" x14ac:dyDescent="0.25">
      <c r="N656" s="61"/>
      <c r="O656" s="61"/>
      <c r="P656" s="62"/>
      <c r="Q656" s="13"/>
      <c r="R656" s="13"/>
      <c r="S656" s="14"/>
      <c r="T656" s="1"/>
      <c r="U656" s="15"/>
      <c r="V656" s="1"/>
      <c r="W656" s="15"/>
      <c r="X656" s="16"/>
      <c r="Y656" s="17"/>
    </row>
    <row r="657" spans="14:25" x14ac:dyDescent="0.25">
      <c r="N657" s="61"/>
      <c r="O657" s="61"/>
      <c r="P657" s="62"/>
      <c r="Q657" s="13"/>
      <c r="R657" s="13"/>
      <c r="S657" s="14"/>
      <c r="T657" s="1"/>
      <c r="U657" s="15"/>
      <c r="V657" s="1"/>
      <c r="W657" s="15"/>
      <c r="X657" s="16"/>
      <c r="Y657" s="17"/>
    </row>
    <row r="658" spans="14:25" x14ac:dyDescent="0.25">
      <c r="N658" s="61"/>
      <c r="O658" s="61"/>
      <c r="P658" s="62"/>
      <c r="Q658" s="13"/>
      <c r="R658" s="13"/>
      <c r="S658" s="14"/>
      <c r="T658" s="1"/>
      <c r="U658" s="15"/>
      <c r="V658" s="1"/>
      <c r="W658" s="15"/>
      <c r="X658" s="16"/>
      <c r="Y658" s="17"/>
    </row>
    <row r="659" spans="14:25" x14ac:dyDescent="0.25">
      <c r="N659" s="61"/>
      <c r="O659" s="61"/>
      <c r="P659" s="62"/>
      <c r="Q659" s="13"/>
      <c r="R659" s="13"/>
      <c r="S659" s="14"/>
      <c r="T659" s="1"/>
      <c r="U659" s="15"/>
      <c r="V659" s="1"/>
      <c r="W659" s="15"/>
      <c r="X659" s="16"/>
      <c r="Y659" s="17"/>
    </row>
    <row r="660" spans="14:25" x14ac:dyDescent="0.25">
      <c r="N660" s="61"/>
      <c r="O660" s="61"/>
      <c r="P660" s="62"/>
      <c r="Q660" s="13"/>
      <c r="R660" s="13"/>
      <c r="S660" s="14"/>
      <c r="T660" s="1"/>
      <c r="U660" s="15"/>
      <c r="V660" s="1"/>
      <c r="W660" s="15"/>
      <c r="X660" s="16"/>
      <c r="Y660" s="17"/>
    </row>
    <row r="661" spans="14:25" x14ac:dyDescent="0.25">
      <c r="N661" s="61"/>
      <c r="O661" s="61"/>
      <c r="P661" s="62"/>
      <c r="Q661" s="13"/>
      <c r="R661" s="13"/>
      <c r="S661" s="14"/>
      <c r="T661" s="1"/>
      <c r="U661" s="15"/>
      <c r="V661" s="1"/>
      <c r="W661" s="15"/>
      <c r="X661" s="16"/>
      <c r="Y661" s="17"/>
    </row>
    <row r="662" spans="14:25" x14ac:dyDescent="0.25">
      <c r="N662" s="61"/>
      <c r="O662" s="61"/>
      <c r="P662" s="62"/>
      <c r="Q662" s="13"/>
      <c r="R662" s="13"/>
      <c r="S662" s="14"/>
      <c r="T662" s="1"/>
      <c r="U662" s="15"/>
      <c r="V662" s="1"/>
      <c r="W662" s="15"/>
      <c r="X662" s="16"/>
      <c r="Y662" s="17"/>
    </row>
    <row r="663" spans="14:25" x14ac:dyDescent="0.25">
      <c r="N663" s="61"/>
      <c r="O663" s="61"/>
      <c r="P663" s="62"/>
      <c r="Q663" s="13"/>
      <c r="R663" s="13"/>
      <c r="S663" s="14"/>
      <c r="T663" s="1"/>
      <c r="U663" s="15"/>
      <c r="V663" s="1"/>
      <c r="W663" s="15"/>
      <c r="X663" s="16"/>
      <c r="Y663" s="17"/>
    </row>
    <row r="664" spans="14:25" x14ac:dyDescent="0.25">
      <c r="N664" s="61"/>
      <c r="O664" s="61"/>
      <c r="P664" s="62"/>
      <c r="Q664" s="13"/>
      <c r="R664" s="13"/>
      <c r="S664" s="14"/>
      <c r="T664" s="1"/>
      <c r="U664" s="15"/>
      <c r="V664" s="1"/>
      <c r="W664" s="15"/>
      <c r="X664" s="16"/>
      <c r="Y664" s="17"/>
    </row>
    <row r="665" spans="14:25" x14ac:dyDescent="0.25">
      <c r="N665" s="61"/>
      <c r="O665" s="61"/>
      <c r="P665" s="62"/>
      <c r="Q665" s="13"/>
      <c r="R665" s="13"/>
      <c r="S665" s="14"/>
      <c r="T665" s="1"/>
      <c r="U665" s="15"/>
      <c r="V665" s="1"/>
      <c r="W665" s="15"/>
      <c r="X665" s="16"/>
      <c r="Y665" s="17"/>
    </row>
    <row r="666" spans="14:25" x14ac:dyDescent="0.25">
      <c r="N666" s="61"/>
      <c r="O666" s="61"/>
      <c r="P666" s="62"/>
      <c r="Q666" s="13"/>
      <c r="R666" s="13"/>
      <c r="S666" s="14"/>
      <c r="T666" s="1"/>
      <c r="U666" s="15"/>
      <c r="V666" s="1"/>
      <c r="W666" s="15"/>
      <c r="X666" s="16"/>
      <c r="Y666" s="17"/>
    </row>
    <row r="667" spans="14:25" x14ac:dyDescent="0.25">
      <c r="N667" s="61"/>
      <c r="O667" s="61"/>
      <c r="P667" s="62"/>
      <c r="Q667" s="13"/>
      <c r="R667" s="13"/>
      <c r="S667" s="14"/>
      <c r="T667" s="1"/>
      <c r="U667" s="15"/>
      <c r="V667" s="1"/>
      <c r="W667" s="15"/>
      <c r="X667" s="16"/>
      <c r="Y667" s="17"/>
    </row>
    <row r="668" spans="14:25" x14ac:dyDescent="0.25">
      <c r="N668" s="61"/>
      <c r="O668" s="61"/>
      <c r="P668" s="62"/>
      <c r="Q668" s="13"/>
      <c r="R668" s="13"/>
      <c r="S668" s="14"/>
      <c r="T668" s="1"/>
      <c r="U668" s="15"/>
      <c r="V668" s="1"/>
      <c r="W668" s="15"/>
      <c r="X668" s="16"/>
      <c r="Y668" s="17"/>
    </row>
    <row r="669" spans="14:25" x14ac:dyDescent="0.25">
      <c r="N669" s="61"/>
      <c r="O669" s="61"/>
      <c r="P669" s="62"/>
      <c r="Q669" s="13"/>
      <c r="R669" s="13"/>
      <c r="S669" s="14"/>
      <c r="T669" s="1"/>
      <c r="U669" s="15"/>
      <c r="V669" s="1"/>
      <c r="W669" s="15"/>
      <c r="X669" s="16"/>
      <c r="Y669" s="17"/>
    </row>
    <row r="670" spans="14:25" x14ac:dyDescent="0.25">
      <c r="N670" s="61"/>
      <c r="O670" s="61"/>
      <c r="P670" s="62"/>
      <c r="Q670" s="13"/>
      <c r="R670" s="13"/>
      <c r="S670" s="14"/>
      <c r="T670" s="1"/>
      <c r="U670" s="15"/>
      <c r="V670" s="1"/>
      <c r="W670" s="15"/>
      <c r="X670" s="16"/>
      <c r="Y670" s="17"/>
    </row>
    <row r="671" spans="14:25" x14ac:dyDescent="0.25">
      <c r="N671" s="61"/>
      <c r="O671" s="61"/>
      <c r="P671" s="62"/>
      <c r="Q671" s="13"/>
      <c r="R671" s="13"/>
      <c r="S671" s="14"/>
      <c r="T671" s="1"/>
      <c r="U671" s="15"/>
      <c r="V671" s="1"/>
      <c r="W671" s="15"/>
      <c r="X671" s="16"/>
      <c r="Y671" s="17"/>
    </row>
    <row r="672" spans="14:25" x14ac:dyDescent="0.25">
      <c r="N672" s="61"/>
      <c r="O672" s="61"/>
      <c r="P672" s="62"/>
      <c r="Q672" s="13"/>
      <c r="R672" s="13"/>
      <c r="S672" s="14"/>
      <c r="T672" s="1"/>
      <c r="U672" s="15"/>
      <c r="V672" s="1"/>
      <c r="W672" s="15"/>
      <c r="X672" s="16"/>
      <c r="Y672" s="17"/>
    </row>
    <row r="673" spans="14:25" x14ac:dyDescent="0.25">
      <c r="N673" s="61"/>
      <c r="O673" s="61"/>
      <c r="P673" s="62"/>
      <c r="Q673" s="13"/>
      <c r="R673" s="13"/>
      <c r="S673" s="14"/>
      <c r="T673" s="1"/>
      <c r="U673" s="15"/>
      <c r="V673" s="1"/>
      <c r="W673" s="15"/>
      <c r="X673" s="16"/>
      <c r="Y673" s="17"/>
    </row>
    <row r="674" spans="14:25" x14ac:dyDescent="0.25">
      <c r="N674" s="61"/>
      <c r="O674" s="61"/>
      <c r="P674" s="62"/>
      <c r="Q674" s="13"/>
      <c r="R674" s="13"/>
      <c r="S674" s="14"/>
      <c r="T674" s="1"/>
      <c r="U674" s="15"/>
      <c r="V674" s="1"/>
      <c r="W674" s="15"/>
      <c r="X674" s="16"/>
      <c r="Y674" s="17"/>
    </row>
    <row r="675" spans="14:25" x14ac:dyDescent="0.25">
      <c r="N675" s="61"/>
      <c r="O675" s="61"/>
      <c r="P675" s="62"/>
      <c r="Q675" s="13"/>
      <c r="R675" s="13"/>
      <c r="S675" s="14"/>
      <c r="T675" s="1"/>
      <c r="U675" s="15"/>
      <c r="V675" s="1"/>
      <c r="W675" s="15"/>
      <c r="X675" s="16"/>
      <c r="Y675" s="17"/>
    </row>
    <row r="676" spans="14:25" x14ac:dyDescent="0.25">
      <c r="N676" s="61"/>
      <c r="O676" s="61"/>
      <c r="P676" s="62"/>
      <c r="Q676" s="13"/>
      <c r="R676" s="13"/>
      <c r="S676" s="14"/>
      <c r="T676" s="1"/>
      <c r="U676" s="15"/>
      <c r="V676" s="1"/>
      <c r="W676" s="15"/>
      <c r="X676" s="16"/>
      <c r="Y676" s="17"/>
    </row>
    <row r="677" spans="14:25" x14ac:dyDescent="0.25">
      <c r="N677" s="61"/>
      <c r="O677" s="61"/>
      <c r="P677" s="62"/>
      <c r="Q677" s="13"/>
      <c r="R677" s="13"/>
      <c r="S677" s="14"/>
      <c r="T677" s="1"/>
      <c r="U677" s="15"/>
      <c r="V677" s="1"/>
      <c r="W677" s="15"/>
      <c r="X677" s="16"/>
      <c r="Y677" s="17"/>
    </row>
    <row r="678" spans="14:25" x14ac:dyDescent="0.25">
      <c r="N678" s="61"/>
      <c r="O678" s="61"/>
      <c r="P678" s="62"/>
      <c r="Q678" s="13"/>
      <c r="R678" s="13"/>
      <c r="S678" s="14"/>
      <c r="T678" s="1"/>
      <c r="U678" s="15"/>
      <c r="V678" s="1"/>
      <c r="W678" s="15"/>
      <c r="X678" s="16"/>
      <c r="Y678" s="17"/>
    </row>
    <row r="679" spans="14:25" x14ac:dyDescent="0.25">
      <c r="N679" s="61"/>
      <c r="O679" s="61"/>
      <c r="P679" s="62"/>
      <c r="Q679" s="13"/>
      <c r="R679" s="13"/>
      <c r="S679" s="14"/>
      <c r="T679" s="1"/>
      <c r="U679" s="15"/>
      <c r="V679" s="1"/>
      <c r="W679" s="15"/>
      <c r="X679" s="16"/>
      <c r="Y679" s="17"/>
    </row>
    <row r="680" spans="14:25" x14ac:dyDescent="0.25">
      <c r="N680" s="61"/>
      <c r="O680" s="61"/>
      <c r="P680" s="62"/>
      <c r="Q680" s="13"/>
      <c r="R680" s="13"/>
      <c r="S680" s="14"/>
      <c r="T680" s="1"/>
      <c r="U680" s="15"/>
      <c r="V680" s="1"/>
      <c r="W680" s="15"/>
      <c r="X680" s="16"/>
      <c r="Y680" s="17"/>
    </row>
    <row r="681" spans="14:25" x14ac:dyDescent="0.25">
      <c r="N681" s="61"/>
      <c r="O681" s="61"/>
      <c r="P681" s="62"/>
      <c r="Q681" s="13"/>
      <c r="R681" s="13"/>
      <c r="S681" s="14"/>
      <c r="T681" s="1"/>
      <c r="U681" s="15"/>
      <c r="V681" s="1"/>
      <c r="W681" s="15"/>
      <c r="X681" s="16"/>
      <c r="Y681" s="17"/>
    </row>
    <row r="682" spans="14:25" x14ac:dyDescent="0.25">
      <c r="N682" s="61"/>
      <c r="O682" s="61"/>
      <c r="P682" s="62"/>
      <c r="Q682" s="13"/>
      <c r="R682" s="13"/>
      <c r="S682" s="14"/>
      <c r="T682" s="1"/>
      <c r="U682" s="15"/>
      <c r="V682" s="1"/>
      <c r="W682" s="15"/>
      <c r="X682" s="16"/>
      <c r="Y682" s="17"/>
    </row>
    <row r="683" spans="14:25" x14ac:dyDescent="0.25">
      <c r="N683" s="61"/>
      <c r="O683" s="61"/>
      <c r="P683" s="62"/>
      <c r="Q683" s="13"/>
      <c r="R683" s="13"/>
      <c r="S683" s="14"/>
      <c r="T683" s="1"/>
      <c r="U683" s="15"/>
      <c r="V683" s="1"/>
      <c r="W683" s="15"/>
      <c r="X683" s="16"/>
      <c r="Y683" s="17"/>
    </row>
    <row r="684" spans="14:25" x14ac:dyDescent="0.25">
      <c r="N684" s="61"/>
      <c r="O684" s="61"/>
      <c r="P684" s="62"/>
      <c r="Q684" s="13"/>
      <c r="R684" s="13"/>
      <c r="S684" s="14"/>
      <c r="T684" s="1"/>
      <c r="U684" s="15"/>
      <c r="V684" s="1"/>
      <c r="W684" s="15"/>
      <c r="X684" s="16"/>
      <c r="Y684" s="17"/>
    </row>
    <row r="685" spans="14:25" x14ac:dyDescent="0.25">
      <c r="N685" s="61"/>
      <c r="O685" s="61"/>
      <c r="P685" s="62"/>
      <c r="Q685" s="13"/>
      <c r="R685" s="13"/>
      <c r="S685" s="14"/>
      <c r="T685" s="1"/>
      <c r="U685" s="15"/>
      <c r="V685" s="1"/>
      <c r="W685" s="15"/>
      <c r="X685" s="16"/>
      <c r="Y685" s="17"/>
    </row>
    <row r="686" spans="14:25" x14ac:dyDescent="0.25">
      <c r="N686" s="61"/>
      <c r="O686" s="61"/>
      <c r="P686" s="62"/>
      <c r="Q686" s="13"/>
      <c r="R686" s="13"/>
      <c r="S686" s="14"/>
      <c r="T686" s="1"/>
      <c r="U686" s="15"/>
      <c r="V686" s="1"/>
      <c r="W686" s="15"/>
      <c r="X686" s="16"/>
      <c r="Y686" s="17"/>
    </row>
    <row r="687" spans="14:25" x14ac:dyDescent="0.25">
      <c r="N687" s="61"/>
      <c r="O687" s="61"/>
      <c r="P687" s="62"/>
      <c r="Q687" s="13"/>
      <c r="R687" s="13"/>
      <c r="S687" s="14"/>
      <c r="T687" s="1"/>
      <c r="U687" s="15"/>
      <c r="V687" s="1"/>
      <c r="W687" s="15"/>
      <c r="X687" s="16"/>
      <c r="Y687" s="17"/>
    </row>
    <row r="688" spans="14:25" x14ac:dyDescent="0.25">
      <c r="N688" s="61"/>
      <c r="O688" s="61"/>
      <c r="P688" s="62"/>
      <c r="Q688" s="13"/>
      <c r="R688" s="13"/>
      <c r="S688" s="14"/>
      <c r="T688" s="1"/>
      <c r="U688" s="15"/>
      <c r="V688" s="1"/>
      <c r="W688" s="15"/>
      <c r="X688" s="16"/>
      <c r="Y688" s="17"/>
    </row>
    <row r="689" spans="14:25" x14ac:dyDescent="0.25">
      <c r="N689" s="61"/>
      <c r="O689" s="61"/>
      <c r="P689" s="62"/>
      <c r="Q689" s="13"/>
      <c r="R689" s="13"/>
      <c r="S689" s="14"/>
      <c r="T689" s="1"/>
      <c r="U689" s="15"/>
      <c r="V689" s="1"/>
      <c r="W689" s="15"/>
      <c r="X689" s="16"/>
      <c r="Y689" s="17"/>
    </row>
    <row r="690" spans="14:25" x14ac:dyDescent="0.25">
      <c r="N690" s="61"/>
      <c r="O690" s="61"/>
      <c r="P690" s="62"/>
      <c r="Q690" s="13"/>
      <c r="R690" s="13"/>
      <c r="S690" s="14"/>
      <c r="T690" s="1"/>
      <c r="U690" s="15"/>
      <c r="V690" s="1"/>
      <c r="W690" s="15"/>
      <c r="X690" s="16"/>
      <c r="Y690" s="17"/>
    </row>
    <row r="691" spans="14:25" x14ac:dyDescent="0.25">
      <c r="N691" s="61"/>
      <c r="O691" s="61"/>
      <c r="P691" s="62"/>
      <c r="Q691" s="13"/>
      <c r="R691" s="13"/>
      <c r="S691" s="14"/>
      <c r="T691" s="1"/>
      <c r="U691" s="15"/>
      <c r="V691" s="1"/>
      <c r="W691" s="15"/>
      <c r="X691" s="16"/>
      <c r="Y691" s="17"/>
    </row>
    <row r="692" spans="14:25" x14ac:dyDescent="0.25">
      <c r="N692" s="61"/>
      <c r="O692" s="61"/>
      <c r="P692" s="62"/>
      <c r="Q692" s="13"/>
      <c r="R692" s="13"/>
      <c r="S692" s="14"/>
      <c r="T692" s="1"/>
      <c r="U692" s="15"/>
      <c r="V692" s="1"/>
      <c r="W692" s="15"/>
      <c r="X692" s="16"/>
      <c r="Y692" s="17"/>
    </row>
    <row r="693" spans="14:25" x14ac:dyDescent="0.25">
      <c r="N693" s="61"/>
      <c r="O693" s="61"/>
      <c r="P693" s="62"/>
      <c r="Q693" s="13"/>
      <c r="R693" s="13"/>
      <c r="S693" s="14"/>
      <c r="T693" s="1"/>
      <c r="U693" s="15"/>
      <c r="V693" s="1"/>
      <c r="W693" s="15"/>
      <c r="X693" s="16"/>
      <c r="Y693" s="17"/>
    </row>
    <row r="694" spans="14:25" x14ac:dyDescent="0.25">
      <c r="N694" s="61"/>
      <c r="O694" s="61"/>
      <c r="P694" s="62"/>
      <c r="Q694" s="13"/>
      <c r="R694" s="13"/>
      <c r="S694" s="14"/>
      <c r="T694" s="1"/>
      <c r="U694" s="15"/>
      <c r="V694" s="1"/>
      <c r="W694" s="15"/>
      <c r="X694" s="16"/>
      <c r="Y694" s="17"/>
    </row>
    <row r="695" spans="14:25" x14ac:dyDescent="0.25">
      <c r="N695" s="61"/>
      <c r="O695" s="61"/>
      <c r="P695" s="62"/>
      <c r="Q695" s="13"/>
      <c r="R695" s="13"/>
      <c r="S695" s="14"/>
      <c r="T695" s="1"/>
      <c r="U695" s="15"/>
      <c r="V695" s="1"/>
      <c r="W695" s="15"/>
      <c r="X695" s="16"/>
      <c r="Y695" s="17"/>
    </row>
    <row r="696" spans="14:25" x14ac:dyDescent="0.25">
      <c r="N696" s="61"/>
      <c r="O696" s="61"/>
      <c r="P696" s="62"/>
      <c r="Q696" s="13"/>
      <c r="R696" s="13"/>
      <c r="S696" s="14"/>
      <c r="T696" s="1"/>
      <c r="U696" s="15"/>
      <c r="V696" s="1"/>
      <c r="W696" s="15"/>
      <c r="X696" s="16"/>
      <c r="Y696" s="17"/>
    </row>
    <row r="697" spans="14:25" x14ac:dyDescent="0.25">
      <c r="N697" s="61"/>
      <c r="O697" s="61"/>
      <c r="P697" s="62"/>
      <c r="Q697" s="13"/>
      <c r="R697" s="13"/>
      <c r="S697" s="14"/>
      <c r="T697" s="1"/>
      <c r="U697" s="15"/>
      <c r="V697" s="1"/>
      <c r="W697" s="15"/>
      <c r="X697" s="16"/>
      <c r="Y697" s="17"/>
    </row>
    <row r="698" spans="14:25" x14ac:dyDescent="0.25">
      <c r="N698" s="61"/>
      <c r="O698" s="61"/>
      <c r="P698" s="62"/>
      <c r="Q698" s="13"/>
      <c r="R698" s="13"/>
      <c r="S698" s="14"/>
      <c r="T698" s="1"/>
      <c r="U698" s="15"/>
      <c r="V698" s="1"/>
      <c r="W698" s="15"/>
      <c r="X698" s="16"/>
      <c r="Y698" s="17"/>
    </row>
    <row r="699" spans="14:25" x14ac:dyDescent="0.25">
      <c r="N699" s="61"/>
      <c r="O699" s="61"/>
      <c r="P699" s="62"/>
      <c r="Q699" s="13"/>
      <c r="R699" s="13"/>
      <c r="S699" s="14"/>
      <c r="T699" s="1"/>
      <c r="U699" s="15"/>
      <c r="V699" s="1"/>
      <c r="W699" s="15"/>
      <c r="X699" s="16"/>
      <c r="Y699" s="17"/>
    </row>
    <row r="700" spans="14:25" x14ac:dyDescent="0.25">
      <c r="N700" s="61"/>
      <c r="O700" s="61"/>
      <c r="P700" s="62"/>
      <c r="Q700" s="13"/>
      <c r="R700" s="13"/>
      <c r="S700" s="14"/>
      <c r="T700" s="1"/>
      <c r="U700" s="15"/>
      <c r="V700" s="1"/>
      <c r="W700" s="15"/>
      <c r="X700" s="16"/>
      <c r="Y700" s="17"/>
    </row>
    <row r="701" spans="14:25" x14ac:dyDescent="0.25">
      <c r="N701" s="61"/>
      <c r="O701" s="61"/>
      <c r="P701" s="62"/>
      <c r="Q701" s="13"/>
      <c r="R701" s="13"/>
      <c r="S701" s="14"/>
      <c r="T701" s="1"/>
      <c r="U701" s="15"/>
      <c r="V701" s="1"/>
      <c r="W701" s="15"/>
      <c r="X701" s="16"/>
      <c r="Y701" s="17"/>
    </row>
    <row r="702" spans="14:25" x14ac:dyDescent="0.25">
      <c r="N702" s="61"/>
      <c r="O702" s="61"/>
      <c r="P702" s="62"/>
      <c r="Q702" s="13"/>
      <c r="R702" s="13"/>
      <c r="S702" s="14"/>
      <c r="T702" s="1"/>
      <c r="U702" s="15"/>
      <c r="V702" s="1"/>
      <c r="W702" s="15"/>
      <c r="X702" s="16"/>
      <c r="Y702" s="17"/>
    </row>
    <row r="703" spans="14:25" x14ac:dyDescent="0.25">
      <c r="N703" s="61"/>
      <c r="O703" s="61"/>
      <c r="P703" s="62"/>
      <c r="Q703" s="13"/>
      <c r="R703" s="13"/>
      <c r="S703" s="14"/>
      <c r="T703" s="1"/>
      <c r="U703" s="15"/>
      <c r="V703" s="1"/>
      <c r="W703" s="15"/>
      <c r="X703" s="16"/>
      <c r="Y703" s="17"/>
    </row>
    <row r="704" spans="14:25" x14ac:dyDescent="0.25">
      <c r="N704" s="61"/>
      <c r="O704" s="61"/>
      <c r="P704" s="62"/>
      <c r="Q704" s="13"/>
      <c r="R704" s="13"/>
      <c r="S704" s="14"/>
      <c r="T704" s="1"/>
      <c r="U704" s="15"/>
      <c r="V704" s="1"/>
      <c r="W704" s="15"/>
      <c r="X704" s="16"/>
      <c r="Y704" s="17"/>
    </row>
    <row r="705" spans="14:25" x14ac:dyDescent="0.25">
      <c r="N705" s="61"/>
      <c r="O705" s="61"/>
      <c r="P705" s="62"/>
      <c r="Q705" s="13"/>
      <c r="R705" s="13"/>
      <c r="S705" s="14"/>
      <c r="T705" s="1"/>
      <c r="U705" s="15"/>
      <c r="V705" s="1"/>
      <c r="W705" s="15"/>
      <c r="X705" s="16"/>
      <c r="Y705" s="17"/>
    </row>
    <row r="706" spans="14:25" x14ac:dyDescent="0.25">
      <c r="N706" s="61"/>
      <c r="O706" s="61"/>
      <c r="P706" s="62"/>
      <c r="Q706" s="13"/>
      <c r="R706" s="13"/>
      <c r="S706" s="14"/>
      <c r="T706" s="1"/>
      <c r="U706" s="15"/>
      <c r="V706" s="1"/>
      <c r="W706" s="15"/>
      <c r="X706" s="16"/>
      <c r="Y706" s="17"/>
    </row>
    <row r="707" spans="14:25" x14ac:dyDescent="0.25">
      <c r="N707" s="61"/>
      <c r="O707" s="61"/>
      <c r="P707" s="62"/>
      <c r="Q707" s="13"/>
      <c r="R707" s="13"/>
      <c r="S707" s="14"/>
      <c r="T707" s="1"/>
      <c r="U707" s="15"/>
      <c r="V707" s="1"/>
      <c r="W707" s="15"/>
      <c r="X707" s="16"/>
      <c r="Y707" s="17"/>
    </row>
    <row r="708" spans="14:25" x14ac:dyDescent="0.25">
      <c r="N708" s="61"/>
      <c r="O708" s="61"/>
      <c r="P708" s="62"/>
      <c r="Q708" s="13"/>
      <c r="R708" s="13"/>
      <c r="S708" s="14"/>
      <c r="T708" s="1"/>
      <c r="U708" s="15"/>
      <c r="V708" s="1"/>
      <c r="W708" s="15"/>
      <c r="X708" s="16"/>
      <c r="Y708" s="17"/>
    </row>
    <row r="709" spans="14:25" x14ac:dyDescent="0.25">
      <c r="N709" s="61"/>
      <c r="O709" s="61"/>
      <c r="P709" s="62"/>
      <c r="Q709" s="13"/>
      <c r="R709" s="13"/>
      <c r="S709" s="14"/>
      <c r="T709" s="1"/>
      <c r="U709" s="15"/>
      <c r="V709" s="1"/>
      <c r="W709" s="15"/>
      <c r="X709" s="16"/>
      <c r="Y709" s="17"/>
    </row>
    <row r="710" spans="14:25" x14ac:dyDescent="0.25">
      <c r="N710" s="61"/>
      <c r="O710" s="61"/>
      <c r="P710" s="62"/>
      <c r="Q710" s="13"/>
      <c r="R710" s="13"/>
      <c r="S710" s="14"/>
      <c r="T710" s="1"/>
      <c r="U710" s="15"/>
      <c r="V710" s="1"/>
      <c r="W710" s="15"/>
      <c r="X710" s="16"/>
      <c r="Y710" s="17"/>
    </row>
    <row r="711" spans="14:25" x14ac:dyDescent="0.25">
      <c r="N711" s="61"/>
      <c r="O711" s="61"/>
      <c r="P711" s="62"/>
      <c r="Q711" s="13"/>
      <c r="R711" s="13"/>
      <c r="S711" s="14"/>
      <c r="T711" s="1"/>
      <c r="U711" s="15"/>
      <c r="V711" s="1"/>
      <c r="W711" s="15"/>
      <c r="X711" s="16"/>
      <c r="Y711" s="17"/>
    </row>
    <row r="712" spans="14:25" x14ac:dyDescent="0.25">
      <c r="N712" s="61"/>
      <c r="O712" s="61"/>
      <c r="P712" s="62"/>
      <c r="Q712" s="13"/>
      <c r="R712" s="13"/>
      <c r="S712" s="14"/>
      <c r="T712" s="1"/>
      <c r="U712" s="15"/>
      <c r="V712" s="1"/>
      <c r="W712" s="15"/>
      <c r="X712" s="16"/>
      <c r="Y712" s="17"/>
    </row>
    <row r="713" spans="14:25" x14ac:dyDescent="0.25">
      <c r="N713" s="61"/>
      <c r="O713" s="61"/>
      <c r="P713" s="62"/>
      <c r="Q713" s="13"/>
      <c r="R713" s="13"/>
      <c r="S713" s="14"/>
      <c r="T713" s="1"/>
      <c r="U713" s="15"/>
      <c r="V713" s="1"/>
      <c r="W713" s="15"/>
      <c r="X713" s="16"/>
      <c r="Y713" s="17"/>
    </row>
    <row r="714" spans="14:25" x14ac:dyDescent="0.25">
      <c r="N714" s="61"/>
      <c r="O714" s="61"/>
      <c r="P714" s="62"/>
      <c r="Q714" s="13"/>
      <c r="R714" s="13"/>
      <c r="S714" s="14"/>
      <c r="T714" s="1"/>
      <c r="U714" s="15"/>
      <c r="V714" s="1"/>
      <c r="W714" s="15"/>
      <c r="X714" s="16"/>
      <c r="Y714" s="17"/>
    </row>
    <row r="715" spans="14:25" x14ac:dyDescent="0.25">
      <c r="N715" s="61"/>
      <c r="O715" s="61"/>
      <c r="P715" s="62"/>
      <c r="Q715" s="13"/>
      <c r="R715" s="13"/>
      <c r="S715" s="14"/>
      <c r="T715" s="1"/>
      <c r="U715" s="15"/>
      <c r="V715" s="1"/>
      <c r="W715" s="15"/>
      <c r="X715" s="16"/>
      <c r="Y715" s="17"/>
    </row>
    <row r="716" spans="14:25" x14ac:dyDescent="0.25">
      <c r="N716" s="61"/>
      <c r="O716" s="61"/>
      <c r="P716" s="62"/>
      <c r="Q716" s="13"/>
      <c r="R716" s="13"/>
      <c r="S716" s="14"/>
      <c r="T716" s="1"/>
      <c r="U716" s="15"/>
      <c r="V716" s="1"/>
      <c r="W716" s="15"/>
      <c r="X716" s="16"/>
      <c r="Y716" s="17"/>
    </row>
    <row r="717" spans="14:25" x14ac:dyDescent="0.25">
      <c r="N717" s="61"/>
      <c r="O717" s="61"/>
      <c r="P717" s="62"/>
      <c r="Q717" s="13"/>
      <c r="R717" s="13"/>
      <c r="S717" s="14"/>
      <c r="T717" s="1"/>
      <c r="U717" s="15"/>
      <c r="V717" s="1"/>
      <c r="W717" s="15"/>
      <c r="X717" s="16"/>
      <c r="Y717" s="17"/>
    </row>
    <row r="718" spans="14:25" x14ac:dyDescent="0.25">
      <c r="N718" s="61"/>
      <c r="O718" s="61"/>
      <c r="P718" s="62"/>
      <c r="Q718" s="13"/>
      <c r="R718" s="13"/>
      <c r="S718" s="14"/>
      <c r="T718" s="1"/>
      <c r="U718" s="15"/>
      <c r="V718" s="1"/>
      <c r="W718" s="15"/>
      <c r="X718" s="16"/>
      <c r="Y718" s="17"/>
    </row>
    <row r="719" spans="14:25" x14ac:dyDescent="0.25">
      <c r="N719" s="61"/>
      <c r="O719" s="61"/>
      <c r="P719" s="62"/>
      <c r="Q719" s="13"/>
      <c r="R719" s="13"/>
      <c r="S719" s="14"/>
      <c r="T719" s="1"/>
      <c r="U719" s="15"/>
      <c r="V719" s="1"/>
      <c r="W719" s="15"/>
      <c r="X719" s="16"/>
      <c r="Y719" s="17"/>
    </row>
    <row r="720" spans="14:25" x14ac:dyDescent="0.25">
      <c r="N720" s="61"/>
      <c r="O720" s="61"/>
      <c r="P720" s="62"/>
      <c r="Q720" s="13"/>
      <c r="R720" s="13"/>
      <c r="S720" s="14"/>
      <c r="T720" s="1"/>
      <c r="U720" s="15"/>
      <c r="V720" s="1"/>
      <c r="W720" s="15"/>
      <c r="X720" s="16"/>
      <c r="Y720" s="17"/>
    </row>
    <row r="721" spans="14:25" x14ac:dyDescent="0.25">
      <c r="N721" s="61"/>
      <c r="O721" s="61"/>
      <c r="P721" s="62"/>
      <c r="Q721" s="13"/>
      <c r="R721" s="13"/>
      <c r="S721" s="14"/>
      <c r="T721" s="1"/>
      <c r="U721" s="15"/>
      <c r="V721" s="1"/>
      <c r="W721" s="15"/>
      <c r="X721" s="16"/>
      <c r="Y721" s="17"/>
    </row>
    <row r="722" spans="14:25" x14ac:dyDescent="0.25">
      <c r="N722" s="61"/>
      <c r="O722" s="61"/>
      <c r="P722" s="62"/>
      <c r="Q722" s="13"/>
      <c r="R722" s="13"/>
      <c r="S722" s="14"/>
      <c r="T722" s="1"/>
      <c r="U722" s="15"/>
      <c r="V722" s="1"/>
      <c r="W722" s="15"/>
      <c r="X722" s="16"/>
      <c r="Y722" s="17"/>
    </row>
    <row r="723" spans="14:25" x14ac:dyDescent="0.25">
      <c r="N723" s="61"/>
      <c r="O723" s="61"/>
      <c r="P723" s="62"/>
      <c r="Q723" s="13"/>
      <c r="R723" s="13"/>
      <c r="S723" s="14"/>
      <c r="T723" s="1"/>
      <c r="U723" s="15"/>
      <c r="V723" s="1"/>
      <c r="W723" s="15"/>
      <c r="X723" s="16"/>
      <c r="Y723" s="17"/>
    </row>
    <row r="724" spans="14:25" x14ac:dyDescent="0.25">
      <c r="N724" s="61"/>
      <c r="O724" s="61"/>
      <c r="P724" s="62"/>
      <c r="Q724" s="13"/>
      <c r="R724" s="13"/>
      <c r="S724" s="14"/>
      <c r="T724" s="1"/>
      <c r="U724" s="15"/>
      <c r="V724" s="1"/>
      <c r="W724" s="15"/>
      <c r="X724" s="16"/>
      <c r="Y724" s="17"/>
    </row>
    <row r="725" spans="14:25" x14ac:dyDescent="0.25">
      <c r="N725" s="61"/>
      <c r="O725" s="61"/>
      <c r="P725" s="62"/>
      <c r="Q725" s="13"/>
      <c r="R725" s="13"/>
      <c r="S725" s="14"/>
      <c r="T725" s="1"/>
      <c r="U725" s="15"/>
      <c r="V725" s="1"/>
      <c r="W725" s="15"/>
      <c r="X725" s="16"/>
      <c r="Y725" s="17"/>
    </row>
    <row r="726" spans="14:25" x14ac:dyDescent="0.25">
      <c r="N726" s="61"/>
      <c r="O726" s="61"/>
      <c r="P726" s="62"/>
      <c r="Q726" s="13"/>
      <c r="R726" s="13"/>
      <c r="S726" s="14"/>
      <c r="T726" s="1"/>
      <c r="U726" s="15"/>
      <c r="V726" s="1"/>
      <c r="W726" s="15"/>
      <c r="X726" s="16"/>
      <c r="Y726" s="17"/>
    </row>
    <row r="727" spans="14:25" x14ac:dyDescent="0.25">
      <c r="N727" s="61"/>
      <c r="O727" s="61"/>
      <c r="P727" s="62"/>
      <c r="Q727" s="13"/>
      <c r="R727" s="13"/>
      <c r="S727" s="14"/>
      <c r="T727" s="1"/>
      <c r="U727" s="15"/>
      <c r="V727" s="1"/>
      <c r="W727" s="15"/>
      <c r="X727" s="16"/>
      <c r="Y727" s="17"/>
    </row>
    <row r="728" spans="14:25" x14ac:dyDescent="0.25">
      <c r="N728" s="61"/>
      <c r="O728" s="61"/>
      <c r="P728" s="62"/>
      <c r="Q728" s="13"/>
      <c r="R728" s="13"/>
      <c r="S728" s="14"/>
      <c r="T728" s="1"/>
      <c r="U728" s="15"/>
      <c r="V728" s="1"/>
      <c r="W728" s="15"/>
      <c r="X728" s="16"/>
      <c r="Y728" s="17"/>
    </row>
    <row r="729" spans="14:25" x14ac:dyDescent="0.25">
      <c r="N729" s="61"/>
      <c r="O729" s="61"/>
      <c r="P729" s="62"/>
      <c r="Q729" s="13"/>
      <c r="R729" s="13"/>
      <c r="S729" s="14"/>
      <c r="T729" s="1"/>
      <c r="U729" s="15"/>
      <c r="V729" s="1"/>
      <c r="W729" s="15"/>
      <c r="X729" s="16"/>
      <c r="Y729" s="17"/>
    </row>
    <row r="730" spans="14:25" x14ac:dyDescent="0.25">
      <c r="N730" s="61"/>
      <c r="O730" s="61"/>
      <c r="P730" s="62"/>
      <c r="Q730" s="13"/>
      <c r="R730" s="13"/>
      <c r="S730" s="14"/>
      <c r="T730" s="1"/>
      <c r="U730" s="15"/>
      <c r="V730" s="1"/>
      <c r="W730" s="15"/>
      <c r="X730" s="16"/>
      <c r="Y730" s="17"/>
    </row>
    <row r="731" spans="14:25" x14ac:dyDescent="0.25">
      <c r="N731" s="61"/>
      <c r="O731" s="61"/>
      <c r="P731" s="62"/>
      <c r="Q731" s="13"/>
      <c r="R731" s="13"/>
      <c r="S731" s="14"/>
      <c r="T731" s="1"/>
      <c r="U731" s="15"/>
      <c r="V731" s="1"/>
      <c r="W731" s="15"/>
      <c r="X731" s="16"/>
      <c r="Y731" s="17"/>
    </row>
    <row r="732" spans="14:25" x14ac:dyDescent="0.25">
      <c r="N732" s="61"/>
      <c r="O732" s="61"/>
      <c r="P732" s="62"/>
      <c r="Q732" s="13"/>
      <c r="R732" s="13"/>
      <c r="S732" s="14"/>
      <c r="T732" s="1"/>
      <c r="U732" s="15"/>
      <c r="V732" s="1"/>
      <c r="W732" s="15"/>
      <c r="X732" s="16"/>
      <c r="Y732" s="17"/>
    </row>
    <row r="733" spans="14:25" x14ac:dyDescent="0.25">
      <c r="N733" s="61"/>
      <c r="O733" s="61"/>
      <c r="P733" s="62"/>
      <c r="Q733" s="13"/>
      <c r="R733" s="13"/>
      <c r="S733" s="14"/>
      <c r="T733" s="1"/>
      <c r="U733" s="15"/>
      <c r="V733" s="1"/>
      <c r="W733" s="15"/>
      <c r="X733" s="16"/>
      <c r="Y733" s="17"/>
    </row>
    <row r="734" spans="14:25" x14ac:dyDescent="0.25">
      <c r="N734" s="61"/>
      <c r="O734" s="61"/>
      <c r="P734" s="62"/>
      <c r="Q734" s="13"/>
      <c r="R734" s="13"/>
      <c r="S734" s="14"/>
      <c r="T734" s="1"/>
      <c r="U734" s="15"/>
      <c r="V734" s="1"/>
      <c r="W734" s="15"/>
      <c r="X734" s="16"/>
      <c r="Y734" s="17"/>
    </row>
    <row r="735" spans="14:25" x14ac:dyDescent="0.25">
      <c r="N735" s="61"/>
      <c r="O735" s="61"/>
      <c r="P735" s="62"/>
      <c r="Q735" s="13"/>
      <c r="R735" s="13"/>
      <c r="S735" s="14"/>
      <c r="T735" s="1"/>
      <c r="U735" s="15"/>
      <c r="V735" s="1"/>
      <c r="W735" s="15"/>
      <c r="X735" s="16"/>
      <c r="Y735" s="17"/>
    </row>
    <row r="736" spans="14:25" x14ac:dyDescent="0.25">
      <c r="N736" s="61"/>
      <c r="O736" s="61"/>
      <c r="P736" s="62"/>
      <c r="Q736" s="13"/>
      <c r="R736" s="13"/>
      <c r="S736" s="14"/>
      <c r="T736" s="1"/>
      <c r="U736" s="15"/>
      <c r="V736" s="1"/>
      <c r="W736" s="15"/>
      <c r="X736" s="16"/>
      <c r="Y736" s="17"/>
    </row>
    <row r="737" spans="14:25" x14ac:dyDescent="0.25">
      <c r="N737" s="61"/>
      <c r="O737" s="61"/>
      <c r="P737" s="62"/>
      <c r="Q737" s="13"/>
      <c r="R737" s="13"/>
      <c r="S737" s="14"/>
      <c r="T737" s="1"/>
      <c r="U737" s="15"/>
      <c r="V737" s="1"/>
      <c r="W737" s="15"/>
      <c r="X737" s="16"/>
      <c r="Y737" s="17"/>
    </row>
    <row r="738" spans="14:25" x14ac:dyDescent="0.25">
      <c r="N738" s="61"/>
      <c r="O738" s="61"/>
      <c r="P738" s="62"/>
      <c r="Q738" s="13"/>
      <c r="R738" s="13"/>
      <c r="S738" s="14"/>
      <c r="T738" s="1"/>
      <c r="U738" s="15"/>
      <c r="V738" s="1"/>
      <c r="W738" s="15"/>
      <c r="X738" s="16"/>
      <c r="Y738" s="17"/>
    </row>
    <row r="739" spans="14:25" x14ac:dyDescent="0.25">
      <c r="N739" s="61"/>
      <c r="O739" s="61"/>
      <c r="P739" s="62"/>
      <c r="Q739" s="13"/>
      <c r="R739" s="13"/>
      <c r="S739" s="14"/>
      <c r="T739" s="1"/>
      <c r="U739" s="15"/>
      <c r="V739" s="1"/>
      <c r="W739" s="15"/>
      <c r="X739" s="16"/>
      <c r="Y739" s="17"/>
    </row>
    <row r="740" spans="14:25" x14ac:dyDescent="0.25">
      <c r="N740" s="61"/>
      <c r="O740" s="61"/>
      <c r="P740" s="62"/>
      <c r="Q740" s="13"/>
      <c r="R740" s="13"/>
      <c r="S740" s="14"/>
      <c r="T740" s="1"/>
      <c r="U740" s="15"/>
      <c r="V740" s="1"/>
      <c r="W740" s="15"/>
      <c r="X740" s="16"/>
      <c r="Y740" s="17"/>
    </row>
    <row r="741" spans="14:25" x14ac:dyDescent="0.25">
      <c r="N741" s="61"/>
      <c r="O741" s="61"/>
      <c r="P741" s="62"/>
      <c r="Q741" s="13"/>
      <c r="R741" s="13"/>
      <c r="S741" s="14"/>
      <c r="T741" s="1"/>
      <c r="U741" s="15"/>
      <c r="V741" s="1"/>
      <c r="W741" s="15"/>
      <c r="X741" s="16"/>
      <c r="Y741" s="17"/>
    </row>
    <row r="742" spans="14:25" x14ac:dyDescent="0.25">
      <c r="N742" s="61"/>
      <c r="O742" s="61"/>
      <c r="P742" s="62"/>
      <c r="Q742" s="13"/>
      <c r="R742" s="13"/>
      <c r="S742" s="14"/>
      <c r="T742" s="1"/>
      <c r="U742" s="15"/>
      <c r="V742" s="1"/>
      <c r="W742" s="15"/>
      <c r="X742" s="16"/>
      <c r="Y742" s="17"/>
    </row>
    <row r="743" spans="14:25" x14ac:dyDescent="0.25">
      <c r="N743" s="61"/>
      <c r="O743" s="61"/>
      <c r="P743" s="62"/>
      <c r="Q743" s="13"/>
      <c r="R743" s="13"/>
      <c r="S743" s="14"/>
      <c r="T743" s="1"/>
      <c r="U743" s="15"/>
      <c r="V743" s="1"/>
      <c r="W743" s="15"/>
      <c r="X743" s="16"/>
      <c r="Y743" s="17"/>
    </row>
    <row r="744" spans="14:25" x14ac:dyDescent="0.25">
      <c r="N744" s="61"/>
      <c r="O744" s="61"/>
      <c r="P744" s="62"/>
      <c r="Q744" s="13"/>
      <c r="R744" s="13"/>
      <c r="S744" s="14"/>
      <c r="T744" s="1"/>
      <c r="U744" s="15"/>
      <c r="V744" s="1"/>
      <c r="W744" s="15"/>
      <c r="X744" s="16"/>
      <c r="Y744" s="17"/>
    </row>
    <row r="745" spans="14:25" x14ac:dyDescent="0.25">
      <c r="N745" s="61"/>
      <c r="O745" s="61"/>
      <c r="P745" s="62"/>
      <c r="Q745" s="13"/>
      <c r="R745" s="13"/>
      <c r="S745" s="14"/>
      <c r="T745" s="1"/>
      <c r="U745" s="15"/>
      <c r="V745" s="1"/>
      <c r="W745" s="15"/>
      <c r="X745" s="16"/>
      <c r="Y745" s="17"/>
    </row>
    <row r="746" spans="14:25" x14ac:dyDescent="0.25">
      <c r="N746" s="61"/>
      <c r="O746" s="61"/>
      <c r="P746" s="62"/>
      <c r="Q746" s="13"/>
      <c r="R746" s="13"/>
      <c r="S746" s="14"/>
      <c r="T746" s="1"/>
      <c r="U746" s="15"/>
      <c r="V746" s="1"/>
      <c r="W746" s="15"/>
      <c r="X746" s="16"/>
      <c r="Y746" s="17"/>
    </row>
    <row r="747" spans="14:25" x14ac:dyDescent="0.25">
      <c r="N747" s="61"/>
      <c r="O747" s="61"/>
      <c r="P747" s="62"/>
      <c r="Q747" s="13"/>
      <c r="R747" s="13"/>
      <c r="S747" s="14"/>
      <c r="T747" s="1"/>
      <c r="U747" s="15"/>
      <c r="V747" s="1"/>
      <c r="W747" s="15"/>
      <c r="X747" s="16"/>
      <c r="Y747" s="17"/>
    </row>
    <row r="748" spans="14:25" x14ac:dyDescent="0.25">
      <c r="N748" s="61"/>
      <c r="O748" s="61"/>
      <c r="P748" s="62"/>
      <c r="Q748" s="13"/>
      <c r="R748" s="13"/>
      <c r="S748" s="14"/>
      <c r="T748" s="1"/>
      <c r="U748" s="15"/>
      <c r="V748" s="1"/>
      <c r="W748" s="15"/>
      <c r="X748" s="16"/>
      <c r="Y748" s="17"/>
    </row>
    <row r="749" spans="14:25" x14ac:dyDescent="0.25">
      <c r="N749" s="61"/>
      <c r="O749" s="61"/>
      <c r="P749" s="62"/>
      <c r="Q749" s="13"/>
      <c r="R749" s="13"/>
      <c r="S749" s="14"/>
      <c r="T749" s="1"/>
      <c r="U749" s="15"/>
      <c r="V749" s="1"/>
      <c r="W749" s="15"/>
      <c r="X749" s="16"/>
      <c r="Y749" s="17"/>
    </row>
    <row r="750" spans="14:25" x14ac:dyDescent="0.25">
      <c r="N750" s="61"/>
      <c r="O750" s="61"/>
      <c r="P750" s="62"/>
      <c r="Q750" s="13"/>
      <c r="R750" s="13"/>
      <c r="S750" s="14"/>
      <c r="T750" s="1"/>
      <c r="U750" s="15"/>
      <c r="V750" s="1"/>
      <c r="W750" s="15"/>
      <c r="X750" s="16"/>
      <c r="Y750" s="17"/>
    </row>
    <row r="751" spans="14:25" x14ac:dyDescent="0.25">
      <c r="N751" s="61"/>
      <c r="O751" s="61"/>
      <c r="P751" s="62"/>
      <c r="Q751" s="13"/>
      <c r="R751" s="13"/>
      <c r="S751" s="14"/>
      <c r="T751" s="1"/>
      <c r="U751" s="15"/>
      <c r="V751" s="1"/>
      <c r="W751" s="15"/>
      <c r="X751" s="16"/>
      <c r="Y751" s="17"/>
    </row>
    <row r="752" spans="14:25" x14ac:dyDescent="0.25">
      <c r="N752" s="61"/>
      <c r="O752" s="61"/>
      <c r="P752" s="62"/>
      <c r="Q752" s="13"/>
      <c r="R752" s="13"/>
      <c r="S752" s="14"/>
      <c r="T752" s="1"/>
      <c r="U752" s="15"/>
      <c r="V752" s="1"/>
      <c r="W752" s="15"/>
      <c r="X752" s="16"/>
      <c r="Y752" s="17"/>
    </row>
    <row r="753" spans="14:25" x14ac:dyDescent="0.25">
      <c r="N753" s="61"/>
      <c r="O753" s="61"/>
      <c r="P753" s="62"/>
      <c r="Q753" s="13"/>
      <c r="R753" s="13"/>
      <c r="S753" s="14"/>
      <c r="T753" s="1"/>
      <c r="U753" s="15"/>
      <c r="V753" s="1"/>
      <c r="W753" s="15"/>
      <c r="X753" s="16"/>
      <c r="Y753" s="17"/>
    </row>
    <row r="754" spans="14:25" x14ac:dyDescent="0.25">
      <c r="N754" s="61"/>
      <c r="O754" s="61"/>
      <c r="P754" s="62"/>
      <c r="Q754" s="13"/>
      <c r="R754" s="13"/>
      <c r="S754" s="14"/>
      <c r="T754" s="1"/>
      <c r="U754" s="15"/>
      <c r="V754" s="1"/>
      <c r="W754" s="15"/>
      <c r="X754" s="16"/>
      <c r="Y754" s="17"/>
    </row>
    <row r="755" spans="14:25" x14ac:dyDescent="0.25">
      <c r="N755" s="61"/>
      <c r="O755" s="61"/>
      <c r="P755" s="62"/>
      <c r="Q755" s="13"/>
      <c r="R755" s="13"/>
      <c r="S755" s="14"/>
      <c r="T755" s="1"/>
      <c r="U755" s="15"/>
      <c r="V755" s="1"/>
      <c r="W755" s="15"/>
      <c r="X755" s="16"/>
      <c r="Y755" s="17"/>
    </row>
    <row r="756" spans="14:25" x14ac:dyDescent="0.25">
      <c r="N756" s="61"/>
      <c r="O756" s="61"/>
      <c r="P756" s="62"/>
      <c r="Q756" s="13"/>
      <c r="R756" s="13"/>
      <c r="S756" s="14"/>
      <c r="T756" s="1"/>
      <c r="U756" s="15"/>
      <c r="V756" s="1"/>
      <c r="W756" s="15"/>
      <c r="X756" s="16"/>
      <c r="Y756" s="17"/>
    </row>
    <row r="757" spans="14:25" x14ac:dyDescent="0.25">
      <c r="N757" s="61"/>
      <c r="O757" s="61"/>
      <c r="P757" s="62"/>
      <c r="Q757" s="13"/>
      <c r="R757" s="13"/>
      <c r="S757" s="14"/>
      <c r="T757" s="1"/>
      <c r="U757" s="15"/>
      <c r="V757" s="1"/>
      <c r="W757" s="15"/>
      <c r="X757" s="16"/>
      <c r="Y757" s="17"/>
    </row>
    <row r="758" spans="14:25" x14ac:dyDescent="0.25">
      <c r="N758" s="61"/>
      <c r="O758" s="61"/>
      <c r="P758" s="62"/>
      <c r="Q758" s="13"/>
      <c r="R758" s="13"/>
      <c r="S758" s="14"/>
      <c r="T758" s="1"/>
      <c r="U758" s="15"/>
      <c r="V758" s="1"/>
      <c r="W758" s="15"/>
      <c r="X758" s="16"/>
      <c r="Y758" s="17"/>
    </row>
    <row r="759" spans="14:25" x14ac:dyDescent="0.25">
      <c r="N759" s="61"/>
      <c r="O759" s="61"/>
      <c r="P759" s="62"/>
      <c r="Q759" s="13"/>
      <c r="R759" s="13"/>
      <c r="S759" s="14"/>
      <c r="T759" s="1"/>
      <c r="U759" s="15"/>
      <c r="V759" s="1"/>
      <c r="W759" s="15"/>
      <c r="X759" s="16"/>
      <c r="Y759" s="17"/>
    </row>
    <row r="760" spans="14:25" x14ac:dyDescent="0.25">
      <c r="N760" s="61"/>
      <c r="O760" s="61"/>
      <c r="P760" s="62"/>
      <c r="Q760" s="13"/>
      <c r="R760" s="13"/>
      <c r="S760" s="14"/>
      <c r="T760" s="1"/>
      <c r="U760" s="15"/>
      <c r="V760" s="1"/>
      <c r="W760" s="15"/>
      <c r="X760" s="16"/>
      <c r="Y760" s="17"/>
    </row>
    <row r="761" spans="14:25" x14ac:dyDescent="0.25">
      <c r="N761" s="61"/>
      <c r="O761" s="61"/>
      <c r="P761" s="62"/>
      <c r="Q761" s="13"/>
      <c r="R761" s="13"/>
      <c r="S761" s="14"/>
      <c r="T761" s="1"/>
      <c r="U761" s="15"/>
      <c r="V761" s="1"/>
      <c r="W761" s="15"/>
      <c r="X761" s="16"/>
      <c r="Y761" s="17"/>
    </row>
    <row r="762" spans="14:25" x14ac:dyDescent="0.25">
      <c r="N762" s="61"/>
      <c r="O762" s="61"/>
      <c r="P762" s="62"/>
      <c r="Q762" s="13"/>
      <c r="R762" s="13"/>
      <c r="S762" s="14"/>
      <c r="T762" s="1"/>
      <c r="U762" s="15"/>
      <c r="V762" s="1"/>
      <c r="W762" s="15"/>
      <c r="X762" s="16"/>
      <c r="Y762" s="17"/>
    </row>
    <row r="763" spans="14:25" x14ac:dyDescent="0.25">
      <c r="N763" s="61"/>
      <c r="O763" s="61"/>
      <c r="P763" s="62"/>
      <c r="Q763" s="13"/>
      <c r="R763" s="13"/>
      <c r="S763" s="14"/>
      <c r="T763" s="1"/>
      <c r="U763" s="15"/>
      <c r="V763" s="1"/>
      <c r="W763" s="15"/>
      <c r="X763" s="16"/>
      <c r="Y763" s="17"/>
    </row>
    <row r="764" spans="14:25" x14ac:dyDescent="0.25">
      <c r="N764" s="61"/>
      <c r="O764" s="61"/>
      <c r="P764" s="62"/>
      <c r="Q764" s="13"/>
      <c r="R764" s="13"/>
      <c r="S764" s="14"/>
      <c r="T764" s="1"/>
      <c r="U764" s="15"/>
      <c r="V764" s="1"/>
      <c r="W764" s="15"/>
      <c r="X764" s="16"/>
      <c r="Y764" s="17"/>
    </row>
    <row r="765" spans="14:25" x14ac:dyDescent="0.25">
      <c r="N765" s="61"/>
      <c r="O765" s="61"/>
      <c r="P765" s="62"/>
      <c r="Q765" s="13"/>
      <c r="R765" s="13"/>
      <c r="S765" s="14"/>
      <c r="T765" s="1"/>
      <c r="U765" s="15"/>
      <c r="V765" s="1"/>
      <c r="W765" s="15"/>
      <c r="X765" s="16"/>
      <c r="Y765" s="17"/>
    </row>
    <row r="766" spans="14:25" x14ac:dyDescent="0.25">
      <c r="N766" s="61"/>
      <c r="O766" s="61"/>
      <c r="P766" s="62"/>
      <c r="Q766" s="13"/>
      <c r="R766" s="13"/>
      <c r="S766" s="14"/>
      <c r="T766" s="1"/>
      <c r="U766" s="15"/>
      <c r="V766" s="1"/>
      <c r="W766" s="15"/>
      <c r="X766" s="16"/>
      <c r="Y766" s="17"/>
    </row>
    <row r="767" spans="14:25" x14ac:dyDescent="0.25">
      <c r="N767" s="61"/>
      <c r="O767" s="61"/>
      <c r="P767" s="62"/>
      <c r="Q767" s="13"/>
      <c r="R767" s="13"/>
      <c r="S767" s="14"/>
      <c r="T767" s="1"/>
      <c r="U767" s="15"/>
      <c r="V767" s="1"/>
      <c r="W767" s="15"/>
      <c r="X767" s="16"/>
      <c r="Y767" s="17"/>
    </row>
    <row r="768" spans="14:25" x14ac:dyDescent="0.25">
      <c r="N768" s="61"/>
      <c r="O768" s="61"/>
      <c r="P768" s="62"/>
      <c r="Q768" s="13"/>
      <c r="R768" s="13"/>
      <c r="S768" s="14"/>
      <c r="T768" s="1"/>
      <c r="U768" s="15"/>
      <c r="V768" s="1"/>
      <c r="W768" s="15"/>
      <c r="X768" s="16"/>
      <c r="Y768" s="17"/>
    </row>
    <row r="769" spans="14:25" x14ac:dyDescent="0.25">
      <c r="N769" s="61"/>
      <c r="O769" s="61"/>
      <c r="P769" s="62"/>
      <c r="Q769" s="13"/>
      <c r="R769" s="13"/>
      <c r="S769" s="14"/>
      <c r="T769" s="1"/>
      <c r="U769" s="15"/>
      <c r="V769" s="1"/>
      <c r="W769" s="15"/>
      <c r="X769" s="16"/>
      <c r="Y769" s="17"/>
    </row>
    <row r="770" spans="14:25" x14ac:dyDescent="0.25">
      <c r="N770" s="61"/>
      <c r="O770" s="61"/>
      <c r="P770" s="62"/>
      <c r="Q770" s="13"/>
      <c r="R770" s="13"/>
      <c r="S770" s="14"/>
      <c r="T770" s="1"/>
      <c r="U770" s="15"/>
      <c r="V770" s="1"/>
      <c r="W770" s="15"/>
      <c r="X770" s="16"/>
      <c r="Y770" s="17"/>
    </row>
    <row r="771" spans="14:25" x14ac:dyDescent="0.25">
      <c r="N771" s="61"/>
      <c r="O771" s="61"/>
      <c r="P771" s="62"/>
      <c r="Q771" s="13"/>
      <c r="R771" s="13"/>
      <c r="S771" s="14"/>
      <c r="T771" s="1"/>
      <c r="U771" s="15"/>
      <c r="V771" s="1"/>
      <c r="W771" s="15"/>
      <c r="X771" s="16"/>
      <c r="Y771" s="17"/>
    </row>
    <row r="772" spans="14:25" x14ac:dyDescent="0.25">
      <c r="N772" s="61"/>
      <c r="O772" s="61"/>
      <c r="P772" s="62"/>
      <c r="Q772" s="13"/>
      <c r="R772" s="13"/>
      <c r="S772" s="14"/>
      <c r="T772" s="1"/>
      <c r="U772" s="15"/>
      <c r="V772" s="1"/>
      <c r="W772" s="15"/>
      <c r="X772" s="16"/>
      <c r="Y772" s="17"/>
    </row>
    <row r="773" spans="14:25" x14ac:dyDescent="0.25">
      <c r="N773" s="61"/>
      <c r="O773" s="61"/>
      <c r="P773" s="62"/>
      <c r="Q773" s="13"/>
      <c r="R773" s="13"/>
      <c r="S773" s="14"/>
      <c r="T773" s="1"/>
      <c r="U773" s="15"/>
      <c r="V773" s="1"/>
      <c r="W773" s="15"/>
      <c r="X773" s="16"/>
      <c r="Y773" s="17"/>
    </row>
    <row r="774" spans="14:25" x14ac:dyDescent="0.25">
      <c r="N774" s="61"/>
      <c r="O774" s="61"/>
      <c r="P774" s="62"/>
      <c r="Q774" s="13"/>
      <c r="R774" s="13"/>
      <c r="S774" s="14"/>
      <c r="T774" s="1"/>
      <c r="U774" s="15"/>
      <c r="V774" s="1"/>
      <c r="W774" s="15"/>
      <c r="X774" s="16"/>
      <c r="Y774" s="17"/>
    </row>
    <row r="775" spans="14:25" x14ac:dyDescent="0.25">
      <c r="N775" s="61"/>
      <c r="O775" s="61"/>
      <c r="P775" s="62"/>
      <c r="Q775" s="13"/>
      <c r="R775" s="13"/>
      <c r="S775" s="14"/>
      <c r="T775" s="1"/>
      <c r="U775" s="15"/>
      <c r="V775" s="1"/>
      <c r="W775" s="15"/>
      <c r="X775" s="16"/>
      <c r="Y775" s="17"/>
    </row>
    <row r="776" spans="14:25" x14ac:dyDescent="0.25">
      <c r="N776" s="61"/>
      <c r="O776" s="61"/>
      <c r="P776" s="62"/>
      <c r="Q776" s="13"/>
      <c r="R776" s="13"/>
      <c r="S776" s="14"/>
      <c r="T776" s="1"/>
      <c r="U776" s="15"/>
      <c r="V776" s="1"/>
      <c r="W776" s="15"/>
      <c r="X776" s="16"/>
      <c r="Y776" s="17"/>
    </row>
    <row r="777" spans="14:25" x14ac:dyDescent="0.25">
      <c r="N777" s="61"/>
      <c r="O777" s="61"/>
      <c r="P777" s="62"/>
      <c r="Q777" s="13"/>
      <c r="R777" s="13"/>
      <c r="S777" s="14"/>
      <c r="T777" s="1"/>
      <c r="U777" s="15"/>
      <c r="V777" s="1"/>
      <c r="W777" s="15"/>
      <c r="X777" s="16"/>
      <c r="Y777" s="17"/>
    </row>
    <row r="778" spans="14:25" x14ac:dyDescent="0.25">
      <c r="N778" s="61"/>
      <c r="O778" s="61"/>
      <c r="P778" s="62"/>
      <c r="Q778" s="13"/>
      <c r="R778" s="13"/>
      <c r="S778" s="14"/>
      <c r="T778" s="1"/>
      <c r="U778" s="15"/>
      <c r="V778" s="1"/>
      <c r="W778" s="15"/>
      <c r="X778" s="16"/>
      <c r="Y778" s="17"/>
    </row>
    <row r="779" spans="14:25" x14ac:dyDescent="0.25">
      <c r="N779" s="61"/>
      <c r="O779" s="61"/>
      <c r="P779" s="62"/>
      <c r="Q779" s="13"/>
      <c r="R779" s="13"/>
      <c r="S779" s="14"/>
      <c r="T779" s="1"/>
      <c r="U779" s="15"/>
      <c r="V779" s="1"/>
      <c r="W779" s="15"/>
      <c r="X779" s="16"/>
      <c r="Y779" s="17"/>
    </row>
    <row r="780" spans="14:25" x14ac:dyDescent="0.25">
      <c r="N780" s="61"/>
      <c r="O780" s="61"/>
      <c r="P780" s="62"/>
      <c r="Q780" s="13"/>
      <c r="R780" s="13"/>
      <c r="S780" s="14"/>
      <c r="T780" s="1"/>
      <c r="U780" s="15"/>
      <c r="V780" s="1"/>
      <c r="W780" s="15"/>
      <c r="X780" s="16"/>
      <c r="Y780" s="17"/>
    </row>
    <row r="781" spans="14:25" x14ac:dyDescent="0.25">
      <c r="N781" s="61"/>
      <c r="O781" s="61"/>
      <c r="P781" s="62"/>
      <c r="Q781" s="13"/>
      <c r="R781" s="13"/>
      <c r="S781" s="14"/>
      <c r="T781" s="1"/>
      <c r="U781" s="15"/>
      <c r="V781" s="1"/>
      <c r="W781" s="15"/>
      <c r="X781" s="16"/>
      <c r="Y781" s="17"/>
    </row>
    <row r="782" spans="14:25" x14ac:dyDescent="0.25">
      <c r="N782" s="61"/>
      <c r="O782" s="61"/>
      <c r="P782" s="62"/>
      <c r="Q782" s="13"/>
      <c r="R782" s="13"/>
      <c r="S782" s="14"/>
      <c r="T782" s="1"/>
      <c r="U782" s="15"/>
      <c r="V782" s="1"/>
      <c r="W782" s="15"/>
      <c r="X782" s="16"/>
      <c r="Y782" s="17"/>
    </row>
    <row r="783" spans="14:25" x14ac:dyDescent="0.25">
      <c r="N783" s="61"/>
      <c r="O783" s="61"/>
      <c r="P783" s="62"/>
      <c r="Q783" s="13"/>
      <c r="R783" s="13"/>
      <c r="S783" s="14"/>
      <c r="T783" s="1"/>
      <c r="U783" s="15"/>
      <c r="V783" s="1"/>
      <c r="W783" s="15"/>
      <c r="X783" s="16"/>
      <c r="Y783" s="17"/>
    </row>
    <row r="784" spans="14:25" x14ac:dyDescent="0.25">
      <c r="N784" s="61"/>
      <c r="O784" s="61"/>
      <c r="P784" s="62"/>
      <c r="Q784" s="13"/>
      <c r="R784" s="13"/>
      <c r="S784" s="14"/>
      <c r="T784" s="1"/>
      <c r="U784" s="15"/>
      <c r="V784" s="1"/>
      <c r="W784" s="15"/>
      <c r="X784" s="16"/>
      <c r="Y784" s="17"/>
    </row>
    <row r="785" spans="14:25" x14ac:dyDescent="0.25">
      <c r="N785" s="61"/>
      <c r="O785" s="61"/>
      <c r="P785" s="62"/>
      <c r="Q785" s="13"/>
      <c r="R785" s="13"/>
      <c r="S785" s="14"/>
      <c r="T785" s="1"/>
      <c r="U785" s="15"/>
      <c r="V785" s="1"/>
      <c r="W785" s="15"/>
      <c r="X785" s="16"/>
      <c r="Y785" s="17"/>
    </row>
    <row r="786" spans="14:25" x14ac:dyDescent="0.25">
      <c r="N786" s="61"/>
      <c r="O786" s="61"/>
      <c r="P786" s="62"/>
      <c r="Q786" s="13"/>
      <c r="R786" s="13"/>
      <c r="S786" s="14"/>
      <c r="T786" s="1"/>
      <c r="U786" s="15"/>
      <c r="V786" s="1"/>
      <c r="W786" s="15"/>
      <c r="X786" s="16"/>
      <c r="Y786" s="17"/>
    </row>
    <row r="787" spans="14:25" x14ac:dyDescent="0.25">
      <c r="N787" s="61"/>
      <c r="O787" s="61"/>
      <c r="P787" s="62"/>
      <c r="Q787" s="13"/>
      <c r="R787" s="13"/>
      <c r="S787" s="14"/>
      <c r="T787" s="1"/>
      <c r="U787" s="15"/>
      <c r="V787" s="1"/>
      <c r="W787" s="15"/>
      <c r="X787" s="16"/>
      <c r="Y787" s="17"/>
    </row>
    <row r="788" spans="14:25" x14ac:dyDescent="0.25">
      <c r="N788" s="61"/>
      <c r="O788" s="61"/>
      <c r="P788" s="62"/>
      <c r="Q788" s="13"/>
      <c r="R788" s="13"/>
      <c r="S788" s="14"/>
      <c r="T788" s="1"/>
      <c r="U788" s="15"/>
      <c r="V788" s="1"/>
      <c r="W788" s="15"/>
      <c r="X788" s="16"/>
      <c r="Y788" s="17"/>
    </row>
    <row r="789" spans="14:25" x14ac:dyDescent="0.25">
      <c r="N789" s="61"/>
      <c r="O789" s="61"/>
      <c r="P789" s="62"/>
      <c r="Q789" s="13"/>
      <c r="R789" s="13"/>
      <c r="S789" s="14"/>
      <c r="T789" s="1"/>
      <c r="U789" s="15"/>
      <c r="V789" s="1"/>
      <c r="W789" s="15"/>
      <c r="X789" s="16"/>
      <c r="Y789" s="17"/>
    </row>
    <row r="790" spans="14:25" x14ac:dyDescent="0.25">
      <c r="N790" s="61"/>
      <c r="O790" s="61"/>
      <c r="P790" s="62"/>
      <c r="Q790" s="13"/>
      <c r="R790" s="13"/>
      <c r="S790" s="14"/>
      <c r="T790" s="1"/>
      <c r="U790" s="15"/>
      <c r="V790" s="1"/>
      <c r="W790" s="15"/>
      <c r="X790" s="16"/>
      <c r="Y790" s="17"/>
    </row>
    <row r="791" spans="14:25" x14ac:dyDescent="0.25">
      <c r="N791" s="61"/>
      <c r="O791" s="61"/>
      <c r="P791" s="62"/>
      <c r="Q791" s="13"/>
      <c r="R791" s="13"/>
      <c r="S791" s="14"/>
      <c r="T791" s="1"/>
      <c r="U791" s="15"/>
      <c r="V791" s="1"/>
      <c r="W791" s="15"/>
      <c r="X791" s="16"/>
      <c r="Y791" s="17"/>
    </row>
    <row r="792" spans="14:25" x14ac:dyDescent="0.25">
      <c r="N792" s="61"/>
      <c r="O792" s="61"/>
      <c r="P792" s="62"/>
      <c r="Q792" s="13"/>
      <c r="R792" s="13"/>
      <c r="S792" s="14"/>
      <c r="T792" s="1"/>
      <c r="U792" s="15"/>
      <c r="V792" s="1"/>
      <c r="W792" s="15"/>
      <c r="X792" s="16"/>
      <c r="Y792" s="17"/>
    </row>
    <row r="793" spans="14:25" x14ac:dyDescent="0.25">
      <c r="N793" s="61"/>
      <c r="O793" s="61"/>
      <c r="P793" s="62"/>
      <c r="Q793" s="13"/>
      <c r="R793" s="13"/>
      <c r="S793" s="14"/>
      <c r="T793" s="1"/>
      <c r="U793" s="15"/>
      <c r="V793" s="1"/>
      <c r="W793" s="15"/>
      <c r="X793" s="16"/>
      <c r="Y793" s="17"/>
    </row>
    <row r="794" spans="14:25" x14ac:dyDescent="0.25">
      <c r="N794" s="61"/>
      <c r="O794" s="61"/>
      <c r="P794" s="62"/>
      <c r="Q794" s="13"/>
      <c r="R794" s="13"/>
      <c r="S794" s="14"/>
      <c r="T794" s="1"/>
      <c r="U794" s="15"/>
      <c r="V794" s="1"/>
      <c r="W794" s="15"/>
      <c r="X794" s="16"/>
      <c r="Y794" s="17"/>
    </row>
    <row r="795" spans="14:25" x14ac:dyDescent="0.25">
      <c r="N795" s="61"/>
      <c r="O795" s="61"/>
      <c r="P795" s="62"/>
      <c r="Q795" s="13"/>
      <c r="R795" s="13"/>
      <c r="S795" s="14"/>
      <c r="T795" s="1"/>
      <c r="U795" s="15"/>
      <c r="V795" s="1"/>
      <c r="W795" s="15"/>
      <c r="X795" s="16"/>
      <c r="Y795" s="17"/>
    </row>
    <row r="796" spans="14:25" x14ac:dyDescent="0.25">
      <c r="N796" s="61"/>
      <c r="O796" s="61"/>
      <c r="P796" s="62"/>
      <c r="Q796" s="13"/>
      <c r="R796" s="13"/>
      <c r="S796" s="14"/>
      <c r="T796" s="1"/>
      <c r="U796" s="15"/>
      <c r="V796" s="1"/>
      <c r="W796" s="15"/>
      <c r="X796" s="16"/>
      <c r="Y796" s="17"/>
    </row>
    <row r="797" spans="14:25" x14ac:dyDescent="0.25">
      <c r="N797" s="61"/>
      <c r="O797" s="61"/>
      <c r="P797" s="62"/>
      <c r="Q797" s="13"/>
      <c r="R797" s="13"/>
      <c r="S797" s="14"/>
      <c r="T797" s="1"/>
      <c r="U797" s="15"/>
      <c r="V797" s="1"/>
      <c r="W797" s="15"/>
      <c r="X797" s="16"/>
      <c r="Y797" s="17"/>
    </row>
    <row r="798" spans="14:25" x14ac:dyDescent="0.25">
      <c r="N798" s="61"/>
      <c r="O798" s="61"/>
      <c r="P798" s="62"/>
      <c r="Q798" s="13"/>
      <c r="R798" s="13"/>
      <c r="S798" s="14"/>
      <c r="T798" s="1"/>
      <c r="U798" s="15"/>
      <c r="V798" s="1"/>
      <c r="W798" s="15"/>
      <c r="X798" s="16"/>
      <c r="Y798" s="17"/>
    </row>
    <row r="799" spans="14:25" x14ac:dyDescent="0.25">
      <c r="N799" s="61"/>
      <c r="O799" s="61"/>
      <c r="P799" s="62"/>
      <c r="Q799" s="13"/>
      <c r="R799" s="13"/>
      <c r="S799" s="14"/>
      <c r="T799" s="1"/>
      <c r="U799" s="15"/>
      <c r="V799" s="1"/>
      <c r="W799" s="15"/>
      <c r="X799" s="16"/>
      <c r="Y799" s="17"/>
    </row>
    <row r="800" spans="14:25" x14ac:dyDescent="0.25">
      <c r="N800" s="61"/>
      <c r="O800" s="61"/>
      <c r="P800" s="62"/>
      <c r="Q800" s="13"/>
      <c r="R800" s="13"/>
      <c r="S800" s="14"/>
      <c r="T800" s="1"/>
      <c r="U800" s="15"/>
      <c r="V800" s="1"/>
      <c r="W800" s="15"/>
      <c r="X800" s="16"/>
      <c r="Y800" s="17"/>
    </row>
    <row r="801" spans="14:25" x14ac:dyDescent="0.25">
      <c r="N801" s="61"/>
      <c r="O801" s="61"/>
      <c r="P801" s="62"/>
      <c r="Q801" s="13"/>
      <c r="R801" s="13"/>
      <c r="S801" s="14"/>
      <c r="T801" s="1"/>
      <c r="U801" s="15"/>
      <c r="V801" s="1"/>
      <c r="W801" s="15"/>
      <c r="X801" s="16"/>
      <c r="Y801" s="17"/>
    </row>
    <row r="802" spans="14:25" x14ac:dyDescent="0.25">
      <c r="N802" s="61"/>
      <c r="O802" s="61"/>
      <c r="P802" s="62"/>
      <c r="Q802" s="13"/>
      <c r="R802" s="13"/>
      <c r="S802" s="14"/>
      <c r="T802" s="1"/>
      <c r="U802" s="15"/>
      <c r="V802" s="1"/>
      <c r="W802" s="15"/>
      <c r="X802" s="16"/>
      <c r="Y802" s="17"/>
    </row>
    <row r="803" spans="14:25" x14ac:dyDescent="0.25">
      <c r="N803" s="61"/>
      <c r="O803" s="61"/>
      <c r="P803" s="62"/>
      <c r="Q803" s="13"/>
      <c r="R803" s="13"/>
      <c r="S803" s="14"/>
      <c r="T803" s="1"/>
      <c r="U803" s="15"/>
      <c r="V803" s="1"/>
      <c r="W803" s="15"/>
      <c r="X803" s="16"/>
      <c r="Y803" s="17"/>
    </row>
    <row r="804" spans="14:25" x14ac:dyDescent="0.25">
      <c r="N804" s="61"/>
      <c r="O804" s="61"/>
      <c r="P804" s="62"/>
      <c r="Q804" s="13"/>
      <c r="R804" s="13"/>
      <c r="S804" s="14"/>
      <c r="T804" s="1"/>
      <c r="U804" s="15"/>
      <c r="V804" s="1"/>
      <c r="W804" s="15"/>
      <c r="X804" s="16"/>
      <c r="Y804" s="17"/>
    </row>
    <row r="805" spans="14:25" x14ac:dyDescent="0.25">
      <c r="N805" s="61"/>
      <c r="O805" s="61"/>
      <c r="P805" s="62"/>
      <c r="Q805" s="13"/>
      <c r="R805" s="13"/>
      <c r="S805" s="14"/>
      <c r="T805" s="1"/>
      <c r="U805" s="15"/>
      <c r="V805" s="1"/>
      <c r="W805" s="15"/>
      <c r="X805" s="16"/>
      <c r="Y805" s="17"/>
    </row>
    <row r="806" spans="14:25" x14ac:dyDescent="0.25">
      <c r="N806" s="61"/>
      <c r="O806" s="61"/>
      <c r="P806" s="62"/>
      <c r="Q806" s="13"/>
      <c r="R806" s="13"/>
      <c r="S806" s="14"/>
      <c r="T806" s="1"/>
      <c r="U806" s="15"/>
      <c r="V806" s="1"/>
      <c r="W806" s="15"/>
      <c r="X806" s="16"/>
      <c r="Y806" s="17"/>
    </row>
    <row r="807" spans="14:25" x14ac:dyDescent="0.25">
      <c r="N807" s="61"/>
      <c r="O807" s="61"/>
      <c r="P807" s="62"/>
      <c r="Q807" s="13"/>
      <c r="R807" s="13"/>
      <c r="S807" s="14"/>
      <c r="T807" s="1"/>
      <c r="U807" s="15"/>
      <c r="V807" s="1"/>
      <c r="W807" s="15"/>
      <c r="X807" s="16"/>
      <c r="Y807" s="17"/>
    </row>
    <row r="808" spans="14:25" x14ac:dyDescent="0.25">
      <c r="N808" s="61"/>
      <c r="O808" s="61"/>
      <c r="P808" s="62"/>
      <c r="Q808" s="13"/>
      <c r="R808" s="13"/>
      <c r="S808" s="14"/>
      <c r="T808" s="1"/>
      <c r="U808" s="15"/>
      <c r="V808" s="1"/>
      <c r="W808" s="15"/>
      <c r="X808" s="16"/>
      <c r="Y808" s="17"/>
    </row>
    <row r="809" spans="14:25" x14ac:dyDescent="0.25">
      <c r="N809" s="61"/>
      <c r="O809" s="61"/>
      <c r="P809" s="62"/>
      <c r="Q809" s="13"/>
      <c r="R809" s="13"/>
      <c r="S809" s="14"/>
      <c r="T809" s="1"/>
      <c r="U809" s="15"/>
      <c r="V809" s="1"/>
      <c r="W809" s="15"/>
      <c r="X809" s="16"/>
      <c r="Y809" s="17"/>
    </row>
    <row r="810" spans="14:25" x14ac:dyDescent="0.25">
      <c r="N810" s="61"/>
      <c r="O810" s="61"/>
      <c r="P810" s="62"/>
      <c r="Q810" s="13"/>
      <c r="R810" s="13"/>
      <c r="S810" s="14"/>
      <c r="T810" s="1"/>
      <c r="U810" s="15"/>
      <c r="V810" s="1"/>
      <c r="W810" s="15"/>
      <c r="X810" s="16"/>
      <c r="Y810" s="17"/>
    </row>
    <row r="811" spans="14:25" x14ac:dyDescent="0.25">
      <c r="N811" s="61"/>
      <c r="O811" s="61"/>
      <c r="P811" s="62"/>
      <c r="Q811" s="13"/>
      <c r="R811" s="13"/>
      <c r="S811" s="14"/>
      <c r="T811" s="1"/>
      <c r="U811" s="15"/>
      <c r="V811" s="1"/>
      <c r="W811" s="15"/>
      <c r="X811" s="16"/>
      <c r="Y811" s="17"/>
    </row>
    <row r="812" spans="14:25" x14ac:dyDescent="0.25">
      <c r="N812" s="61"/>
      <c r="O812" s="61"/>
      <c r="P812" s="62"/>
      <c r="Q812" s="13"/>
      <c r="R812" s="13"/>
      <c r="S812" s="14"/>
      <c r="T812" s="1"/>
      <c r="U812" s="15"/>
      <c r="V812" s="1"/>
      <c r="W812" s="15"/>
      <c r="X812" s="16"/>
      <c r="Y812" s="17"/>
    </row>
    <row r="813" spans="14:25" x14ac:dyDescent="0.25">
      <c r="N813" s="61"/>
      <c r="O813" s="61"/>
      <c r="P813" s="62"/>
      <c r="Q813" s="13"/>
      <c r="R813" s="13"/>
      <c r="S813" s="14"/>
      <c r="T813" s="1"/>
      <c r="U813" s="15"/>
      <c r="V813" s="1"/>
      <c r="W813" s="15"/>
      <c r="X813" s="16"/>
      <c r="Y813" s="17"/>
    </row>
    <row r="814" spans="14:25" x14ac:dyDescent="0.25">
      <c r="N814" s="61"/>
      <c r="O814" s="61"/>
      <c r="P814" s="62"/>
      <c r="Q814" s="13"/>
      <c r="R814" s="13"/>
      <c r="S814" s="14"/>
      <c r="T814" s="1"/>
      <c r="U814" s="15"/>
      <c r="V814" s="1"/>
      <c r="W814" s="15"/>
      <c r="X814" s="16"/>
      <c r="Y814" s="17"/>
    </row>
    <row r="815" spans="14:25" x14ac:dyDescent="0.25">
      <c r="N815" s="61"/>
      <c r="O815" s="61"/>
      <c r="P815" s="62"/>
      <c r="Q815" s="13"/>
      <c r="R815" s="13"/>
      <c r="S815" s="14"/>
      <c r="T815" s="1"/>
      <c r="U815" s="15"/>
      <c r="V815" s="1"/>
      <c r="W815" s="15"/>
      <c r="X815" s="16"/>
      <c r="Y815" s="17"/>
    </row>
    <row r="816" spans="14:25" x14ac:dyDescent="0.25">
      <c r="N816" s="61"/>
      <c r="O816" s="61"/>
      <c r="P816" s="62"/>
      <c r="Q816" s="13"/>
      <c r="R816" s="13"/>
      <c r="S816" s="14"/>
      <c r="T816" s="1"/>
      <c r="U816" s="15"/>
      <c r="V816" s="1"/>
      <c r="W816" s="15"/>
      <c r="X816" s="16"/>
      <c r="Y816" s="17"/>
    </row>
    <row r="817" spans="14:25" x14ac:dyDescent="0.25">
      <c r="N817" s="61"/>
      <c r="O817" s="61"/>
      <c r="P817" s="62"/>
      <c r="Q817" s="13"/>
      <c r="R817" s="13"/>
      <c r="S817" s="14"/>
      <c r="T817" s="1"/>
      <c r="U817" s="15"/>
      <c r="V817" s="1"/>
      <c r="W817" s="15"/>
      <c r="X817" s="16"/>
      <c r="Y817" s="17"/>
    </row>
    <row r="818" spans="14:25" x14ac:dyDescent="0.25">
      <c r="N818" s="61"/>
      <c r="O818" s="61"/>
      <c r="P818" s="62"/>
      <c r="Q818" s="13"/>
      <c r="R818" s="13"/>
      <c r="S818" s="14"/>
      <c r="T818" s="1"/>
      <c r="U818" s="15"/>
      <c r="V818" s="1"/>
      <c r="W818" s="15"/>
      <c r="X818" s="16"/>
      <c r="Y818" s="17"/>
    </row>
    <row r="819" spans="14:25" x14ac:dyDescent="0.25">
      <c r="N819" s="61"/>
      <c r="O819" s="61"/>
      <c r="P819" s="62"/>
      <c r="Q819" s="13"/>
      <c r="R819" s="13"/>
      <c r="S819" s="14"/>
      <c r="T819" s="1"/>
      <c r="U819" s="15"/>
      <c r="V819" s="1"/>
      <c r="W819" s="15"/>
      <c r="X819" s="16"/>
      <c r="Y819" s="17"/>
    </row>
    <row r="820" spans="14:25" x14ac:dyDescent="0.25">
      <c r="N820" s="61"/>
      <c r="O820" s="61"/>
      <c r="P820" s="62"/>
      <c r="Q820" s="13"/>
      <c r="R820" s="13"/>
      <c r="S820" s="14"/>
      <c r="T820" s="1"/>
      <c r="U820" s="15"/>
      <c r="V820" s="1"/>
      <c r="W820" s="15"/>
      <c r="X820" s="16"/>
      <c r="Y820" s="17"/>
    </row>
    <row r="821" spans="14:25" x14ac:dyDescent="0.25">
      <c r="N821" s="61"/>
      <c r="O821" s="61"/>
      <c r="P821" s="62"/>
      <c r="Q821" s="13"/>
      <c r="R821" s="13"/>
      <c r="S821" s="14"/>
      <c r="T821" s="1"/>
      <c r="U821" s="15"/>
      <c r="V821" s="1"/>
      <c r="W821" s="15"/>
      <c r="X821" s="16"/>
      <c r="Y821" s="17"/>
    </row>
    <row r="822" spans="14:25" x14ac:dyDescent="0.25">
      <c r="N822" s="61"/>
      <c r="O822" s="61"/>
      <c r="P822" s="62"/>
      <c r="Q822" s="13"/>
      <c r="R822" s="13"/>
      <c r="S822" s="14"/>
      <c r="T822" s="1"/>
      <c r="U822" s="15"/>
      <c r="V822" s="1"/>
      <c r="W822" s="15"/>
      <c r="X822" s="16"/>
      <c r="Y822" s="17"/>
    </row>
    <row r="823" spans="14:25" x14ac:dyDescent="0.25">
      <c r="N823" s="61"/>
      <c r="O823" s="61"/>
      <c r="P823" s="62"/>
      <c r="Q823" s="13"/>
      <c r="R823" s="13"/>
      <c r="S823" s="14"/>
      <c r="T823" s="1"/>
      <c r="U823" s="15"/>
      <c r="V823" s="1"/>
      <c r="W823" s="15"/>
      <c r="X823" s="16"/>
      <c r="Y823" s="17"/>
    </row>
    <row r="824" spans="14:25" x14ac:dyDescent="0.25">
      <c r="N824" s="61"/>
      <c r="O824" s="61"/>
      <c r="P824" s="62"/>
      <c r="Q824" s="13"/>
      <c r="R824" s="13"/>
      <c r="S824" s="14"/>
      <c r="T824" s="1"/>
      <c r="U824" s="15"/>
      <c r="V824" s="1"/>
      <c r="W824" s="15"/>
      <c r="X824" s="16"/>
      <c r="Y824" s="17"/>
    </row>
    <row r="825" spans="14:25" x14ac:dyDescent="0.25">
      <c r="N825" s="61"/>
      <c r="O825" s="61"/>
      <c r="P825" s="62"/>
      <c r="Q825" s="13"/>
      <c r="R825" s="13"/>
      <c r="S825" s="14"/>
      <c r="T825" s="1"/>
      <c r="U825" s="15"/>
      <c r="V825" s="1"/>
      <c r="W825" s="15"/>
      <c r="X825" s="16"/>
      <c r="Y825" s="17"/>
    </row>
    <row r="826" spans="14:25" x14ac:dyDescent="0.25">
      <c r="N826" s="61"/>
      <c r="O826" s="61"/>
      <c r="P826" s="62"/>
      <c r="Q826" s="13"/>
      <c r="R826" s="13"/>
      <c r="S826" s="14"/>
      <c r="T826" s="1"/>
      <c r="U826" s="15"/>
      <c r="V826" s="1"/>
      <c r="W826" s="15"/>
      <c r="X826" s="16"/>
      <c r="Y826" s="17"/>
    </row>
    <row r="827" spans="14:25" x14ac:dyDescent="0.25">
      <c r="N827" s="61"/>
      <c r="O827" s="61"/>
      <c r="P827" s="62"/>
      <c r="Q827" s="13"/>
      <c r="R827" s="13"/>
      <c r="S827" s="14"/>
      <c r="T827" s="1"/>
      <c r="U827" s="15"/>
      <c r="V827" s="1"/>
      <c r="W827" s="15"/>
      <c r="X827" s="16"/>
      <c r="Y827" s="17"/>
    </row>
    <row r="828" spans="14:25" x14ac:dyDescent="0.25">
      <c r="N828" s="61"/>
      <c r="O828" s="61"/>
      <c r="P828" s="62"/>
      <c r="Q828" s="13"/>
      <c r="R828" s="13"/>
      <c r="S828" s="14"/>
      <c r="T828" s="1"/>
      <c r="U828" s="15"/>
      <c r="V828" s="1"/>
      <c r="W828" s="15"/>
      <c r="X828" s="16"/>
      <c r="Y828" s="17"/>
    </row>
    <row r="829" spans="14:25" x14ac:dyDescent="0.25">
      <c r="N829" s="61"/>
      <c r="O829" s="61"/>
      <c r="P829" s="62"/>
      <c r="Q829" s="13"/>
      <c r="R829" s="13"/>
      <c r="S829" s="14"/>
      <c r="T829" s="1"/>
      <c r="U829" s="15"/>
      <c r="V829" s="1"/>
      <c r="W829" s="15"/>
      <c r="X829" s="16"/>
      <c r="Y829" s="17"/>
    </row>
    <row r="830" spans="14:25" x14ac:dyDescent="0.25">
      <c r="N830" s="61"/>
      <c r="O830" s="61"/>
      <c r="P830" s="62"/>
      <c r="Q830" s="13"/>
      <c r="R830" s="13"/>
      <c r="S830" s="14"/>
      <c r="T830" s="1"/>
      <c r="U830" s="15"/>
      <c r="V830" s="1"/>
      <c r="W830" s="15"/>
      <c r="X830" s="16"/>
      <c r="Y830" s="17"/>
    </row>
    <row r="831" spans="14:25" x14ac:dyDescent="0.25">
      <c r="N831" s="61"/>
      <c r="O831" s="61"/>
      <c r="P831" s="62"/>
      <c r="Q831" s="13"/>
      <c r="R831" s="13"/>
      <c r="S831" s="14"/>
      <c r="T831" s="1"/>
      <c r="U831" s="15"/>
      <c r="V831" s="1"/>
      <c r="W831" s="15"/>
      <c r="X831" s="16"/>
      <c r="Y831" s="17"/>
    </row>
    <row r="832" spans="14:25" x14ac:dyDescent="0.25">
      <c r="N832" s="61"/>
      <c r="O832" s="61"/>
      <c r="P832" s="62"/>
      <c r="Q832" s="13"/>
      <c r="R832" s="13"/>
      <c r="S832" s="14"/>
      <c r="T832" s="1"/>
      <c r="U832" s="15"/>
      <c r="V832" s="1"/>
      <c r="W832" s="15"/>
      <c r="X832" s="16"/>
      <c r="Y832" s="17"/>
    </row>
    <row r="833" spans="14:25" x14ac:dyDescent="0.25">
      <c r="N833" s="61"/>
      <c r="O833" s="61"/>
      <c r="P833" s="62"/>
      <c r="Q833" s="13"/>
      <c r="R833" s="13"/>
      <c r="S833" s="14"/>
      <c r="T833" s="1"/>
      <c r="U833" s="15"/>
      <c r="V833" s="1"/>
      <c r="W833" s="15"/>
      <c r="X833" s="16"/>
      <c r="Y833" s="17"/>
    </row>
    <row r="834" spans="14:25" x14ac:dyDescent="0.25">
      <c r="N834" s="61"/>
      <c r="O834" s="61"/>
      <c r="P834" s="62"/>
      <c r="Q834" s="13"/>
      <c r="R834" s="13"/>
      <c r="S834" s="14"/>
      <c r="T834" s="1"/>
      <c r="U834" s="15"/>
      <c r="V834" s="1"/>
      <c r="W834" s="15"/>
      <c r="X834" s="16"/>
      <c r="Y834" s="17"/>
    </row>
    <row r="835" spans="14:25" x14ac:dyDescent="0.25">
      <c r="N835" s="61"/>
      <c r="O835" s="61"/>
      <c r="P835" s="62"/>
      <c r="Q835" s="13"/>
      <c r="R835" s="13"/>
      <c r="S835" s="14"/>
      <c r="T835" s="1"/>
      <c r="U835" s="15"/>
      <c r="V835" s="1"/>
      <c r="W835" s="15"/>
      <c r="X835" s="16"/>
      <c r="Y835" s="17"/>
    </row>
    <row r="836" spans="14:25" x14ac:dyDescent="0.25">
      <c r="N836" s="61"/>
      <c r="O836" s="61"/>
      <c r="P836" s="62"/>
      <c r="Q836" s="13"/>
      <c r="R836" s="13"/>
      <c r="S836" s="14"/>
      <c r="T836" s="1"/>
      <c r="U836" s="15"/>
      <c r="V836" s="1"/>
      <c r="W836" s="15"/>
      <c r="X836" s="16"/>
      <c r="Y836" s="17"/>
    </row>
    <row r="837" spans="14:25" x14ac:dyDescent="0.25">
      <c r="N837" s="61"/>
      <c r="O837" s="61"/>
      <c r="P837" s="62"/>
      <c r="Q837" s="13"/>
      <c r="R837" s="13"/>
      <c r="S837" s="14"/>
      <c r="T837" s="1"/>
      <c r="U837" s="15"/>
      <c r="V837" s="1"/>
      <c r="W837" s="15"/>
      <c r="X837" s="16"/>
      <c r="Y837" s="17"/>
    </row>
    <row r="838" spans="14:25" x14ac:dyDescent="0.25">
      <c r="N838" s="61"/>
      <c r="O838" s="61"/>
      <c r="P838" s="62"/>
      <c r="Q838" s="13"/>
      <c r="R838" s="13"/>
      <c r="S838" s="14"/>
      <c r="T838" s="1"/>
      <c r="U838" s="15"/>
      <c r="V838" s="1"/>
      <c r="W838" s="15"/>
      <c r="X838" s="16"/>
      <c r="Y838" s="17"/>
    </row>
    <row r="839" spans="14:25" x14ac:dyDescent="0.25">
      <c r="N839" s="61"/>
      <c r="O839" s="61"/>
      <c r="P839" s="62"/>
      <c r="Q839" s="13"/>
      <c r="R839" s="13"/>
      <c r="S839" s="14"/>
      <c r="T839" s="1"/>
      <c r="U839" s="15"/>
      <c r="V839" s="1"/>
      <c r="W839" s="15"/>
      <c r="X839" s="16"/>
      <c r="Y839" s="17"/>
    </row>
    <row r="840" spans="14:25" x14ac:dyDescent="0.25">
      <c r="N840" s="61"/>
      <c r="O840" s="61"/>
      <c r="P840" s="62"/>
      <c r="Q840" s="13"/>
      <c r="R840" s="13"/>
      <c r="S840" s="14"/>
      <c r="T840" s="1"/>
      <c r="U840" s="15"/>
      <c r="V840" s="1"/>
      <c r="W840" s="15"/>
      <c r="X840" s="16"/>
      <c r="Y840" s="17"/>
    </row>
    <row r="841" spans="14:25" x14ac:dyDescent="0.25">
      <c r="N841" s="61"/>
      <c r="O841" s="61"/>
      <c r="P841" s="62"/>
      <c r="Q841" s="13"/>
      <c r="R841" s="13"/>
      <c r="S841" s="14"/>
      <c r="T841" s="1"/>
      <c r="U841" s="15"/>
      <c r="V841" s="1"/>
      <c r="W841" s="15"/>
      <c r="X841" s="16"/>
      <c r="Y841" s="17"/>
    </row>
    <row r="842" spans="14:25" x14ac:dyDescent="0.25">
      <c r="N842" s="61"/>
      <c r="O842" s="61"/>
      <c r="P842" s="62"/>
      <c r="Q842" s="13"/>
      <c r="R842" s="13"/>
      <c r="S842" s="14"/>
      <c r="T842" s="1"/>
      <c r="U842" s="15"/>
      <c r="V842" s="1"/>
      <c r="W842" s="15"/>
      <c r="X842" s="16"/>
      <c r="Y842" s="17"/>
    </row>
    <row r="843" spans="14:25" x14ac:dyDescent="0.25">
      <c r="N843" s="61"/>
      <c r="O843" s="61"/>
      <c r="P843" s="62"/>
      <c r="Q843" s="13"/>
      <c r="R843" s="13"/>
      <c r="S843" s="14"/>
      <c r="T843" s="1"/>
      <c r="U843" s="15"/>
      <c r="V843" s="1"/>
      <c r="W843" s="15"/>
      <c r="X843" s="16"/>
      <c r="Y843" s="17"/>
    </row>
    <row r="844" spans="14:25" x14ac:dyDescent="0.25">
      <c r="N844" s="61"/>
      <c r="O844" s="61"/>
      <c r="P844" s="62"/>
      <c r="Q844" s="13"/>
      <c r="R844" s="13"/>
      <c r="S844" s="14"/>
      <c r="T844" s="1"/>
      <c r="U844" s="15"/>
      <c r="V844" s="1"/>
      <c r="W844" s="15"/>
      <c r="X844" s="16"/>
      <c r="Y844" s="17"/>
    </row>
    <row r="845" spans="14:25" x14ac:dyDescent="0.25">
      <c r="N845" s="61"/>
      <c r="O845" s="61"/>
      <c r="P845" s="62"/>
      <c r="Q845" s="13"/>
      <c r="R845" s="13"/>
      <c r="S845" s="14"/>
      <c r="T845" s="1"/>
      <c r="U845" s="15"/>
      <c r="V845" s="1"/>
      <c r="W845" s="15"/>
      <c r="X845" s="16"/>
      <c r="Y845" s="17"/>
    </row>
    <row r="846" spans="14:25" x14ac:dyDescent="0.25">
      <c r="N846" s="61"/>
      <c r="O846" s="61"/>
      <c r="P846" s="62"/>
      <c r="Q846" s="13"/>
      <c r="R846" s="13"/>
      <c r="S846" s="14"/>
      <c r="T846" s="1"/>
      <c r="U846" s="15"/>
      <c r="V846" s="1"/>
      <c r="W846" s="15"/>
      <c r="X846" s="16"/>
      <c r="Y846" s="17"/>
    </row>
    <row r="847" spans="14:25" x14ac:dyDescent="0.25">
      <c r="N847" s="61"/>
      <c r="O847" s="61"/>
      <c r="P847" s="62"/>
      <c r="Q847" s="13"/>
      <c r="R847" s="13"/>
      <c r="S847" s="14"/>
      <c r="T847" s="1"/>
      <c r="U847" s="15"/>
      <c r="V847" s="1"/>
      <c r="W847" s="15"/>
      <c r="X847" s="16"/>
      <c r="Y847" s="17"/>
    </row>
    <row r="848" spans="14:25" x14ac:dyDescent="0.25">
      <c r="N848" s="61"/>
      <c r="O848" s="61"/>
      <c r="P848" s="62"/>
      <c r="Q848" s="13"/>
      <c r="R848" s="13"/>
      <c r="S848" s="14"/>
      <c r="T848" s="1"/>
      <c r="U848" s="15"/>
      <c r="V848" s="1"/>
      <c r="W848" s="15"/>
      <c r="X848" s="16"/>
      <c r="Y848" s="17"/>
    </row>
    <row r="849" spans="14:25" x14ac:dyDescent="0.25">
      <c r="N849" s="61"/>
      <c r="O849" s="61"/>
      <c r="P849" s="62"/>
      <c r="Q849" s="13"/>
      <c r="R849" s="13"/>
      <c r="S849" s="14"/>
      <c r="T849" s="1"/>
      <c r="U849" s="15"/>
      <c r="V849" s="1"/>
      <c r="W849" s="15"/>
      <c r="X849" s="16"/>
      <c r="Y849" s="17"/>
    </row>
    <row r="850" spans="14:25" x14ac:dyDescent="0.25">
      <c r="N850" s="61"/>
      <c r="O850" s="61"/>
      <c r="P850" s="62"/>
      <c r="Q850" s="13"/>
      <c r="R850" s="13"/>
      <c r="S850" s="14"/>
      <c r="T850" s="1"/>
      <c r="U850" s="15"/>
      <c r="V850" s="1"/>
      <c r="W850" s="15"/>
      <c r="X850" s="16"/>
      <c r="Y850" s="17"/>
    </row>
    <row r="851" spans="14:25" x14ac:dyDescent="0.25">
      <c r="N851" s="61"/>
      <c r="O851" s="61"/>
      <c r="P851" s="62"/>
      <c r="Q851" s="13"/>
      <c r="R851" s="13"/>
      <c r="S851" s="14"/>
      <c r="T851" s="1"/>
      <c r="U851" s="15"/>
      <c r="V851" s="1"/>
      <c r="W851" s="15"/>
      <c r="X851" s="16"/>
      <c r="Y851" s="17"/>
    </row>
    <row r="852" spans="14:25" x14ac:dyDescent="0.25">
      <c r="N852" s="61"/>
      <c r="O852" s="61"/>
      <c r="P852" s="62"/>
      <c r="Q852" s="13"/>
      <c r="R852" s="13"/>
      <c r="S852" s="14"/>
      <c r="T852" s="1"/>
      <c r="U852" s="15"/>
      <c r="V852" s="1"/>
      <c r="W852" s="15"/>
      <c r="X852" s="16"/>
      <c r="Y852" s="17"/>
    </row>
    <row r="853" spans="14:25" x14ac:dyDescent="0.25">
      <c r="N853" s="61"/>
      <c r="O853" s="61"/>
      <c r="P853" s="62"/>
      <c r="Q853" s="13"/>
      <c r="R853" s="13"/>
      <c r="S853" s="14"/>
      <c r="T853" s="1"/>
      <c r="U853" s="15"/>
      <c r="V853" s="1"/>
      <c r="W853" s="15"/>
      <c r="X853" s="16"/>
      <c r="Y853" s="17"/>
    </row>
    <row r="854" spans="14:25" x14ac:dyDescent="0.25">
      <c r="N854" s="61"/>
      <c r="O854" s="61"/>
      <c r="P854" s="62"/>
      <c r="Q854" s="13"/>
      <c r="R854" s="13"/>
      <c r="S854" s="14"/>
      <c r="T854" s="1"/>
      <c r="U854" s="15"/>
      <c r="V854" s="1"/>
      <c r="W854" s="15"/>
      <c r="X854" s="16"/>
      <c r="Y854" s="17"/>
    </row>
    <row r="855" spans="14:25" x14ac:dyDescent="0.25">
      <c r="N855" s="61"/>
      <c r="O855" s="61"/>
      <c r="P855" s="62"/>
      <c r="Q855" s="13"/>
      <c r="R855" s="13"/>
      <c r="S855" s="14"/>
      <c r="T855" s="1"/>
      <c r="U855" s="15"/>
      <c r="V855" s="1"/>
      <c r="W855" s="15"/>
      <c r="X855" s="16"/>
      <c r="Y855" s="17"/>
    </row>
    <row r="856" spans="14:25" x14ac:dyDescent="0.25">
      <c r="N856" s="61"/>
      <c r="O856" s="61"/>
      <c r="P856" s="62"/>
      <c r="Q856" s="13"/>
      <c r="R856" s="13"/>
      <c r="S856" s="14"/>
      <c r="T856" s="1"/>
      <c r="U856" s="15"/>
      <c r="V856" s="1"/>
      <c r="W856" s="15"/>
      <c r="X856" s="16"/>
      <c r="Y856" s="17"/>
    </row>
    <row r="857" spans="14:25" x14ac:dyDescent="0.25">
      <c r="N857" s="61"/>
      <c r="O857" s="61"/>
      <c r="P857" s="62"/>
      <c r="Q857" s="13"/>
      <c r="R857" s="13"/>
      <c r="S857" s="14"/>
      <c r="T857" s="1"/>
      <c r="U857" s="15"/>
      <c r="V857" s="1"/>
      <c r="W857" s="15"/>
      <c r="X857" s="16"/>
      <c r="Y857" s="17"/>
    </row>
    <row r="858" spans="14:25" x14ac:dyDescent="0.25">
      <c r="N858" s="61"/>
      <c r="O858" s="61"/>
      <c r="P858" s="62"/>
      <c r="Q858" s="13"/>
      <c r="R858" s="13"/>
      <c r="S858" s="14"/>
      <c r="T858" s="1"/>
      <c r="U858" s="15"/>
      <c r="V858" s="1"/>
      <c r="W858" s="15"/>
      <c r="X858" s="16"/>
      <c r="Y858" s="17"/>
    </row>
    <row r="859" spans="14:25" x14ac:dyDescent="0.25">
      <c r="N859" s="61"/>
      <c r="O859" s="61"/>
      <c r="P859" s="62"/>
      <c r="Q859" s="13"/>
      <c r="R859" s="13"/>
      <c r="S859" s="14"/>
      <c r="T859" s="1"/>
      <c r="U859" s="15"/>
      <c r="V859" s="1"/>
      <c r="W859" s="15"/>
      <c r="X859" s="16"/>
      <c r="Y859" s="17"/>
    </row>
    <row r="860" spans="14:25" x14ac:dyDescent="0.25">
      <c r="N860" s="61"/>
      <c r="O860" s="61"/>
      <c r="P860" s="62"/>
      <c r="Q860" s="13"/>
      <c r="R860" s="13"/>
      <c r="S860" s="14"/>
      <c r="T860" s="1"/>
      <c r="U860" s="15"/>
      <c r="V860" s="1"/>
      <c r="W860" s="15"/>
      <c r="X860" s="16"/>
      <c r="Y860" s="17"/>
    </row>
    <row r="861" spans="14:25" x14ac:dyDescent="0.25">
      <c r="N861" s="61"/>
      <c r="O861" s="61"/>
      <c r="P861" s="62"/>
      <c r="Q861" s="13"/>
      <c r="R861" s="13"/>
      <c r="S861" s="14"/>
      <c r="T861" s="1"/>
      <c r="U861" s="15"/>
      <c r="V861" s="1"/>
      <c r="W861" s="15"/>
      <c r="X861" s="16"/>
      <c r="Y861" s="17"/>
    </row>
    <row r="862" spans="14:25" x14ac:dyDescent="0.25">
      <c r="N862" s="61"/>
      <c r="O862" s="61"/>
      <c r="P862" s="62"/>
      <c r="Q862" s="13"/>
      <c r="R862" s="13"/>
      <c r="S862" s="14"/>
      <c r="T862" s="1"/>
      <c r="U862" s="15"/>
      <c r="V862" s="1"/>
      <c r="W862" s="15"/>
      <c r="X862" s="16"/>
      <c r="Y862" s="17"/>
    </row>
    <row r="863" spans="14:25" x14ac:dyDescent="0.25">
      <c r="N863" s="61"/>
      <c r="O863" s="61"/>
      <c r="P863" s="62"/>
      <c r="Q863" s="13"/>
      <c r="R863" s="13"/>
      <c r="S863" s="14"/>
      <c r="T863" s="1"/>
      <c r="U863" s="15"/>
      <c r="V863" s="1"/>
      <c r="W863" s="15"/>
      <c r="X863" s="16"/>
      <c r="Y863" s="17"/>
    </row>
    <row r="864" spans="14:25" x14ac:dyDescent="0.25">
      <c r="N864" s="61"/>
      <c r="O864" s="61"/>
      <c r="P864" s="62"/>
      <c r="Q864" s="13"/>
      <c r="R864" s="13"/>
      <c r="S864" s="14"/>
      <c r="T864" s="1"/>
      <c r="U864" s="15"/>
      <c r="V864" s="1"/>
      <c r="W864" s="15"/>
      <c r="X864" s="16"/>
      <c r="Y864" s="17"/>
    </row>
    <row r="865" spans="14:25" x14ac:dyDescent="0.25">
      <c r="N865" s="61"/>
      <c r="O865" s="61"/>
      <c r="P865" s="62"/>
      <c r="Q865" s="13"/>
      <c r="R865" s="13"/>
      <c r="S865" s="14"/>
      <c r="T865" s="1"/>
      <c r="U865" s="15"/>
      <c r="V865" s="1"/>
      <c r="W865" s="15"/>
      <c r="X865" s="16"/>
      <c r="Y865" s="17"/>
    </row>
    <row r="866" spans="14:25" x14ac:dyDescent="0.25">
      <c r="N866" s="61"/>
      <c r="O866" s="61"/>
      <c r="P866" s="62"/>
      <c r="Q866" s="13"/>
      <c r="R866" s="13"/>
      <c r="S866" s="14"/>
      <c r="T866" s="1"/>
      <c r="U866" s="15"/>
      <c r="V866" s="1"/>
      <c r="W866" s="15"/>
      <c r="X866" s="16"/>
      <c r="Y866" s="17"/>
    </row>
    <row r="867" spans="14:25" x14ac:dyDescent="0.25">
      <c r="N867" s="61"/>
      <c r="O867" s="61"/>
      <c r="P867" s="62"/>
      <c r="Q867" s="13"/>
      <c r="R867" s="13"/>
      <c r="S867" s="14"/>
      <c r="T867" s="1"/>
      <c r="U867" s="15"/>
      <c r="V867" s="1"/>
      <c r="W867" s="15"/>
      <c r="X867" s="16"/>
      <c r="Y867" s="17"/>
    </row>
    <row r="868" spans="14:25" x14ac:dyDescent="0.25">
      <c r="N868" s="61"/>
      <c r="O868" s="61"/>
      <c r="P868" s="62"/>
      <c r="Q868" s="13"/>
      <c r="R868" s="13"/>
      <c r="S868" s="14"/>
      <c r="T868" s="1"/>
      <c r="U868" s="15"/>
      <c r="V868" s="1"/>
      <c r="W868" s="15"/>
      <c r="X868" s="16"/>
      <c r="Y868" s="17"/>
    </row>
    <row r="869" spans="14:25" x14ac:dyDescent="0.25">
      <c r="N869" s="61"/>
      <c r="O869" s="61"/>
      <c r="P869" s="62"/>
      <c r="Q869" s="13"/>
      <c r="R869" s="13"/>
      <c r="S869" s="14"/>
      <c r="T869" s="1"/>
      <c r="U869" s="15"/>
      <c r="V869" s="1"/>
      <c r="W869" s="15"/>
      <c r="X869" s="16"/>
      <c r="Y869" s="17"/>
    </row>
    <row r="870" spans="14:25" x14ac:dyDescent="0.25">
      <c r="N870" s="61"/>
      <c r="O870" s="61"/>
      <c r="P870" s="62"/>
      <c r="Q870" s="13"/>
      <c r="R870" s="13"/>
      <c r="S870" s="14"/>
      <c r="T870" s="1"/>
      <c r="U870" s="15"/>
      <c r="V870" s="1"/>
      <c r="W870" s="15"/>
      <c r="X870" s="16"/>
      <c r="Y870" s="17"/>
    </row>
    <row r="871" spans="14:25" x14ac:dyDescent="0.25">
      <c r="N871" s="61"/>
      <c r="O871" s="61"/>
      <c r="P871" s="62"/>
      <c r="Q871" s="13"/>
      <c r="R871" s="13"/>
      <c r="S871" s="14"/>
      <c r="T871" s="1"/>
      <c r="U871" s="15"/>
      <c r="V871" s="1"/>
      <c r="W871" s="15"/>
      <c r="X871" s="16"/>
      <c r="Y871" s="17"/>
    </row>
    <row r="872" spans="14:25" x14ac:dyDescent="0.25">
      <c r="N872" s="61"/>
      <c r="O872" s="61"/>
      <c r="P872" s="62"/>
      <c r="Q872" s="13"/>
      <c r="R872" s="13"/>
      <c r="S872" s="14"/>
      <c r="T872" s="1"/>
      <c r="U872" s="15"/>
      <c r="V872" s="1"/>
      <c r="W872" s="15"/>
      <c r="X872" s="16"/>
      <c r="Y872" s="17"/>
    </row>
    <row r="873" spans="14:25" x14ac:dyDescent="0.25">
      <c r="N873" s="61"/>
      <c r="O873" s="61"/>
      <c r="P873" s="62"/>
      <c r="Q873" s="13"/>
      <c r="R873" s="13"/>
      <c r="S873" s="14"/>
      <c r="T873" s="1"/>
      <c r="U873" s="15"/>
      <c r="V873" s="1"/>
      <c r="W873" s="15"/>
      <c r="X873" s="16"/>
      <c r="Y873" s="17"/>
    </row>
    <row r="874" spans="14:25" x14ac:dyDescent="0.25">
      <c r="N874" s="61"/>
      <c r="O874" s="61"/>
      <c r="P874" s="62"/>
      <c r="Q874" s="13"/>
      <c r="R874" s="13"/>
      <c r="S874" s="14"/>
      <c r="T874" s="1"/>
      <c r="U874" s="15"/>
      <c r="V874" s="1"/>
      <c r="W874" s="15"/>
      <c r="X874" s="16"/>
      <c r="Y874" s="17"/>
    </row>
    <row r="875" spans="14:25" x14ac:dyDescent="0.25">
      <c r="N875" s="61"/>
      <c r="O875" s="61"/>
      <c r="P875" s="62"/>
      <c r="Q875" s="13"/>
      <c r="R875" s="13"/>
      <c r="S875" s="14"/>
      <c r="T875" s="1"/>
      <c r="U875" s="15"/>
      <c r="V875" s="1"/>
      <c r="W875" s="15"/>
      <c r="X875" s="16"/>
      <c r="Y875" s="17"/>
    </row>
    <row r="876" spans="14:25" x14ac:dyDescent="0.25">
      <c r="N876" s="61"/>
      <c r="O876" s="61"/>
      <c r="P876" s="62"/>
      <c r="Q876" s="13"/>
      <c r="R876" s="13"/>
      <c r="S876" s="14"/>
      <c r="T876" s="1"/>
      <c r="U876" s="15"/>
      <c r="V876" s="1"/>
      <c r="W876" s="15"/>
      <c r="X876" s="16"/>
      <c r="Y876" s="17"/>
    </row>
    <row r="877" spans="14:25" x14ac:dyDescent="0.25">
      <c r="N877" s="61"/>
      <c r="O877" s="61"/>
      <c r="P877" s="62"/>
      <c r="Q877" s="13"/>
      <c r="R877" s="13"/>
      <c r="S877" s="14"/>
      <c r="T877" s="1"/>
      <c r="U877" s="15"/>
      <c r="V877" s="1"/>
      <c r="W877" s="15"/>
      <c r="X877" s="16"/>
      <c r="Y877" s="17"/>
    </row>
    <row r="878" spans="14:25" x14ac:dyDescent="0.25">
      <c r="N878" s="61"/>
      <c r="O878" s="61"/>
      <c r="P878" s="62"/>
      <c r="Q878" s="13"/>
      <c r="R878" s="13"/>
      <c r="S878" s="14"/>
      <c r="T878" s="1"/>
      <c r="U878" s="15"/>
      <c r="V878" s="1"/>
      <c r="W878" s="15"/>
      <c r="X878" s="16"/>
      <c r="Y878" s="17"/>
    </row>
    <row r="879" spans="14:25" x14ac:dyDescent="0.25">
      <c r="N879" s="61"/>
      <c r="O879" s="61"/>
      <c r="P879" s="62"/>
      <c r="Q879" s="13"/>
      <c r="R879" s="13"/>
      <c r="S879" s="14"/>
      <c r="T879" s="1"/>
      <c r="U879" s="15"/>
      <c r="V879" s="1"/>
      <c r="W879" s="15"/>
      <c r="X879" s="16"/>
      <c r="Y879" s="17"/>
    </row>
    <row r="880" spans="14:25" x14ac:dyDescent="0.25">
      <c r="N880" s="61"/>
      <c r="O880" s="61"/>
      <c r="P880" s="62"/>
      <c r="Q880" s="13"/>
      <c r="R880" s="13"/>
      <c r="S880" s="14"/>
      <c r="T880" s="1"/>
      <c r="U880" s="15"/>
      <c r="V880" s="1"/>
      <c r="W880" s="15"/>
      <c r="X880" s="16"/>
      <c r="Y880" s="17"/>
    </row>
    <row r="881" spans="14:25" x14ac:dyDescent="0.25">
      <c r="N881" s="61"/>
      <c r="O881" s="61"/>
      <c r="P881" s="62"/>
      <c r="Q881" s="13"/>
      <c r="R881" s="13"/>
      <c r="S881" s="14"/>
      <c r="T881" s="1"/>
      <c r="U881" s="15"/>
      <c r="V881" s="1"/>
      <c r="W881" s="15"/>
      <c r="X881" s="16"/>
      <c r="Y881" s="17"/>
    </row>
    <row r="882" spans="14:25" x14ac:dyDescent="0.25">
      <c r="N882" s="61"/>
      <c r="O882" s="61"/>
      <c r="P882" s="62"/>
      <c r="Q882" s="13"/>
      <c r="R882" s="13"/>
      <c r="S882" s="14"/>
      <c r="T882" s="1"/>
      <c r="U882" s="15"/>
      <c r="V882" s="1"/>
      <c r="W882" s="15"/>
      <c r="X882" s="16"/>
      <c r="Y882" s="17"/>
    </row>
    <row r="883" spans="14:25" x14ac:dyDescent="0.25">
      <c r="N883" s="61"/>
      <c r="O883" s="61"/>
      <c r="P883" s="62"/>
      <c r="Q883" s="13"/>
      <c r="R883" s="13"/>
      <c r="S883" s="14"/>
      <c r="T883" s="1"/>
      <c r="U883" s="15"/>
      <c r="V883" s="1"/>
      <c r="W883" s="15"/>
      <c r="X883" s="16"/>
      <c r="Y883" s="17"/>
    </row>
    <row r="884" spans="14:25" x14ac:dyDescent="0.25">
      <c r="N884" s="61"/>
      <c r="O884" s="61"/>
      <c r="P884" s="62"/>
      <c r="Q884" s="13"/>
      <c r="R884" s="13"/>
      <c r="S884" s="14"/>
      <c r="T884" s="1"/>
      <c r="U884" s="15"/>
      <c r="V884" s="1"/>
      <c r="W884" s="15"/>
      <c r="X884" s="16"/>
      <c r="Y884" s="17"/>
    </row>
    <row r="885" spans="14:25" x14ac:dyDescent="0.25">
      <c r="N885" s="61"/>
      <c r="O885" s="61"/>
      <c r="P885" s="62"/>
      <c r="Q885" s="13"/>
      <c r="R885" s="13"/>
      <c r="S885" s="14"/>
      <c r="T885" s="1"/>
      <c r="U885" s="15"/>
      <c r="V885" s="1"/>
      <c r="W885" s="15"/>
      <c r="X885" s="16"/>
      <c r="Y885" s="17"/>
    </row>
    <row r="886" spans="14:25" x14ac:dyDescent="0.25">
      <c r="N886" s="61"/>
      <c r="O886" s="61"/>
      <c r="P886" s="62"/>
      <c r="Q886" s="13"/>
      <c r="R886" s="13"/>
      <c r="S886" s="14"/>
      <c r="T886" s="1"/>
      <c r="U886" s="15"/>
      <c r="V886" s="1"/>
      <c r="W886" s="15"/>
      <c r="X886" s="16"/>
      <c r="Y886" s="17"/>
    </row>
    <row r="887" spans="14:25" x14ac:dyDescent="0.25">
      <c r="N887" s="61"/>
      <c r="O887" s="61"/>
      <c r="P887" s="62"/>
      <c r="Q887" s="13"/>
      <c r="R887" s="13"/>
      <c r="S887" s="14"/>
      <c r="T887" s="1"/>
      <c r="U887" s="15"/>
      <c r="V887" s="1"/>
      <c r="W887" s="15"/>
      <c r="X887" s="16"/>
      <c r="Y887" s="17"/>
    </row>
    <row r="888" spans="14:25" x14ac:dyDescent="0.25">
      <c r="N888" s="61"/>
      <c r="O888" s="61"/>
      <c r="P888" s="62"/>
      <c r="Q888" s="13"/>
      <c r="R888" s="13"/>
      <c r="S888" s="14"/>
      <c r="T888" s="1"/>
      <c r="U888" s="15"/>
      <c r="V888" s="1"/>
      <c r="W888" s="15"/>
      <c r="X888" s="16"/>
      <c r="Y888" s="17"/>
    </row>
    <row r="889" spans="14:25" x14ac:dyDescent="0.25">
      <c r="N889" s="61"/>
      <c r="O889" s="61"/>
      <c r="P889" s="62"/>
      <c r="Q889" s="13"/>
      <c r="R889" s="13"/>
      <c r="S889" s="14"/>
      <c r="T889" s="1"/>
      <c r="U889" s="15"/>
      <c r="V889" s="1"/>
      <c r="W889" s="15"/>
      <c r="X889" s="16"/>
      <c r="Y889" s="17"/>
    </row>
    <row r="890" spans="14:25" x14ac:dyDescent="0.25">
      <c r="N890" s="61"/>
      <c r="O890" s="61"/>
      <c r="P890" s="62"/>
      <c r="Q890" s="13"/>
      <c r="R890" s="13"/>
      <c r="S890" s="14"/>
      <c r="T890" s="1"/>
      <c r="U890" s="15"/>
      <c r="V890" s="1"/>
      <c r="W890" s="15"/>
      <c r="X890" s="16"/>
      <c r="Y890" s="17"/>
    </row>
    <row r="891" spans="14:25" x14ac:dyDescent="0.25">
      <c r="N891" s="61"/>
      <c r="O891" s="61"/>
      <c r="P891" s="62"/>
      <c r="Q891" s="13"/>
      <c r="R891" s="13"/>
      <c r="S891" s="14"/>
      <c r="T891" s="1"/>
      <c r="U891" s="15"/>
      <c r="V891" s="1"/>
      <c r="W891" s="15"/>
      <c r="X891" s="16"/>
      <c r="Y891" s="17"/>
    </row>
    <row r="892" spans="14:25" x14ac:dyDescent="0.25">
      <c r="N892" s="61"/>
      <c r="O892" s="61"/>
      <c r="P892" s="62"/>
      <c r="Q892" s="13"/>
      <c r="R892" s="13"/>
      <c r="S892" s="14"/>
      <c r="T892" s="1"/>
      <c r="U892" s="15"/>
      <c r="V892" s="1"/>
      <c r="W892" s="15"/>
      <c r="X892" s="16"/>
      <c r="Y892" s="17"/>
    </row>
    <row r="893" spans="14:25" x14ac:dyDescent="0.25">
      <c r="N893" s="61"/>
      <c r="O893" s="61"/>
      <c r="P893" s="62"/>
      <c r="Q893" s="13"/>
      <c r="R893" s="13"/>
      <c r="S893" s="14"/>
      <c r="T893" s="1"/>
      <c r="U893" s="15"/>
      <c r="V893" s="1"/>
      <c r="W893" s="15"/>
      <c r="X893" s="16"/>
      <c r="Y893" s="17"/>
    </row>
    <row r="894" spans="14:25" x14ac:dyDescent="0.25">
      <c r="N894" s="61"/>
      <c r="O894" s="61"/>
      <c r="P894" s="62"/>
      <c r="Q894" s="13"/>
      <c r="R894" s="13"/>
      <c r="S894" s="14"/>
      <c r="T894" s="1"/>
      <c r="U894" s="15"/>
      <c r="V894" s="1"/>
      <c r="W894" s="15"/>
      <c r="X894" s="16"/>
      <c r="Y894" s="17"/>
    </row>
    <row r="895" spans="14:25" x14ac:dyDescent="0.25">
      <c r="N895" s="61"/>
      <c r="O895" s="61"/>
      <c r="P895" s="62"/>
      <c r="Q895" s="13"/>
      <c r="R895" s="13"/>
      <c r="S895" s="14"/>
      <c r="T895" s="1"/>
      <c r="U895" s="15"/>
      <c r="V895" s="1"/>
      <c r="W895" s="15"/>
      <c r="X895" s="16"/>
      <c r="Y895" s="17"/>
    </row>
    <row r="896" spans="14:25" x14ac:dyDescent="0.25">
      <c r="N896" s="61"/>
      <c r="O896" s="61"/>
      <c r="P896" s="62"/>
      <c r="Q896" s="13"/>
      <c r="R896" s="13"/>
      <c r="S896" s="14"/>
      <c r="T896" s="1"/>
      <c r="U896" s="15"/>
      <c r="V896" s="1"/>
      <c r="W896" s="15"/>
      <c r="X896" s="16"/>
      <c r="Y896" s="17"/>
    </row>
    <row r="897" spans="14:25" x14ac:dyDescent="0.25">
      <c r="N897" s="61"/>
      <c r="O897" s="61"/>
      <c r="P897" s="62"/>
      <c r="Q897" s="13"/>
      <c r="R897" s="13"/>
      <c r="S897" s="14"/>
      <c r="T897" s="1"/>
      <c r="U897" s="15"/>
      <c r="V897" s="1"/>
      <c r="W897" s="15"/>
      <c r="X897" s="16"/>
      <c r="Y897" s="17"/>
    </row>
    <row r="898" spans="14:25" x14ac:dyDescent="0.25">
      <c r="N898" s="61"/>
      <c r="O898" s="61"/>
      <c r="P898" s="62"/>
      <c r="Q898" s="13"/>
      <c r="R898" s="13"/>
      <c r="S898" s="14"/>
      <c r="T898" s="1"/>
      <c r="U898" s="15"/>
      <c r="V898" s="1"/>
      <c r="W898" s="15"/>
      <c r="X898" s="16"/>
      <c r="Y898" s="17"/>
    </row>
    <row r="899" spans="14:25" x14ac:dyDescent="0.25">
      <c r="N899" s="61"/>
      <c r="O899" s="61"/>
      <c r="P899" s="62"/>
      <c r="Q899" s="13"/>
      <c r="R899" s="13"/>
      <c r="S899" s="14"/>
      <c r="T899" s="1"/>
      <c r="U899" s="15"/>
      <c r="V899" s="1"/>
      <c r="W899" s="15"/>
      <c r="X899" s="16"/>
      <c r="Y899" s="17"/>
    </row>
    <row r="900" spans="14:25" x14ac:dyDescent="0.25">
      <c r="N900" s="61"/>
      <c r="O900" s="61"/>
      <c r="P900" s="62"/>
      <c r="Q900" s="13"/>
      <c r="R900" s="13"/>
      <c r="S900" s="14"/>
      <c r="T900" s="1"/>
      <c r="U900" s="15"/>
      <c r="V900" s="1"/>
      <c r="W900" s="15"/>
      <c r="X900" s="16"/>
      <c r="Y900" s="17"/>
    </row>
    <row r="901" spans="14:25" x14ac:dyDescent="0.25">
      <c r="N901" s="61"/>
      <c r="O901" s="61"/>
      <c r="P901" s="62"/>
      <c r="Q901" s="13"/>
      <c r="R901" s="13"/>
      <c r="S901" s="14"/>
      <c r="T901" s="1"/>
      <c r="U901" s="15"/>
      <c r="V901" s="1"/>
      <c r="W901" s="15"/>
      <c r="X901" s="16"/>
      <c r="Y901" s="17"/>
    </row>
    <row r="902" spans="14:25" x14ac:dyDescent="0.25">
      <c r="N902" s="61"/>
      <c r="O902" s="61"/>
      <c r="P902" s="62"/>
      <c r="Q902" s="13"/>
      <c r="R902" s="13"/>
      <c r="S902" s="14"/>
      <c r="T902" s="1"/>
      <c r="U902" s="15"/>
      <c r="V902" s="1"/>
      <c r="W902" s="15"/>
      <c r="X902" s="16"/>
      <c r="Y902" s="17"/>
    </row>
    <row r="903" spans="14:25" x14ac:dyDescent="0.25">
      <c r="N903" s="61"/>
      <c r="O903" s="61"/>
      <c r="P903" s="62"/>
      <c r="Q903" s="13"/>
      <c r="R903" s="13"/>
      <c r="S903" s="14"/>
      <c r="T903" s="1"/>
      <c r="U903" s="15"/>
      <c r="V903" s="1"/>
      <c r="W903" s="15"/>
      <c r="X903" s="16"/>
      <c r="Y903" s="17"/>
    </row>
    <row r="904" spans="14:25" x14ac:dyDescent="0.25">
      <c r="N904" s="61"/>
      <c r="O904" s="61"/>
      <c r="P904" s="62"/>
      <c r="Q904" s="13"/>
      <c r="R904" s="13"/>
      <c r="S904" s="14"/>
      <c r="T904" s="1"/>
      <c r="U904" s="15"/>
      <c r="V904" s="1"/>
      <c r="W904" s="15"/>
      <c r="X904" s="16"/>
      <c r="Y904" s="17"/>
    </row>
    <row r="905" spans="14:25" x14ac:dyDescent="0.25">
      <c r="N905" s="61"/>
      <c r="O905" s="61"/>
      <c r="P905" s="62"/>
      <c r="Q905" s="13"/>
      <c r="R905" s="13"/>
      <c r="S905" s="14"/>
      <c r="T905" s="1"/>
      <c r="U905" s="15"/>
      <c r="V905" s="1"/>
      <c r="W905" s="15"/>
      <c r="X905" s="16"/>
      <c r="Y905" s="17"/>
    </row>
    <row r="906" spans="14:25" x14ac:dyDescent="0.25">
      <c r="N906" s="61"/>
      <c r="O906" s="61"/>
      <c r="P906" s="62"/>
      <c r="Q906" s="13"/>
      <c r="R906" s="13"/>
      <c r="S906" s="14"/>
      <c r="T906" s="1"/>
      <c r="U906" s="15"/>
      <c r="V906" s="1"/>
      <c r="W906" s="15"/>
      <c r="X906" s="16"/>
      <c r="Y906" s="17"/>
    </row>
    <row r="907" spans="14:25" x14ac:dyDescent="0.25">
      <c r="N907" s="61"/>
      <c r="O907" s="61"/>
      <c r="P907" s="62"/>
      <c r="Q907" s="13"/>
      <c r="R907" s="13"/>
      <c r="S907" s="14"/>
      <c r="T907" s="1"/>
      <c r="U907" s="15"/>
      <c r="V907" s="1"/>
      <c r="W907" s="15"/>
      <c r="X907" s="16"/>
      <c r="Y907" s="17"/>
    </row>
    <row r="908" spans="14:25" x14ac:dyDescent="0.25">
      <c r="N908" s="61"/>
      <c r="O908" s="61"/>
      <c r="P908" s="62"/>
      <c r="Q908" s="13"/>
      <c r="R908" s="13"/>
      <c r="S908" s="14"/>
      <c r="T908" s="1"/>
      <c r="U908" s="15"/>
      <c r="V908" s="1"/>
      <c r="W908" s="15"/>
      <c r="X908" s="16"/>
      <c r="Y908" s="17"/>
    </row>
    <row r="909" spans="14:25" x14ac:dyDescent="0.25">
      <c r="N909" s="61"/>
      <c r="O909" s="61"/>
      <c r="P909" s="62"/>
      <c r="Q909" s="13"/>
      <c r="R909" s="13"/>
      <c r="S909" s="14"/>
      <c r="T909" s="1"/>
      <c r="U909" s="15"/>
      <c r="V909" s="1"/>
      <c r="W909" s="15"/>
      <c r="X909" s="16"/>
      <c r="Y909" s="17"/>
    </row>
    <row r="910" spans="14:25" x14ac:dyDescent="0.25">
      <c r="N910" s="61"/>
      <c r="O910" s="61"/>
      <c r="P910" s="62"/>
      <c r="Q910" s="13"/>
      <c r="R910" s="13"/>
      <c r="S910" s="14"/>
      <c r="T910" s="1"/>
      <c r="U910" s="15"/>
      <c r="V910" s="1"/>
      <c r="W910" s="15"/>
      <c r="X910" s="16"/>
      <c r="Y910" s="17"/>
    </row>
    <row r="911" spans="14:25" x14ac:dyDescent="0.25">
      <c r="N911" s="61"/>
      <c r="O911" s="61"/>
      <c r="P911" s="62"/>
      <c r="Q911" s="13"/>
      <c r="R911" s="13"/>
      <c r="S911" s="14"/>
      <c r="T911" s="1"/>
      <c r="U911" s="15"/>
      <c r="V911" s="1"/>
      <c r="W911" s="15"/>
      <c r="X911" s="16"/>
      <c r="Y911" s="17"/>
    </row>
    <row r="912" spans="14:25" x14ac:dyDescent="0.25">
      <c r="N912" s="61"/>
      <c r="O912" s="61"/>
      <c r="P912" s="62"/>
      <c r="Q912" s="13"/>
      <c r="R912" s="13"/>
      <c r="S912" s="14"/>
      <c r="T912" s="1"/>
      <c r="U912" s="15"/>
      <c r="V912" s="1"/>
      <c r="W912" s="15"/>
      <c r="X912" s="16"/>
      <c r="Y912" s="17"/>
    </row>
    <row r="913" spans="14:25" x14ac:dyDescent="0.25">
      <c r="N913" s="61"/>
      <c r="O913" s="61"/>
      <c r="P913" s="62"/>
      <c r="Q913" s="13"/>
      <c r="R913" s="13"/>
      <c r="S913" s="14"/>
      <c r="T913" s="1"/>
      <c r="U913" s="15"/>
      <c r="V913" s="1"/>
      <c r="W913" s="15"/>
      <c r="X913" s="16"/>
      <c r="Y913" s="17"/>
    </row>
    <row r="914" spans="14:25" x14ac:dyDescent="0.25">
      <c r="N914" s="61"/>
      <c r="O914" s="61"/>
      <c r="P914" s="62"/>
      <c r="Q914" s="13"/>
      <c r="R914" s="13"/>
      <c r="S914" s="14"/>
      <c r="T914" s="1"/>
      <c r="U914" s="15"/>
      <c r="V914" s="1"/>
      <c r="W914" s="15"/>
      <c r="X914" s="16"/>
      <c r="Y914" s="17"/>
    </row>
    <row r="915" spans="14:25" x14ac:dyDescent="0.25">
      <c r="N915" s="61"/>
      <c r="O915" s="61"/>
      <c r="P915" s="62"/>
      <c r="Q915" s="13"/>
      <c r="R915" s="13"/>
      <c r="S915" s="14"/>
      <c r="T915" s="1"/>
      <c r="U915" s="15"/>
      <c r="V915" s="1"/>
      <c r="W915" s="15"/>
      <c r="X915" s="16"/>
      <c r="Y915" s="17"/>
    </row>
    <row r="916" spans="14:25" x14ac:dyDescent="0.25">
      <c r="N916" s="61"/>
      <c r="O916" s="61"/>
      <c r="P916" s="62"/>
      <c r="Q916" s="13"/>
      <c r="R916" s="13"/>
      <c r="S916" s="14"/>
      <c r="T916" s="1"/>
      <c r="U916" s="15"/>
      <c r="V916" s="1"/>
      <c r="W916" s="15"/>
      <c r="X916" s="16"/>
      <c r="Y916" s="17"/>
    </row>
    <row r="917" spans="14:25" x14ac:dyDescent="0.25">
      <c r="N917" s="61"/>
      <c r="O917" s="61"/>
      <c r="P917" s="62"/>
      <c r="Q917" s="13"/>
      <c r="R917" s="13"/>
      <c r="S917" s="14"/>
      <c r="T917" s="1"/>
      <c r="U917" s="15"/>
      <c r="V917" s="1"/>
      <c r="W917" s="15"/>
      <c r="X917" s="16"/>
      <c r="Y917" s="17"/>
    </row>
    <row r="918" spans="14:25" x14ac:dyDescent="0.25">
      <c r="N918" s="61"/>
      <c r="O918" s="61"/>
      <c r="P918" s="62"/>
      <c r="Q918" s="13"/>
      <c r="R918" s="13"/>
      <c r="S918" s="14"/>
      <c r="T918" s="1"/>
      <c r="U918" s="15"/>
      <c r="V918" s="1"/>
      <c r="W918" s="15"/>
      <c r="X918" s="16"/>
      <c r="Y918" s="17"/>
    </row>
    <row r="919" spans="14:25" x14ac:dyDescent="0.25">
      <c r="N919" s="61"/>
      <c r="O919" s="61"/>
      <c r="P919" s="62"/>
      <c r="Q919" s="13"/>
      <c r="R919" s="13"/>
      <c r="S919" s="14"/>
      <c r="T919" s="1"/>
      <c r="U919" s="15"/>
      <c r="V919" s="1"/>
      <c r="W919" s="15"/>
      <c r="X919" s="16"/>
      <c r="Y919" s="17"/>
    </row>
    <row r="920" spans="14:25" x14ac:dyDescent="0.25">
      <c r="N920" s="61"/>
      <c r="O920" s="61"/>
      <c r="P920" s="62"/>
      <c r="Q920" s="13"/>
      <c r="R920" s="13"/>
      <c r="S920" s="14"/>
      <c r="T920" s="1"/>
      <c r="U920" s="15"/>
      <c r="V920" s="1"/>
      <c r="W920" s="15"/>
      <c r="X920" s="16"/>
      <c r="Y920" s="17"/>
    </row>
    <row r="921" spans="14:25" x14ac:dyDescent="0.25">
      <c r="N921" s="61"/>
      <c r="O921" s="61"/>
      <c r="P921" s="62"/>
      <c r="Q921" s="13"/>
      <c r="R921" s="13"/>
      <c r="S921" s="14"/>
      <c r="T921" s="1"/>
      <c r="U921" s="15"/>
      <c r="V921" s="1"/>
      <c r="W921" s="15"/>
      <c r="X921" s="16"/>
      <c r="Y921" s="17"/>
    </row>
    <row r="922" spans="14:25" x14ac:dyDescent="0.25">
      <c r="N922" s="61"/>
      <c r="O922" s="61"/>
      <c r="P922" s="62"/>
      <c r="Q922" s="13"/>
      <c r="R922" s="13"/>
      <c r="S922" s="14"/>
      <c r="T922" s="1"/>
      <c r="U922" s="15"/>
      <c r="V922" s="1"/>
      <c r="W922" s="15"/>
      <c r="X922" s="16"/>
      <c r="Y922" s="17"/>
    </row>
    <row r="923" spans="14:25" x14ac:dyDescent="0.25">
      <c r="N923" s="61"/>
      <c r="O923" s="61"/>
      <c r="P923" s="62"/>
      <c r="Q923" s="13"/>
      <c r="R923" s="13"/>
      <c r="S923" s="14"/>
      <c r="T923" s="1"/>
      <c r="U923" s="15"/>
      <c r="V923" s="1"/>
      <c r="W923" s="15"/>
      <c r="X923" s="16"/>
      <c r="Y923" s="17"/>
    </row>
    <row r="924" spans="14:25" x14ac:dyDescent="0.25">
      <c r="N924" s="61"/>
      <c r="O924" s="61"/>
      <c r="P924" s="62"/>
      <c r="Q924" s="13"/>
      <c r="R924" s="13"/>
      <c r="S924" s="14"/>
      <c r="T924" s="1"/>
      <c r="U924" s="15"/>
      <c r="V924" s="1"/>
      <c r="W924" s="15"/>
      <c r="X924" s="16"/>
      <c r="Y924" s="17"/>
    </row>
    <row r="925" spans="14:25" x14ac:dyDescent="0.25">
      <c r="N925" s="61"/>
      <c r="O925" s="61"/>
      <c r="P925" s="62"/>
      <c r="Q925" s="13"/>
      <c r="R925" s="13"/>
      <c r="S925" s="14"/>
      <c r="T925" s="1"/>
      <c r="U925" s="15"/>
      <c r="V925" s="1"/>
      <c r="W925" s="15"/>
      <c r="X925" s="16"/>
      <c r="Y925" s="17"/>
    </row>
    <row r="926" spans="14:25" x14ac:dyDescent="0.25">
      <c r="N926" s="61"/>
      <c r="O926" s="61"/>
      <c r="P926" s="62"/>
      <c r="Q926" s="13"/>
      <c r="R926" s="13"/>
      <c r="S926" s="14"/>
      <c r="T926" s="1"/>
      <c r="U926" s="15"/>
      <c r="V926" s="1"/>
      <c r="W926" s="15"/>
      <c r="X926" s="16"/>
      <c r="Y926" s="17"/>
    </row>
    <row r="927" spans="14:25" x14ac:dyDescent="0.25">
      <c r="N927" s="61"/>
      <c r="O927" s="61"/>
      <c r="P927" s="62"/>
      <c r="Q927" s="13"/>
      <c r="R927" s="13"/>
      <c r="S927" s="14"/>
      <c r="T927" s="1"/>
      <c r="U927" s="15"/>
      <c r="V927" s="1"/>
      <c r="W927" s="15"/>
      <c r="X927" s="16"/>
      <c r="Y927" s="17"/>
    </row>
    <row r="928" spans="14:25" x14ac:dyDescent="0.25">
      <c r="N928" s="61"/>
      <c r="O928" s="61"/>
      <c r="P928" s="62"/>
      <c r="Q928" s="13"/>
      <c r="R928" s="13"/>
      <c r="S928" s="14"/>
      <c r="T928" s="1"/>
      <c r="U928" s="15"/>
      <c r="V928" s="1"/>
      <c r="W928" s="15"/>
      <c r="X928" s="16"/>
      <c r="Y928" s="17"/>
    </row>
    <row r="929" spans="14:25" x14ac:dyDescent="0.25">
      <c r="N929" s="61"/>
      <c r="O929" s="61"/>
      <c r="P929" s="62"/>
      <c r="Q929" s="13"/>
      <c r="R929" s="13"/>
      <c r="S929" s="14"/>
      <c r="T929" s="1"/>
      <c r="U929" s="15"/>
      <c r="V929" s="1"/>
      <c r="W929" s="15"/>
      <c r="X929" s="16"/>
      <c r="Y929" s="17"/>
    </row>
    <row r="930" spans="14:25" x14ac:dyDescent="0.25">
      <c r="N930" s="61"/>
      <c r="O930" s="61"/>
      <c r="P930" s="62"/>
      <c r="Q930" s="13"/>
      <c r="R930" s="13"/>
      <c r="S930" s="14"/>
      <c r="T930" s="1"/>
      <c r="U930" s="15"/>
      <c r="V930" s="1"/>
      <c r="W930" s="15"/>
      <c r="X930" s="16"/>
      <c r="Y930" s="17"/>
    </row>
    <row r="931" spans="14:25" x14ac:dyDescent="0.25">
      <c r="N931" s="61"/>
      <c r="O931" s="61"/>
      <c r="P931" s="62"/>
      <c r="Q931" s="13"/>
      <c r="R931" s="13"/>
      <c r="S931" s="14"/>
      <c r="T931" s="1"/>
      <c r="U931" s="15"/>
      <c r="V931" s="1"/>
      <c r="W931" s="15"/>
      <c r="X931" s="16"/>
      <c r="Y931" s="17"/>
    </row>
    <row r="932" spans="14:25" x14ac:dyDescent="0.25">
      <c r="N932" s="61"/>
      <c r="O932" s="61"/>
      <c r="P932" s="62"/>
      <c r="Q932" s="13"/>
      <c r="R932" s="13"/>
      <c r="S932" s="14"/>
      <c r="T932" s="1"/>
      <c r="U932" s="15"/>
      <c r="V932" s="1"/>
      <c r="W932" s="15"/>
      <c r="X932" s="16"/>
      <c r="Y932" s="17"/>
    </row>
    <row r="933" spans="14:25" x14ac:dyDescent="0.25">
      <c r="N933" s="61"/>
      <c r="O933" s="61"/>
      <c r="P933" s="62"/>
      <c r="Q933" s="13"/>
      <c r="R933" s="13"/>
      <c r="S933" s="14"/>
      <c r="T933" s="1"/>
      <c r="U933" s="15"/>
      <c r="V933" s="1"/>
      <c r="W933" s="15"/>
      <c r="X933" s="16"/>
      <c r="Y933" s="17"/>
    </row>
    <row r="934" spans="14:25" x14ac:dyDescent="0.25">
      <c r="N934" s="61"/>
      <c r="O934" s="61"/>
      <c r="P934" s="62"/>
      <c r="Q934" s="13"/>
      <c r="R934" s="13"/>
      <c r="S934" s="14"/>
      <c r="T934" s="1"/>
      <c r="U934" s="15"/>
      <c r="V934" s="1"/>
      <c r="W934" s="15"/>
      <c r="X934" s="16"/>
      <c r="Y934" s="17"/>
    </row>
    <row r="935" spans="14:25" x14ac:dyDescent="0.25">
      <c r="N935" s="61"/>
      <c r="O935" s="61"/>
      <c r="P935" s="62"/>
      <c r="Q935" s="13"/>
      <c r="R935" s="13"/>
      <c r="S935" s="14"/>
      <c r="T935" s="1"/>
      <c r="U935" s="15"/>
      <c r="V935" s="1"/>
      <c r="W935" s="15"/>
      <c r="X935" s="16"/>
      <c r="Y935" s="17"/>
    </row>
    <row r="936" spans="14:25" x14ac:dyDescent="0.25">
      <c r="N936" s="61"/>
      <c r="O936" s="61"/>
      <c r="P936" s="62"/>
      <c r="Q936" s="13"/>
      <c r="R936" s="13"/>
      <c r="S936" s="14"/>
      <c r="T936" s="1"/>
      <c r="U936" s="15"/>
      <c r="V936" s="1"/>
      <c r="W936" s="15"/>
      <c r="X936" s="16"/>
      <c r="Y936" s="17"/>
    </row>
    <row r="937" spans="14:25" x14ac:dyDescent="0.25">
      <c r="N937" s="61"/>
      <c r="O937" s="61"/>
      <c r="P937" s="62"/>
      <c r="Q937" s="13"/>
      <c r="R937" s="13"/>
      <c r="S937" s="14"/>
      <c r="T937" s="1"/>
      <c r="U937" s="15"/>
      <c r="V937" s="1"/>
      <c r="W937" s="15"/>
      <c r="X937" s="16"/>
      <c r="Y937" s="17"/>
    </row>
    <row r="938" spans="14:25" x14ac:dyDescent="0.25">
      <c r="N938" s="61"/>
      <c r="O938" s="61"/>
      <c r="P938" s="62"/>
      <c r="Q938" s="13"/>
      <c r="R938" s="13"/>
      <c r="S938" s="14"/>
      <c r="T938" s="1"/>
      <c r="U938" s="15"/>
      <c r="V938" s="1"/>
      <c r="W938" s="15"/>
      <c r="X938" s="16"/>
      <c r="Y938" s="17"/>
    </row>
    <row r="939" spans="14:25" x14ac:dyDescent="0.25">
      <c r="N939" s="61"/>
      <c r="O939" s="61"/>
      <c r="P939" s="62"/>
      <c r="Q939" s="13"/>
      <c r="R939" s="13"/>
      <c r="S939" s="14"/>
      <c r="T939" s="1"/>
      <c r="U939" s="15"/>
      <c r="V939" s="1"/>
      <c r="W939" s="15"/>
      <c r="X939" s="16"/>
      <c r="Y939" s="17"/>
    </row>
    <row r="940" spans="14:25" x14ac:dyDescent="0.25">
      <c r="N940" s="61"/>
      <c r="O940" s="61"/>
      <c r="P940" s="62"/>
      <c r="Q940" s="13"/>
      <c r="R940" s="13"/>
      <c r="S940" s="14"/>
      <c r="T940" s="1"/>
      <c r="U940" s="15"/>
      <c r="V940" s="1"/>
      <c r="W940" s="15"/>
      <c r="X940" s="16"/>
      <c r="Y940" s="17"/>
    </row>
    <row r="941" spans="14:25" x14ac:dyDescent="0.25">
      <c r="N941" s="61"/>
      <c r="O941" s="61"/>
      <c r="P941" s="62"/>
      <c r="Q941" s="13"/>
      <c r="R941" s="13"/>
      <c r="S941" s="14"/>
      <c r="T941" s="1"/>
      <c r="U941" s="15"/>
      <c r="V941" s="1"/>
      <c r="W941" s="15"/>
      <c r="X941" s="16"/>
      <c r="Y941" s="17"/>
    </row>
    <row r="942" spans="14:25" x14ac:dyDescent="0.25">
      <c r="N942" s="61"/>
      <c r="O942" s="61"/>
      <c r="P942" s="62"/>
      <c r="Q942" s="13"/>
      <c r="R942" s="13"/>
      <c r="S942" s="14"/>
      <c r="T942" s="1"/>
      <c r="U942" s="15"/>
      <c r="V942" s="1"/>
      <c r="W942" s="15"/>
      <c r="X942" s="16"/>
      <c r="Y942" s="17"/>
    </row>
    <row r="943" spans="14:25" x14ac:dyDescent="0.25">
      <c r="N943" s="61"/>
      <c r="O943" s="61"/>
      <c r="P943" s="62"/>
      <c r="Q943" s="13"/>
      <c r="R943" s="13"/>
      <c r="S943" s="14"/>
      <c r="T943" s="1"/>
      <c r="U943" s="15"/>
      <c r="V943" s="1"/>
      <c r="W943" s="15"/>
      <c r="X943" s="16"/>
      <c r="Y943" s="17"/>
    </row>
    <row r="944" spans="14:25" x14ac:dyDescent="0.25">
      <c r="N944" s="61"/>
      <c r="O944" s="61"/>
      <c r="P944" s="62"/>
      <c r="Q944" s="13"/>
      <c r="R944" s="13"/>
      <c r="S944" s="14"/>
      <c r="T944" s="1"/>
      <c r="U944" s="15"/>
      <c r="V944" s="1"/>
      <c r="W944" s="15"/>
      <c r="X944" s="16"/>
      <c r="Y944" s="17"/>
    </row>
    <row r="945" spans="14:25" x14ac:dyDescent="0.25">
      <c r="N945" s="61"/>
      <c r="O945" s="61"/>
      <c r="P945" s="62"/>
      <c r="Q945" s="13"/>
      <c r="R945" s="13"/>
      <c r="S945" s="14"/>
      <c r="T945" s="1"/>
      <c r="U945" s="15"/>
      <c r="V945" s="1"/>
      <c r="W945" s="15"/>
      <c r="X945" s="16"/>
      <c r="Y945" s="17"/>
    </row>
    <row r="946" spans="14:25" x14ac:dyDescent="0.25">
      <c r="N946" s="61"/>
      <c r="O946" s="61"/>
      <c r="P946" s="62"/>
      <c r="Q946" s="13"/>
      <c r="R946" s="13"/>
      <c r="S946" s="14"/>
      <c r="T946" s="1"/>
      <c r="U946" s="15"/>
      <c r="V946" s="1"/>
      <c r="W946" s="15"/>
      <c r="X946" s="16"/>
      <c r="Y946" s="17"/>
    </row>
    <row r="947" spans="14:25" x14ac:dyDescent="0.25">
      <c r="N947" s="61"/>
      <c r="O947" s="61"/>
      <c r="P947" s="62"/>
      <c r="Q947" s="13"/>
      <c r="R947" s="13"/>
      <c r="S947" s="14"/>
      <c r="T947" s="1"/>
      <c r="U947" s="15"/>
      <c r="V947" s="1"/>
      <c r="W947" s="15"/>
      <c r="X947" s="16"/>
      <c r="Y947" s="17"/>
    </row>
    <row r="948" spans="14:25" x14ac:dyDescent="0.25">
      <c r="N948" s="61"/>
      <c r="O948" s="61"/>
      <c r="P948" s="62"/>
      <c r="Q948" s="13"/>
      <c r="R948" s="13"/>
      <c r="S948" s="14"/>
      <c r="T948" s="1"/>
      <c r="U948" s="15"/>
      <c r="V948" s="1"/>
      <c r="W948" s="15"/>
      <c r="X948" s="16"/>
      <c r="Y948" s="17"/>
    </row>
    <row r="949" spans="14:25" x14ac:dyDescent="0.25">
      <c r="N949" s="61"/>
      <c r="O949" s="61"/>
      <c r="P949" s="62"/>
      <c r="Q949" s="13"/>
      <c r="R949" s="13"/>
      <c r="S949" s="14"/>
      <c r="T949" s="1"/>
      <c r="U949" s="15"/>
      <c r="V949" s="1"/>
      <c r="W949" s="15"/>
      <c r="X949" s="16"/>
      <c r="Y949" s="17"/>
    </row>
    <row r="950" spans="14:25" x14ac:dyDescent="0.25">
      <c r="N950" s="61"/>
      <c r="O950" s="61"/>
      <c r="P950" s="62"/>
      <c r="Q950" s="13"/>
      <c r="R950" s="13"/>
      <c r="S950" s="14"/>
      <c r="T950" s="1"/>
      <c r="U950" s="15"/>
      <c r="V950" s="1"/>
      <c r="W950" s="15"/>
      <c r="X950" s="16"/>
      <c r="Y950" s="17"/>
    </row>
    <row r="951" spans="14:25" x14ac:dyDescent="0.25">
      <c r="N951" s="61"/>
      <c r="O951" s="61"/>
      <c r="P951" s="62"/>
      <c r="Q951" s="13"/>
      <c r="R951" s="13"/>
      <c r="S951" s="14"/>
      <c r="T951" s="1"/>
      <c r="U951" s="15"/>
      <c r="V951" s="1"/>
      <c r="W951" s="15"/>
      <c r="X951" s="16"/>
      <c r="Y951" s="17"/>
    </row>
    <row r="952" spans="14:25" x14ac:dyDescent="0.25">
      <c r="N952" s="61"/>
      <c r="O952" s="61"/>
      <c r="P952" s="62"/>
      <c r="Q952" s="13"/>
      <c r="R952" s="13"/>
      <c r="S952" s="14"/>
      <c r="T952" s="1"/>
      <c r="U952" s="15"/>
      <c r="V952" s="1"/>
      <c r="W952" s="15"/>
      <c r="X952" s="16"/>
      <c r="Y952" s="17"/>
    </row>
    <row r="953" spans="14:25" x14ac:dyDescent="0.25">
      <c r="N953" s="61"/>
      <c r="O953" s="61"/>
      <c r="P953" s="62"/>
      <c r="Q953" s="13"/>
      <c r="R953" s="13"/>
      <c r="S953" s="14"/>
      <c r="T953" s="1"/>
      <c r="U953" s="15"/>
      <c r="V953" s="1"/>
      <c r="W953" s="15"/>
      <c r="X953" s="16"/>
      <c r="Y953" s="17"/>
    </row>
    <row r="954" spans="14:25" x14ac:dyDescent="0.25">
      <c r="N954" s="61"/>
      <c r="O954" s="61"/>
      <c r="P954" s="62"/>
      <c r="Q954" s="13"/>
      <c r="R954" s="13"/>
      <c r="S954" s="14"/>
      <c r="T954" s="1"/>
      <c r="U954" s="15"/>
      <c r="V954" s="1"/>
      <c r="W954" s="15"/>
      <c r="X954" s="16"/>
      <c r="Y954" s="17"/>
    </row>
    <row r="955" spans="14:25" x14ac:dyDescent="0.25">
      <c r="N955" s="61"/>
      <c r="O955" s="61"/>
      <c r="P955" s="62"/>
      <c r="Q955" s="13"/>
      <c r="R955" s="13"/>
      <c r="S955" s="14"/>
      <c r="T955" s="1"/>
      <c r="U955" s="15"/>
      <c r="V955" s="1"/>
      <c r="W955" s="15"/>
      <c r="X955" s="16"/>
      <c r="Y955" s="17"/>
    </row>
    <row r="956" spans="14:25" x14ac:dyDescent="0.25">
      <c r="N956" s="61"/>
      <c r="O956" s="61"/>
      <c r="P956" s="62"/>
      <c r="Q956" s="13"/>
      <c r="R956" s="13"/>
      <c r="S956" s="14"/>
      <c r="T956" s="1"/>
      <c r="U956" s="15"/>
      <c r="V956" s="1"/>
      <c r="W956" s="15"/>
      <c r="X956" s="16"/>
      <c r="Y956" s="17"/>
    </row>
    <row r="957" spans="14:25" x14ac:dyDescent="0.25">
      <c r="N957" s="61"/>
      <c r="O957" s="61"/>
      <c r="P957" s="62"/>
      <c r="Q957" s="13"/>
      <c r="R957" s="13"/>
      <c r="S957" s="14"/>
      <c r="T957" s="1"/>
      <c r="U957" s="15"/>
      <c r="V957" s="1"/>
      <c r="W957" s="15"/>
      <c r="X957" s="16"/>
      <c r="Y957" s="17"/>
    </row>
    <row r="958" spans="14:25" x14ac:dyDescent="0.25">
      <c r="N958" s="61"/>
      <c r="O958" s="61"/>
      <c r="P958" s="62"/>
      <c r="Q958" s="13"/>
      <c r="R958" s="13"/>
      <c r="S958" s="14"/>
      <c r="T958" s="1"/>
      <c r="U958" s="15"/>
      <c r="V958" s="1"/>
      <c r="W958" s="15"/>
      <c r="X958" s="16"/>
      <c r="Y958" s="17"/>
    </row>
    <row r="959" spans="14:25" x14ac:dyDescent="0.25">
      <c r="N959" s="61"/>
      <c r="O959" s="61"/>
      <c r="P959" s="62"/>
      <c r="Q959" s="13"/>
      <c r="R959" s="13"/>
      <c r="S959" s="14"/>
      <c r="T959" s="1"/>
      <c r="U959" s="15"/>
      <c r="V959" s="1"/>
      <c r="W959" s="15"/>
      <c r="X959" s="16"/>
      <c r="Y959" s="17"/>
    </row>
    <row r="960" spans="14:25" x14ac:dyDescent="0.25">
      <c r="N960" s="61"/>
      <c r="O960" s="61"/>
      <c r="P960" s="62"/>
      <c r="Q960" s="13"/>
      <c r="R960" s="13"/>
      <c r="S960" s="14"/>
      <c r="T960" s="1"/>
      <c r="U960" s="15"/>
      <c r="V960" s="1"/>
      <c r="W960" s="15"/>
      <c r="X960" s="16"/>
      <c r="Y960" s="17"/>
    </row>
    <row r="961" spans="14:25" x14ac:dyDescent="0.25">
      <c r="N961" s="61"/>
      <c r="O961" s="61"/>
      <c r="P961" s="62"/>
      <c r="Q961" s="13"/>
      <c r="R961" s="13"/>
      <c r="S961" s="14"/>
      <c r="T961" s="1"/>
      <c r="U961" s="15"/>
      <c r="V961" s="1"/>
      <c r="W961" s="15"/>
      <c r="X961" s="16"/>
      <c r="Y961" s="17"/>
    </row>
    <row r="962" spans="14:25" x14ac:dyDescent="0.25">
      <c r="N962" s="61"/>
      <c r="O962" s="61"/>
      <c r="P962" s="62"/>
      <c r="Q962" s="13"/>
      <c r="R962" s="13"/>
      <c r="S962" s="14"/>
      <c r="T962" s="1"/>
      <c r="U962" s="15"/>
      <c r="V962" s="1"/>
      <c r="W962" s="15"/>
      <c r="X962" s="16"/>
      <c r="Y962" s="17"/>
    </row>
    <row r="963" spans="14:25" x14ac:dyDescent="0.25">
      <c r="N963" s="61"/>
      <c r="O963" s="61"/>
      <c r="P963" s="62"/>
      <c r="Q963" s="13"/>
      <c r="R963" s="13"/>
      <c r="S963" s="14"/>
      <c r="T963" s="1"/>
      <c r="U963" s="15"/>
      <c r="V963" s="1"/>
      <c r="W963" s="15"/>
      <c r="X963" s="16"/>
      <c r="Y963" s="17"/>
    </row>
    <row r="964" spans="14:25" x14ac:dyDescent="0.25">
      <c r="N964" s="61"/>
      <c r="O964" s="61"/>
      <c r="P964" s="62"/>
      <c r="Q964" s="13"/>
      <c r="R964" s="13"/>
      <c r="S964" s="14"/>
      <c r="T964" s="1"/>
      <c r="U964" s="15"/>
      <c r="V964" s="1"/>
      <c r="W964" s="15"/>
      <c r="X964" s="16"/>
      <c r="Y964" s="17"/>
    </row>
    <row r="965" spans="14:25" x14ac:dyDescent="0.25">
      <c r="N965" s="61"/>
      <c r="O965" s="61"/>
      <c r="P965" s="62"/>
      <c r="Q965" s="13"/>
      <c r="R965" s="13"/>
      <c r="S965" s="14"/>
      <c r="T965" s="1"/>
      <c r="U965" s="15"/>
      <c r="V965" s="1"/>
      <c r="W965" s="15"/>
      <c r="X965" s="16"/>
      <c r="Y965" s="17"/>
    </row>
    <row r="966" spans="14:25" x14ac:dyDescent="0.25">
      <c r="N966" s="61"/>
      <c r="O966" s="61"/>
      <c r="P966" s="62"/>
      <c r="Q966" s="13"/>
      <c r="R966" s="13"/>
      <c r="S966" s="14"/>
      <c r="T966" s="1"/>
      <c r="U966" s="15"/>
      <c r="V966" s="1"/>
      <c r="W966" s="15"/>
      <c r="X966" s="16"/>
      <c r="Y966" s="17"/>
    </row>
    <row r="967" spans="14:25" x14ac:dyDescent="0.25">
      <c r="N967" s="61"/>
      <c r="O967" s="61"/>
      <c r="P967" s="62"/>
      <c r="Q967" s="13"/>
      <c r="R967" s="13"/>
      <c r="S967" s="14"/>
      <c r="T967" s="1"/>
      <c r="U967" s="15"/>
      <c r="V967" s="1"/>
      <c r="W967" s="15"/>
      <c r="X967" s="16"/>
      <c r="Y967" s="17"/>
    </row>
    <row r="968" spans="14:25" x14ac:dyDescent="0.25">
      <c r="N968" s="61"/>
      <c r="O968" s="61"/>
      <c r="P968" s="62"/>
      <c r="Q968" s="13"/>
      <c r="R968" s="13"/>
      <c r="S968" s="14"/>
      <c r="T968" s="1"/>
      <c r="U968" s="15"/>
      <c r="V968" s="1"/>
      <c r="W968" s="15"/>
      <c r="X968" s="16"/>
      <c r="Y968" s="17"/>
    </row>
    <row r="969" spans="14:25" x14ac:dyDescent="0.25">
      <c r="N969" s="61"/>
      <c r="O969" s="61"/>
      <c r="P969" s="62"/>
      <c r="Q969" s="13"/>
      <c r="R969" s="13"/>
      <c r="S969" s="14"/>
      <c r="T969" s="1"/>
      <c r="U969" s="15"/>
      <c r="V969" s="1"/>
      <c r="W969" s="15"/>
      <c r="X969" s="16"/>
      <c r="Y969" s="17"/>
    </row>
    <row r="970" spans="14:25" x14ac:dyDescent="0.25">
      <c r="N970" s="61"/>
      <c r="O970" s="61"/>
      <c r="P970" s="62"/>
      <c r="Q970" s="13"/>
      <c r="R970" s="13"/>
      <c r="S970" s="14"/>
      <c r="T970" s="1"/>
      <c r="U970" s="15"/>
      <c r="V970" s="1"/>
      <c r="W970" s="15"/>
      <c r="X970" s="16"/>
      <c r="Y970" s="17"/>
    </row>
    <row r="971" spans="14:25" x14ac:dyDescent="0.25">
      <c r="N971" s="61"/>
      <c r="O971" s="61"/>
      <c r="P971" s="62"/>
      <c r="Q971" s="13"/>
      <c r="R971" s="13"/>
      <c r="S971" s="14"/>
      <c r="T971" s="1"/>
      <c r="U971" s="15"/>
      <c r="V971" s="1"/>
      <c r="W971" s="15"/>
      <c r="X971" s="16"/>
      <c r="Y971" s="17"/>
    </row>
    <row r="972" spans="14:25" x14ac:dyDescent="0.25">
      <c r="N972" s="61"/>
      <c r="O972" s="61"/>
      <c r="P972" s="62"/>
      <c r="Q972" s="13"/>
      <c r="R972" s="13"/>
      <c r="S972" s="14"/>
      <c r="T972" s="1"/>
      <c r="U972" s="15"/>
      <c r="V972" s="1"/>
      <c r="W972" s="15"/>
      <c r="X972" s="16"/>
      <c r="Y972" s="17"/>
    </row>
    <row r="973" spans="14:25" x14ac:dyDescent="0.25">
      <c r="N973" s="61"/>
      <c r="O973" s="61"/>
      <c r="P973" s="62"/>
      <c r="Q973" s="13"/>
      <c r="R973" s="13"/>
      <c r="S973" s="14"/>
      <c r="T973" s="1"/>
      <c r="U973" s="15"/>
      <c r="V973" s="1"/>
      <c r="W973" s="15"/>
      <c r="X973" s="16"/>
      <c r="Y973" s="17"/>
    </row>
    <row r="974" spans="14:25" x14ac:dyDescent="0.25">
      <c r="N974" s="61"/>
      <c r="O974" s="61"/>
      <c r="P974" s="62"/>
      <c r="Q974" s="13"/>
      <c r="R974" s="13"/>
      <c r="S974" s="14"/>
      <c r="T974" s="1"/>
      <c r="U974" s="15"/>
      <c r="V974" s="1"/>
      <c r="W974" s="15"/>
      <c r="X974" s="16"/>
      <c r="Y974" s="17"/>
    </row>
    <row r="975" spans="14:25" x14ac:dyDescent="0.25">
      <c r="N975" s="61"/>
      <c r="O975" s="61"/>
      <c r="P975" s="62"/>
      <c r="Q975" s="13"/>
      <c r="R975" s="13"/>
      <c r="S975" s="14"/>
      <c r="T975" s="1"/>
      <c r="U975" s="15"/>
      <c r="V975" s="1"/>
      <c r="W975" s="15"/>
      <c r="X975" s="16"/>
      <c r="Y975" s="17"/>
    </row>
    <row r="976" spans="14:25" x14ac:dyDescent="0.25">
      <c r="N976" s="61"/>
      <c r="O976" s="61"/>
      <c r="P976" s="62"/>
      <c r="Q976" s="13"/>
      <c r="R976" s="13"/>
      <c r="S976" s="14"/>
      <c r="T976" s="1"/>
      <c r="U976" s="15"/>
      <c r="V976" s="1"/>
      <c r="W976" s="15"/>
      <c r="X976" s="16"/>
      <c r="Y976" s="17"/>
    </row>
    <row r="977" spans="14:25" x14ac:dyDescent="0.25">
      <c r="N977" s="61"/>
      <c r="O977" s="61"/>
      <c r="P977" s="62"/>
      <c r="Q977" s="13"/>
      <c r="R977" s="13"/>
      <c r="S977" s="14"/>
      <c r="T977" s="1"/>
      <c r="U977" s="15"/>
      <c r="V977" s="1"/>
      <c r="W977" s="15"/>
      <c r="X977" s="16"/>
      <c r="Y977" s="17"/>
    </row>
    <row r="978" spans="14:25" x14ac:dyDescent="0.25">
      <c r="N978" s="61"/>
      <c r="O978" s="61"/>
      <c r="P978" s="62"/>
      <c r="Q978" s="13"/>
      <c r="R978" s="13"/>
      <c r="S978" s="14"/>
      <c r="T978" s="1"/>
      <c r="U978" s="15"/>
      <c r="V978" s="1"/>
      <c r="W978" s="15"/>
      <c r="X978" s="16"/>
      <c r="Y978" s="17"/>
    </row>
    <row r="979" spans="14:25" x14ac:dyDescent="0.25">
      <c r="N979" s="61"/>
      <c r="O979" s="61"/>
      <c r="P979" s="62"/>
      <c r="Q979" s="13"/>
      <c r="R979" s="13"/>
      <c r="S979" s="14"/>
      <c r="T979" s="1"/>
      <c r="U979" s="15"/>
      <c r="V979" s="1"/>
      <c r="W979" s="15"/>
      <c r="X979" s="16"/>
      <c r="Y979" s="17"/>
    </row>
    <row r="980" spans="14:25" x14ac:dyDescent="0.25">
      <c r="N980" s="61"/>
      <c r="O980" s="61"/>
      <c r="P980" s="62"/>
      <c r="Q980" s="13"/>
      <c r="R980" s="13"/>
      <c r="S980" s="14"/>
      <c r="T980" s="1"/>
      <c r="U980" s="15"/>
      <c r="V980" s="1"/>
      <c r="W980" s="15"/>
      <c r="X980" s="16"/>
      <c r="Y980" s="17"/>
    </row>
    <row r="981" spans="14:25" x14ac:dyDescent="0.25">
      <c r="N981" s="61"/>
      <c r="O981" s="61"/>
      <c r="P981" s="62"/>
      <c r="Q981" s="13"/>
      <c r="R981" s="13"/>
      <c r="S981" s="14"/>
      <c r="T981" s="1"/>
      <c r="U981" s="15"/>
      <c r="V981" s="1"/>
      <c r="W981" s="15"/>
      <c r="X981" s="16"/>
      <c r="Y981" s="17"/>
    </row>
    <row r="982" spans="14:25" x14ac:dyDescent="0.25">
      <c r="N982" s="61"/>
      <c r="O982" s="61"/>
      <c r="P982" s="62"/>
      <c r="Q982" s="13"/>
      <c r="R982" s="13"/>
      <c r="S982" s="14"/>
      <c r="T982" s="1"/>
      <c r="U982" s="15"/>
      <c r="V982" s="1"/>
      <c r="W982" s="15"/>
      <c r="X982" s="16"/>
      <c r="Y982" s="17"/>
    </row>
    <row r="983" spans="14:25" x14ac:dyDescent="0.25">
      <c r="N983" s="61"/>
      <c r="O983" s="61"/>
      <c r="P983" s="62"/>
      <c r="Q983" s="13"/>
      <c r="R983" s="13"/>
      <c r="S983" s="14"/>
      <c r="T983" s="1"/>
      <c r="U983" s="15"/>
      <c r="V983" s="1"/>
      <c r="W983" s="15"/>
      <c r="X983" s="16"/>
      <c r="Y983" s="17"/>
    </row>
    <row r="984" spans="14:25" x14ac:dyDescent="0.25">
      <c r="N984" s="61"/>
      <c r="O984" s="61"/>
      <c r="P984" s="62"/>
      <c r="Q984" s="13"/>
      <c r="R984" s="13"/>
      <c r="S984" s="14"/>
      <c r="T984" s="1"/>
      <c r="U984" s="15"/>
      <c r="V984" s="1"/>
      <c r="W984" s="15"/>
      <c r="X984" s="16"/>
      <c r="Y984" s="17"/>
    </row>
    <row r="985" spans="14:25" x14ac:dyDescent="0.25">
      <c r="N985" s="61"/>
      <c r="O985" s="61"/>
      <c r="P985" s="62"/>
      <c r="Q985" s="13"/>
      <c r="R985" s="13"/>
      <c r="S985" s="14"/>
      <c r="T985" s="1"/>
      <c r="U985" s="15"/>
      <c r="V985" s="1"/>
      <c r="W985" s="15"/>
      <c r="X985" s="16"/>
      <c r="Y985" s="17"/>
    </row>
    <row r="986" spans="14:25" x14ac:dyDescent="0.25">
      <c r="N986" s="61"/>
      <c r="O986" s="61"/>
      <c r="P986" s="62"/>
      <c r="Q986" s="13"/>
      <c r="R986" s="13"/>
      <c r="S986" s="14"/>
      <c r="T986" s="1"/>
      <c r="U986" s="15"/>
      <c r="V986" s="1"/>
      <c r="W986" s="15"/>
      <c r="X986" s="16"/>
      <c r="Y986" s="17"/>
    </row>
    <row r="987" spans="14:25" x14ac:dyDescent="0.25">
      <c r="N987" s="61"/>
      <c r="O987" s="61"/>
      <c r="P987" s="62"/>
      <c r="Q987" s="13"/>
      <c r="R987" s="13"/>
      <c r="S987" s="14"/>
      <c r="T987" s="1"/>
      <c r="U987" s="15"/>
      <c r="V987" s="1"/>
      <c r="W987" s="15"/>
      <c r="X987" s="16"/>
      <c r="Y987" s="17"/>
    </row>
    <row r="988" spans="14:25" x14ac:dyDescent="0.25">
      <c r="N988" s="61"/>
      <c r="O988" s="61"/>
      <c r="P988" s="62"/>
      <c r="Q988" s="13"/>
      <c r="R988" s="13"/>
      <c r="S988" s="14"/>
      <c r="T988" s="1"/>
      <c r="U988" s="15"/>
      <c r="V988" s="1"/>
      <c r="W988" s="15"/>
      <c r="X988" s="16"/>
      <c r="Y988" s="17"/>
    </row>
    <row r="989" spans="14:25" x14ac:dyDescent="0.25">
      <c r="N989" s="61"/>
      <c r="O989" s="61"/>
      <c r="P989" s="62"/>
      <c r="Q989" s="13"/>
      <c r="R989" s="13"/>
      <c r="S989" s="14"/>
      <c r="T989" s="1"/>
      <c r="U989" s="15"/>
      <c r="V989" s="1"/>
      <c r="W989" s="15"/>
      <c r="X989" s="16"/>
      <c r="Y989" s="17"/>
    </row>
    <row r="990" spans="14:25" x14ac:dyDescent="0.25">
      <c r="N990" s="61"/>
      <c r="O990" s="61"/>
      <c r="P990" s="62"/>
      <c r="Q990" s="13"/>
      <c r="R990" s="13"/>
      <c r="S990" s="14"/>
      <c r="T990" s="1"/>
      <c r="U990" s="15"/>
      <c r="V990" s="1"/>
      <c r="W990" s="15"/>
      <c r="X990" s="16"/>
      <c r="Y990" s="17"/>
    </row>
    <row r="991" spans="14:25" x14ac:dyDescent="0.25">
      <c r="N991" s="61"/>
      <c r="O991" s="61"/>
      <c r="P991" s="62"/>
      <c r="Q991" s="13"/>
      <c r="R991" s="13"/>
      <c r="S991" s="14"/>
      <c r="T991" s="1"/>
      <c r="U991" s="15"/>
      <c r="V991" s="1"/>
      <c r="W991" s="15"/>
      <c r="X991" s="16"/>
      <c r="Y991" s="17"/>
    </row>
    <row r="992" spans="14:25" x14ac:dyDescent="0.25">
      <c r="N992" s="61"/>
      <c r="O992" s="61"/>
      <c r="P992" s="62"/>
      <c r="Q992" s="13"/>
      <c r="R992" s="13"/>
      <c r="S992" s="14"/>
      <c r="T992" s="1"/>
      <c r="U992" s="15"/>
      <c r="V992" s="1"/>
      <c r="W992" s="15"/>
      <c r="X992" s="16"/>
      <c r="Y992" s="17"/>
    </row>
    <row r="993" spans="14:25" x14ac:dyDescent="0.25">
      <c r="N993" s="61"/>
      <c r="O993" s="61"/>
      <c r="P993" s="62"/>
      <c r="Q993" s="13"/>
      <c r="R993" s="13"/>
      <c r="S993" s="14"/>
      <c r="T993" s="1"/>
      <c r="U993" s="15"/>
      <c r="V993" s="1"/>
      <c r="W993" s="15"/>
      <c r="X993" s="16"/>
      <c r="Y993" s="17"/>
    </row>
    <row r="994" spans="14:25" x14ac:dyDescent="0.25">
      <c r="N994" s="61"/>
      <c r="O994" s="61"/>
      <c r="P994" s="62"/>
      <c r="Q994" s="13"/>
      <c r="R994" s="13"/>
      <c r="S994" s="14"/>
      <c r="T994" s="1"/>
      <c r="U994" s="15"/>
      <c r="V994" s="1"/>
      <c r="W994" s="15"/>
      <c r="X994" s="16"/>
      <c r="Y994" s="17"/>
    </row>
    <row r="995" spans="14:25" x14ac:dyDescent="0.25">
      <c r="N995" s="61"/>
      <c r="O995" s="61"/>
      <c r="P995" s="62"/>
      <c r="Q995" s="13"/>
      <c r="R995" s="13"/>
      <c r="S995" s="14"/>
      <c r="T995" s="1"/>
      <c r="U995" s="15"/>
      <c r="V995" s="1"/>
      <c r="W995" s="15"/>
      <c r="X995" s="16"/>
      <c r="Y995" s="17"/>
    </row>
    <row r="996" spans="14:25" x14ac:dyDescent="0.25">
      <c r="N996" s="61"/>
      <c r="O996" s="61"/>
      <c r="P996" s="62"/>
      <c r="Q996" s="13"/>
      <c r="R996" s="13"/>
      <c r="S996" s="14"/>
      <c r="T996" s="1"/>
      <c r="U996" s="15"/>
      <c r="V996" s="1"/>
      <c r="W996" s="15"/>
      <c r="X996" s="16"/>
      <c r="Y996" s="17"/>
    </row>
    <row r="997" spans="14:25" x14ac:dyDescent="0.25">
      <c r="N997" s="61"/>
      <c r="O997" s="61"/>
      <c r="P997" s="62"/>
      <c r="Q997" s="13"/>
      <c r="R997" s="13"/>
      <c r="S997" s="14"/>
      <c r="T997" s="1"/>
      <c r="U997" s="15"/>
      <c r="V997" s="1"/>
      <c r="W997" s="15"/>
      <c r="X997" s="16"/>
      <c r="Y997" s="17"/>
    </row>
    <row r="998" spans="14:25" x14ac:dyDescent="0.25">
      <c r="N998" s="61"/>
      <c r="O998" s="61"/>
      <c r="P998" s="62"/>
      <c r="Q998" s="13"/>
      <c r="R998" s="13"/>
      <c r="S998" s="14"/>
      <c r="T998" s="1"/>
      <c r="U998" s="15"/>
      <c r="V998" s="1"/>
      <c r="W998" s="15"/>
      <c r="X998" s="16"/>
      <c r="Y998" s="17"/>
    </row>
    <row r="999" spans="14:25" x14ac:dyDescent="0.25">
      <c r="N999" s="61"/>
      <c r="O999" s="61"/>
      <c r="P999" s="62"/>
      <c r="Q999" s="13"/>
      <c r="R999" s="13"/>
      <c r="S999" s="14"/>
      <c r="T999" s="1"/>
      <c r="U999" s="15"/>
      <c r="V999" s="1"/>
      <c r="W999" s="15"/>
      <c r="X999" s="16"/>
      <c r="Y999" s="17"/>
    </row>
    <row r="1000" spans="14:25" x14ac:dyDescent="0.25">
      <c r="N1000" s="61"/>
      <c r="O1000" s="61"/>
      <c r="P1000" s="62"/>
      <c r="Q1000" s="13"/>
      <c r="R1000" s="13"/>
      <c r="S1000" s="14"/>
      <c r="T1000" s="1"/>
      <c r="U1000" s="15"/>
      <c r="V1000" s="1"/>
      <c r="W1000" s="15"/>
      <c r="X1000" s="16"/>
      <c r="Y1000" s="17"/>
    </row>
    <row r="1001" spans="14:25" x14ac:dyDescent="0.25">
      <c r="N1001" s="61"/>
      <c r="O1001" s="61"/>
      <c r="P1001" s="62"/>
      <c r="Q1001" s="13"/>
      <c r="R1001" s="13"/>
      <c r="S1001" s="14"/>
      <c r="T1001" s="1"/>
      <c r="U1001" s="15"/>
      <c r="V1001" s="1"/>
      <c r="W1001" s="15"/>
      <c r="X1001" s="16"/>
      <c r="Y1001" s="17"/>
    </row>
    <row r="1002" spans="14:25" x14ac:dyDescent="0.25">
      <c r="N1002" s="61"/>
      <c r="O1002" s="61"/>
      <c r="P1002" s="62"/>
      <c r="Q1002" s="13"/>
      <c r="R1002" s="13"/>
      <c r="S1002" s="14"/>
      <c r="T1002" s="1"/>
      <c r="U1002" s="15"/>
      <c r="V1002" s="1"/>
      <c r="W1002" s="15"/>
      <c r="X1002" s="16"/>
      <c r="Y1002" s="17"/>
    </row>
    <row r="1003" spans="14:25" x14ac:dyDescent="0.25">
      <c r="N1003" s="61"/>
      <c r="O1003" s="61"/>
      <c r="P1003" s="62"/>
      <c r="Q1003" s="13"/>
      <c r="R1003" s="13"/>
      <c r="S1003" s="14"/>
      <c r="T1003" s="1"/>
      <c r="U1003" s="15"/>
      <c r="V1003" s="1"/>
      <c r="W1003" s="15"/>
      <c r="X1003" s="16"/>
      <c r="Y1003" s="17"/>
    </row>
    <row r="1004" spans="14:25" x14ac:dyDescent="0.25">
      <c r="N1004" s="61"/>
      <c r="O1004" s="61"/>
      <c r="P1004" s="62"/>
      <c r="Q1004" s="13"/>
      <c r="R1004" s="13"/>
      <c r="S1004" s="14"/>
      <c r="T1004" s="1"/>
      <c r="U1004" s="15"/>
      <c r="V1004" s="1"/>
      <c r="W1004" s="15"/>
      <c r="X1004" s="16"/>
      <c r="Y1004" s="17"/>
    </row>
    <row r="1005" spans="14:25" x14ac:dyDescent="0.25">
      <c r="N1005" s="61"/>
      <c r="O1005" s="61"/>
      <c r="P1005" s="62"/>
      <c r="Q1005" s="13"/>
      <c r="R1005" s="13"/>
      <c r="S1005" s="14"/>
      <c r="T1005" s="1"/>
      <c r="U1005" s="15"/>
      <c r="V1005" s="1"/>
      <c r="W1005" s="15"/>
      <c r="X1005" s="16"/>
      <c r="Y1005" s="17"/>
    </row>
    <row r="1006" spans="14:25" x14ac:dyDescent="0.25">
      <c r="N1006" s="61"/>
      <c r="O1006" s="61"/>
      <c r="P1006" s="62"/>
      <c r="Q1006" s="13"/>
      <c r="R1006" s="13"/>
      <c r="S1006" s="14"/>
      <c r="T1006" s="1"/>
      <c r="U1006" s="15"/>
      <c r="V1006" s="1"/>
      <c r="W1006" s="15"/>
      <c r="X1006" s="16"/>
      <c r="Y1006" s="17"/>
    </row>
    <row r="1007" spans="14:25" x14ac:dyDescent="0.25">
      <c r="N1007" s="61"/>
      <c r="O1007" s="61"/>
      <c r="P1007" s="62"/>
      <c r="Q1007" s="13"/>
      <c r="R1007" s="13"/>
      <c r="S1007" s="14"/>
      <c r="T1007" s="1"/>
      <c r="U1007" s="15"/>
      <c r="V1007" s="1"/>
      <c r="W1007" s="15"/>
      <c r="X1007" s="16"/>
      <c r="Y1007" s="17"/>
    </row>
    <row r="1008" spans="14:25" x14ac:dyDescent="0.25">
      <c r="N1008" s="61"/>
      <c r="O1008" s="61"/>
      <c r="P1008" s="62"/>
      <c r="Q1008" s="13"/>
      <c r="R1008" s="13"/>
      <c r="S1008" s="14"/>
      <c r="T1008" s="1"/>
      <c r="U1008" s="15"/>
      <c r="V1008" s="1"/>
      <c r="W1008" s="15"/>
      <c r="X1008" s="16"/>
      <c r="Y1008" s="17"/>
    </row>
    <row r="1009" spans="14:25" x14ac:dyDescent="0.25">
      <c r="N1009" s="61"/>
      <c r="O1009" s="61"/>
      <c r="P1009" s="62"/>
      <c r="Q1009" s="13"/>
      <c r="R1009" s="13"/>
      <c r="S1009" s="14"/>
      <c r="T1009" s="1"/>
      <c r="U1009" s="15"/>
      <c r="V1009" s="1"/>
      <c r="W1009" s="15"/>
      <c r="X1009" s="16"/>
      <c r="Y1009" s="17"/>
    </row>
    <row r="1010" spans="14:25" x14ac:dyDescent="0.25">
      <c r="N1010" s="61"/>
      <c r="O1010" s="61"/>
      <c r="P1010" s="62"/>
      <c r="Q1010" s="13"/>
      <c r="R1010" s="13"/>
      <c r="S1010" s="14"/>
      <c r="T1010" s="1"/>
      <c r="U1010" s="15"/>
      <c r="V1010" s="1"/>
      <c r="W1010" s="15"/>
      <c r="X1010" s="16"/>
      <c r="Y1010" s="17"/>
    </row>
    <row r="1011" spans="14:25" x14ac:dyDescent="0.25">
      <c r="N1011" s="61"/>
      <c r="O1011" s="61"/>
      <c r="P1011" s="62"/>
      <c r="Q1011" s="13"/>
      <c r="R1011" s="13"/>
      <c r="S1011" s="14"/>
      <c r="T1011" s="1"/>
      <c r="U1011" s="15"/>
      <c r="V1011" s="1"/>
      <c r="W1011" s="15"/>
      <c r="X1011" s="16"/>
      <c r="Y1011" s="17"/>
    </row>
    <row r="1012" spans="14:25" x14ac:dyDescent="0.25">
      <c r="N1012" s="61"/>
      <c r="O1012" s="61"/>
      <c r="P1012" s="62"/>
      <c r="Q1012" s="13"/>
      <c r="R1012" s="13"/>
      <c r="S1012" s="14"/>
      <c r="T1012" s="1"/>
      <c r="U1012" s="15"/>
      <c r="V1012" s="1"/>
      <c r="W1012" s="15"/>
      <c r="X1012" s="16"/>
      <c r="Y1012" s="17"/>
    </row>
    <row r="1013" spans="14:25" x14ac:dyDescent="0.25">
      <c r="N1013" s="61"/>
      <c r="O1013" s="61"/>
      <c r="P1013" s="62"/>
      <c r="Q1013" s="13"/>
      <c r="R1013" s="13"/>
      <c r="S1013" s="14"/>
      <c r="T1013" s="1"/>
      <c r="U1013" s="15"/>
      <c r="V1013" s="1"/>
      <c r="W1013" s="15"/>
      <c r="X1013" s="16"/>
      <c r="Y1013" s="17"/>
    </row>
    <row r="1014" spans="14:25" x14ac:dyDescent="0.25">
      <c r="N1014" s="61"/>
      <c r="O1014" s="61"/>
      <c r="P1014" s="62"/>
      <c r="Q1014" s="13"/>
      <c r="R1014" s="13"/>
      <c r="S1014" s="14"/>
      <c r="T1014" s="1"/>
      <c r="U1014" s="15"/>
      <c r="V1014" s="1"/>
      <c r="W1014" s="15"/>
      <c r="X1014" s="16"/>
      <c r="Y1014" s="17"/>
    </row>
    <row r="1015" spans="14:25" x14ac:dyDescent="0.25">
      <c r="N1015" s="61"/>
      <c r="O1015" s="61"/>
      <c r="P1015" s="62"/>
      <c r="Q1015" s="13"/>
      <c r="R1015" s="13"/>
      <c r="S1015" s="14"/>
      <c r="T1015" s="1"/>
      <c r="U1015" s="15"/>
      <c r="V1015" s="1"/>
      <c r="W1015" s="15"/>
      <c r="X1015" s="16"/>
      <c r="Y1015" s="17"/>
    </row>
    <row r="1016" spans="14:25" x14ac:dyDescent="0.25">
      <c r="N1016" s="61"/>
      <c r="O1016" s="61"/>
      <c r="P1016" s="62"/>
      <c r="Q1016" s="13"/>
      <c r="R1016" s="13"/>
      <c r="S1016" s="14"/>
      <c r="T1016" s="1"/>
      <c r="U1016" s="15"/>
      <c r="V1016" s="1"/>
      <c r="W1016" s="15"/>
      <c r="X1016" s="16"/>
      <c r="Y1016" s="17"/>
    </row>
    <row r="1017" spans="14:25" x14ac:dyDescent="0.25">
      <c r="N1017" s="61"/>
      <c r="O1017" s="61"/>
      <c r="P1017" s="62"/>
      <c r="Q1017" s="13"/>
      <c r="R1017" s="13"/>
      <c r="S1017" s="14"/>
      <c r="T1017" s="1"/>
      <c r="U1017" s="15"/>
      <c r="V1017" s="1"/>
      <c r="W1017" s="15"/>
      <c r="X1017" s="16"/>
      <c r="Y1017" s="17"/>
    </row>
    <row r="1018" spans="14:25" x14ac:dyDescent="0.25">
      <c r="N1018" s="61"/>
      <c r="O1018" s="61"/>
      <c r="P1018" s="62"/>
      <c r="Q1018" s="13"/>
      <c r="R1018" s="13"/>
      <c r="S1018" s="14"/>
      <c r="T1018" s="1"/>
      <c r="U1018" s="15"/>
      <c r="V1018" s="1"/>
      <c r="W1018" s="15"/>
      <c r="X1018" s="16"/>
      <c r="Y1018" s="17"/>
    </row>
    <row r="1019" spans="14:25" x14ac:dyDescent="0.25">
      <c r="N1019" s="61"/>
      <c r="O1019" s="61"/>
      <c r="P1019" s="62"/>
      <c r="Q1019" s="13"/>
      <c r="R1019" s="13"/>
      <c r="S1019" s="14"/>
      <c r="T1019" s="1"/>
      <c r="U1019" s="15"/>
      <c r="V1019" s="1"/>
      <c r="W1019" s="15"/>
      <c r="X1019" s="16"/>
      <c r="Y1019" s="17"/>
    </row>
    <row r="1020" spans="14:25" x14ac:dyDescent="0.25">
      <c r="N1020" s="61"/>
      <c r="O1020" s="61"/>
      <c r="P1020" s="62"/>
      <c r="Q1020" s="13"/>
      <c r="R1020" s="13"/>
      <c r="S1020" s="14"/>
      <c r="T1020" s="1"/>
      <c r="U1020" s="15"/>
      <c r="V1020" s="1"/>
      <c r="W1020" s="15"/>
      <c r="X1020" s="16"/>
      <c r="Y1020" s="17"/>
    </row>
    <row r="1021" spans="14:25" x14ac:dyDescent="0.25">
      <c r="N1021" s="61"/>
      <c r="O1021" s="61"/>
      <c r="P1021" s="62"/>
      <c r="Q1021" s="13"/>
      <c r="R1021" s="13"/>
      <c r="S1021" s="14"/>
      <c r="T1021" s="1"/>
      <c r="U1021" s="15"/>
      <c r="V1021" s="1"/>
      <c r="W1021" s="15"/>
      <c r="X1021" s="16"/>
      <c r="Y1021" s="17"/>
    </row>
    <row r="1022" spans="14:25" x14ac:dyDescent="0.25">
      <c r="N1022" s="61"/>
      <c r="O1022" s="61"/>
      <c r="P1022" s="62"/>
      <c r="Q1022" s="13"/>
      <c r="R1022" s="13"/>
      <c r="S1022" s="14"/>
      <c r="T1022" s="1"/>
      <c r="U1022" s="15"/>
      <c r="V1022" s="1"/>
      <c r="W1022" s="15"/>
      <c r="X1022" s="16"/>
      <c r="Y1022" s="17"/>
    </row>
    <row r="1023" spans="14:25" x14ac:dyDescent="0.25">
      <c r="N1023" s="61"/>
      <c r="O1023" s="61"/>
      <c r="P1023" s="62"/>
      <c r="Q1023" s="13"/>
      <c r="R1023" s="13"/>
      <c r="S1023" s="14"/>
      <c r="T1023" s="1"/>
      <c r="U1023" s="15"/>
      <c r="V1023" s="1"/>
      <c r="W1023" s="15"/>
      <c r="X1023" s="16"/>
      <c r="Y1023" s="17"/>
    </row>
    <row r="1024" spans="14:25" x14ac:dyDescent="0.25">
      <c r="N1024" s="61"/>
      <c r="O1024" s="61"/>
      <c r="P1024" s="62"/>
      <c r="Q1024" s="13"/>
      <c r="R1024" s="13"/>
      <c r="S1024" s="14"/>
      <c r="T1024" s="1"/>
      <c r="U1024" s="15"/>
      <c r="V1024" s="1"/>
      <c r="W1024" s="15"/>
      <c r="X1024" s="16"/>
      <c r="Y1024" s="17"/>
    </row>
    <row r="1025" spans="14:25" x14ac:dyDescent="0.25">
      <c r="N1025" s="61"/>
      <c r="O1025" s="61"/>
      <c r="P1025" s="62"/>
      <c r="Q1025" s="13"/>
      <c r="R1025" s="13"/>
      <c r="S1025" s="14"/>
      <c r="T1025" s="1"/>
      <c r="U1025" s="15"/>
      <c r="V1025" s="1"/>
      <c r="W1025" s="15"/>
      <c r="X1025" s="16"/>
      <c r="Y1025" s="17"/>
    </row>
    <row r="1026" spans="14:25" x14ac:dyDescent="0.25">
      <c r="N1026" s="61"/>
      <c r="O1026" s="61"/>
      <c r="P1026" s="62"/>
      <c r="Q1026" s="13"/>
      <c r="R1026" s="13"/>
      <c r="S1026" s="14"/>
      <c r="T1026" s="1"/>
      <c r="U1026" s="15"/>
      <c r="V1026" s="1"/>
      <c r="W1026" s="15"/>
      <c r="X1026" s="16"/>
      <c r="Y1026" s="17"/>
    </row>
    <row r="1027" spans="14:25" x14ac:dyDescent="0.25">
      <c r="N1027" s="61"/>
      <c r="O1027" s="61"/>
      <c r="P1027" s="62"/>
      <c r="Q1027" s="13"/>
      <c r="R1027" s="13"/>
      <c r="S1027" s="14"/>
      <c r="T1027" s="1"/>
      <c r="U1027" s="15"/>
      <c r="V1027" s="1"/>
      <c r="W1027" s="15"/>
      <c r="X1027" s="16"/>
      <c r="Y1027" s="17"/>
    </row>
    <row r="1028" spans="14:25" x14ac:dyDescent="0.25">
      <c r="N1028" s="61"/>
      <c r="O1028" s="61"/>
      <c r="P1028" s="62"/>
      <c r="Q1028" s="13"/>
      <c r="R1028" s="13"/>
      <c r="S1028" s="14"/>
      <c r="T1028" s="1"/>
      <c r="U1028" s="15"/>
      <c r="V1028" s="1"/>
      <c r="W1028" s="15"/>
      <c r="X1028" s="16"/>
      <c r="Y1028" s="17"/>
    </row>
    <row r="1029" spans="14:25" x14ac:dyDescent="0.25">
      <c r="N1029" s="61"/>
      <c r="O1029" s="61"/>
      <c r="P1029" s="62"/>
      <c r="Q1029" s="13"/>
      <c r="R1029" s="13"/>
      <c r="S1029" s="14"/>
      <c r="T1029" s="1"/>
      <c r="U1029" s="15"/>
      <c r="V1029" s="1"/>
      <c r="W1029" s="15"/>
      <c r="X1029" s="16"/>
      <c r="Y1029" s="17"/>
    </row>
    <row r="1030" spans="14:25" x14ac:dyDescent="0.25">
      <c r="N1030" s="61"/>
      <c r="O1030" s="61"/>
      <c r="P1030" s="62"/>
      <c r="Q1030" s="13"/>
      <c r="R1030" s="13"/>
      <c r="S1030" s="14"/>
      <c r="T1030" s="1"/>
      <c r="U1030" s="15"/>
      <c r="V1030" s="1"/>
      <c r="W1030" s="15"/>
      <c r="X1030" s="16"/>
      <c r="Y1030" s="17"/>
    </row>
    <row r="1031" spans="14:25" x14ac:dyDescent="0.25">
      <c r="N1031" s="61"/>
      <c r="O1031" s="61"/>
      <c r="P1031" s="62"/>
      <c r="Q1031" s="13"/>
      <c r="R1031" s="13"/>
      <c r="S1031" s="14"/>
      <c r="T1031" s="1"/>
      <c r="U1031" s="15"/>
      <c r="V1031" s="1"/>
      <c r="W1031" s="15"/>
      <c r="X1031" s="16"/>
      <c r="Y1031" s="17"/>
    </row>
    <row r="1032" spans="14:25" x14ac:dyDescent="0.25">
      <c r="N1032" s="61"/>
      <c r="O1032" s="61"/>
      <c r="P1032" s="62"/>
      <c r="Q1032" s="13"/>
      <c r="R1032" s="13"/>
      <c r="S1032" s="14"/>
      <c r="T1032" s="1"/>
      <c r="U1032" s="15"/>
      <c r="V1032" s="1"/>
      <c r="W1032" s="15"/>
      <c r="X1032" s="16"/>
      <c r="Y1032" s="17"/>
    </row>
    <row r="1033" spans="14:25" x14ac:dyDescent="0.25">
      <c r="N1033" s="61"/>
      <c r="O1033" s="61"/>
      <c r="P1033" s="62"/>
      <c r="Q1033" s="13"/>
      <c r="R1033" s="13"/>
      <c r="S1033" s="14"/>
      <c r="T1033" s="1"/>
      <c r="U1033" s="15"/>
      <c r="V1033" s="1"/>
      <c r="W1033" s="15"/>
      <c r="X1033" s="16"/>
      <c r="Y1033" s="17"/>
    </row>
    <row r="1034" spans="14:25" x14ac:dyDescent="0.25">
      <c r="N1034" s="61"/>
      <c r="O1034" s="61"/>
      <c r="P1034" s="62"/>
      <c r="Q1034" s="13"/>
      <c r="R1034" s="13"/>
      <c r="S1034" s="14"/>
      <c r="T1034" s="1"/>
      <c r="U1034" s="15"/>
      <c r="V1034" s="1"/>
      <c r="W1034" s="15"/>
      <c r="X1034" s="16"/>
      <c r="Y1034" s="17"/>
    </row>
    <row r="1035" spans="14:25" x14ac:dyDescent="0.25">
      <c r="N1035" s="61"/>
      <c r="O1035" s="61"/>
      <c r="P1035" s="62"/>
      <c r="Q1035" s="13"/>
      <c r="R1035" s="13"/>
      <c r="S1035" s="14"/>
      <c r="T1035" s="1"/>
      <c r="U1035" s="15"/>
      <c r="V1035" s="1"/>
      <c r="W1035" s="15"/>
      <c r="X1035" s="16"/>
      <c r="Y1035" s="17"/>
    </row>
    <row r="1036" spans="14:25" x14ac:dyDescent="0.25">
      <c r="N1036" s="61"/>
      <c r="O1036" s="61"/>
      <c r="P1036" s="62"/>
      <c r="Q1036" s="13"/>
      <c r="R1036" s="13"/>
      <c r="S1036" s="14"/>
      <c r="T1036" s="1"/>
      <c r="U1036" s="15"/>
      <c r="V1036" s="1"/>
      <c r="W1036" s="15"/>
      <c r="X1036" s="16"/>
      <c r="Y1036" s="17"/>
    </row>
    <row r="1037" spans="14:25" x14ac:dyDescent="0.25">
      <c r="N1037" s="61"/>
      <c r="O1037" s="61"/>
      <c r="P1037" s="62"/>
      <c r="Q1037" s="13"/>
      <c r="R1037" s="13"/>
      <c r="S1037" s="14"/>
      <c r="T1037" s="1"/>
      <c r="U1037" s="15"/>
      <c r="V1037" s="1"/>
      <c r="W1037" s="15"/>
      <c r="X1037" s="16"/>
      <c r="Y1037" s="17"/>
    </row>
    <row r="1038" spans="14:25" x14ac:dyDescent="0.25">
      <c r="N1038" s="61"/>
      <c r="O1038" s="61"/>
      <c r="P1038" s="62"/>
      <c r="Q1038" s="13"/>
      <c r="R1038" s="13"/>
      <c r="S1038" s="14"/>
      <c r="T1038" s="1"/>
      <c r="U1038" s="15"/>
      <c r="V1038" s="1"/>
      <c r="W1038" s="15"/>
      <c r="X1038" s="16"/>
      <c r="Y1038" s="17"/>
    </row>
    <row r="1039" spans="14:25" x14ac:dyDescent="0.25">
      <c r="N1039" s="61"/>
      <c r="O1039" s="61"/>
      <c r="P1039" s="62"/>
      <c r="Q1039" s="13"/>
      <c r="R1039" s="13"/>
      <c r="S1039" s="14"/>
      <c r="T1039" s="1"/>
      <c r="U1039" s="15"/>
      <c r="V1039" s="1"/>
      <c r="W1039" s="15"/>
      <c r="X1039" s="16"/>
      <c r="Y1039" s="17"/>
    </row>
    <row r="1040" spans="14:25" x14ac:dyDescent="0.25">
      <c r="N1040" s="61"/>
      <c r="O1040" s="61"/>
      <c r="P1040" s="62"/>
      <c r="Q1040" s="13"/>
      <c r="R1040" s="13"/>
      <c r="S1040" s="14"/>
      <c r="T1040" s="1"/>
      <c r="U1040" s="15"/>
      <c r="V1040" s="1"/>
      <c r="W1040" s="15"/>
      <c r="X1040" s="16"/>
      <c r="Y1040" s="17"/>
    </row>
    <row r="1041" spans="14:25" x14ac:dyDescent="0.25">
      <c r="N1041" s="61"/>
      <c r="O1041" s="61"/>
      <c r="P1041" s="62"/>
      <c r="Q1041" s="13"/>
      <c r="R1041" s="13"/>
      <c r="S1041" s="14"/>
      <c r="T1041" s="1"/>
      <c r="U1041" s="15"/>
      <c r="V1041" s="1"/>
      <c r="W1041" s="15"/>
      <c r="X1041" s="16"/>
      <c r="Y1041" s="17"/>
    </row>
    <row r="1042" spans="14:25" x14ac:dyDescent="0.25">
      <c r="N1042" s="61"/>
      <c r="O1042" s="61"/>
      <c r="P1042" s="62"/>
      <c r="Q1042" s="13"/>
      <c r="R1042" s="13"/>
      <c r="S1042" s="14"/>
      <c r="T1042" s="1"/>
      <c r="U1042" s="15"/>
      <c r="V1042" s="1"/>
      <c r="W1042" s="15"/>
      <c r="X1042" s="16"/>
      <c r="Y1042" s="17"/>
    </row>
    <row r="1043" spans="14:25" x14ac:dyDescent="0.25">
      <c r="N1043" s="61"/>
      <c r="O1043" s="61"/>
      <c r="P1043" s="62"/>
      <c r="Q1043" s="13"/>
      <c r="R1043" s="13"/>
      <c r="S1043" s="14"/>
      <c r="T1043" s="1"/>
      <c r="U1043" s="15"/>
      <c r="V1043" s="1"/>
      <c r="W1043" s="15"/>
      <c r="X1043" s="16"/>
      <c r="Y1043" s="17"/>
    </row>
    <row r="1044" spans="14:25" x14ac:dyDescent="0.25">
      <c r="N1044" s="61"/>
      <c r="O1044" s="61"/>
      <c r="P1044" s="62"/>
      <c r="Q1044" s="13"/>
      <c r="R1044" s="13"/>
      <c r="S1044" s="14"/>
      <c r="T1044" s="1"/>
      <c r="U1044" s="15"/>
      <c r="V1044" s="1"/>
      <c r="W1044" s="15"/>
      <c r="X1044" s="16"/>
      <c r="Y1044" s="17"/>
    </row>
    <row r="1045" spans="14:25" x14ac:dyDescent="0.25">
      <c r="N1045" s="61"/>
      <c r="O1045" s="61"/>
      <c r="P1045" s="62"/>
      <c r="Q1045" s="13"/>
      <c r="R1045" s="13"/>
      <c r="S1045" s="14"/>
      <c r="T1045" s="1"/>
      <c r="U1045" s="15"/>
      <c r="V1045" s="1"/>
      <c r="W1045" s="15"/>
      <c r="X1045" s="16"/>
      <c r="Y1045" s="17"/>
    </row>
    <row r="1046" spans="14:25" x14ac:dyDescent="0.25">
      <c r="N1046" s="61"/>
      <c r="O1046" s="61"/>
      <c r="P1046" s="62"/>
      <c r="Q1046" s="13"/>
      <c r="R1046" s="13"/>
      <c r="S1046" s="14"/>
      <c r="T1046" s="1"/>
      <c r="U1046" s="15"/>
      <c r="V1046" s="1"/>
      <c r="W1046" s="15"/>
      <c r="X1046" s="16"/>
      <c r="Y1046" s="17"/>
    </row>
    <row r="1047" spans="14:25" x14ac:dyDescent="0.25">
      <c r="N1047" s="61"/>
      <c r="O1047" s="61"/>
      <c r="P1047" s="62"/>
      <c r="Q1047" s="13"/>
      <c r="R1047" s="13"/>
      <c r="S1047" s="14"/>
      <c r="T1047" s="1"/>
      <c r="U1047" s="15"/>
      <c r="V1047" s="1"/>
      <c r="W1047" s="15"/>
      <c r="X1047" s="16"/>
      <c r="Y1047" s="17"/>
    </row>
    <row r="1048" spans="14:25" x14ac:dyDescent="0.25">
      <c r="N1048" s="61"/>
      <c r="O1048" s="61"/>
      <c r="P1048" s="62"/>
      <c r="Q1048" s="13"/>
      <c r="R1048" s="13"/>
      <c r="S1048" s="14"/>
      <c r="T1048" s="1"/>
      <c r="U1048" s="15"/>
      <c r="V1048" s="1"/>
      <c r="W1048" s="15"/>
      <c r="X1048" s="16"/>
      <c r="Y1048" s="17"/>
    </row>
    <row r="1049" spans="14:25" x14ac:dyDescent="0.25">
      <c r="N1049" s="61"/>
      <c r="O1049" s="61"/>
      <c r="P1049" s="62"/>
      <c r="Q1049" s="13"/>
      <c r="R1049" s="13"/>
      <c r="S1049" s="14"/>
      <c r="T1049" s="1"/>
      <c r="U1049" s="15"/>
      <c r="V1049" s="1"/>
      <c r="W1049" s="15"/>
      <c r="X1049" s="16"/>
      <c r="Y1049" s="17"/>
    </row>
    <row r="1050" spans="14:25" x14ac:dyDescent="0.25">
      <c r="N1050" s="61"/>
      <c r="O1050" s="61"/>
      <c r="P1050" s="62"/>
      <c r="Q1050" s="13"/>
      <c r="R1050" s="13"/>
      <c r="S1050" s="14"/>
      <c r="T1050" s="1"/>
      <c r="U1050" s="15"/>
      <c r="V1050" s="1"/>
      <c r="W1050" s="15"/>
      <c r="X1050" s="16"/>
      <c r="Y1050" s="17"/>
    </row>
    <row r="1051" spans="14:25" x14ac:dyDescent="0.25">
      <c r="N1051" s="61"/>
      <c r="O1051" s="61"/>
      <c r="P1051" s="62"/>
      <c r="Q1051" s="13"/>
      <c r="R1051" s="13"/>
      <c r="S1051" s="14"/>
      <c r="T1051" s="1"/>
      <c r="U1051" s="15"/>
      <c r="V1051" s="1"/>
      <c r="W1051" s="15"/>
      <c r="X1051" s="16"/>
      <c r="Y1051" s="17"/>
    </row>
    <row r="1052" spans="14:25" x14ac:dyDescent="0.25">
      <c r="N1052" s="61"/>
      <c r="O1052" s="61"/>
      <c r="P1052" s="62"/>
      <c r="Q1052" s="13"/>
      <c r="R1052" s="13"/>
      <c r="S1052" s="14"/>
      <c r="T1052" s="1"/>
      <c r="U1052" s="15"/>
      <c r="V1052" s="1"/>
      <c r="W1052" s="15"/>
      <c r="X1052" s="16"/>
      <c r="Y1052" s="17"/>
    </row>
    <row r="1053" spans="14:25" x14ac:dyDescent="0.25">
      <c r="N1053" s="61"/>
      <c r="O1053" s="61"/>
      <c r="P1053" s="62"/>
      <c r="Q1053" s="13"/>
      <c r="R1053" s="13"/>
      <c r="S1053" s="14"/>
      <c r="T1053" s="1"/>
      <c r="U1053" s="15"/>
      <c r="V1053" s="1"/>
      <c r="W1053" s="15"/>
      <c r="X1053" s="16"/>
      <c r="Y1053" s="17"/>
    </row>
    <row r="1054" spans="14:25" x14ac:dyDescent="0.25">
      <c r="N1054" s="61"/>
      <c r="O1054" s="61"/>
      <c r="P1054" s="62"/>
      <c r="Q1054" s="13"/>
      <c r="R1054" s="13"/>
      <c r="S1054" s="14"/>
      <c r="T1054" s="1"/>
      <c r="U1054" s="15"/>
      <c r="V1054" s="1"/>
      <c r="W1054" s="15"/>
      <c r="X1054" s="16"/>
      <c r="Y1054" s="17"/>
    </row>
    <row r="1055" spans="14:25" x14ac:dyDescent="0.25">
      <c r="N1055" s="61"/>
      <c r="O1055" s="61"/>
      <c r="P1055" s="62"/>
      <c r="Q1055" s="13"/>
      <c r="R1055" s="13"/>
      <c r="S1055" s="14"/>
      <c r="T1055" s="1"/>
      <c r="U1055" s="15"/>
      <c r="V1055" s="1"/>
      <c r="W1055" s="15"/>
      <c r="X1055" s="16"/>
      <c r="Y1055" s="17"/>
    </row>
    <row r="1056" spans="14:25" x14ac:dyDescent="0.25">
      <c r="N1056" s="61"/>
      <c r="O1056" s="61"/>
      <c r="P1056" s="62"/>
      <c r="Q1056" s="13"/>
      <c r="R1056" s="13"/>
      <c r="S1056" s="14"/>
      <c r="T1056" s="1"/>
      <c r="U1056" s="15"/>
      <c r="V1056" s="1"/>
      <c r="W1056" s="15"/>
      <c r="X1056" s="16"/>
      <c r="Y1056" s="17"/>
    </row>
    <row r="1057" spans="14:25" x14ac:dyDescent="0.25">
      <c r="N1057" s="61"/>
      <c r="O1057" s="61"/>
      <c r="P1057" s="62"/>
      <c r="Q1057" s="13"/>
      <c r="R1057" s="13"/>
      <c r="S1057" s="14"/>
      <c r="T1057" s="1"/>
      <c r="U1057" s="15"/>
      <c r="V1057" s="1"/>
      <c r="W1057" s="15"/>
      <c r="X1057" s="16"/>
      <c r="Y1057" s="17"/>
    </row>
    <row r="1058" spans="14:25" x14ac:dyDescent="0.25">
      <c r="N1058" s="61"/>
      <c r="O1058" s="61"/>
      <c r="P1058" s="62"/>
      <c r="Q1058" s="13"/>
      <c r="R1058" s="13"/>
      <c r="S1058" s="14"/>
      <c r="T1058" s="1"/>
      <c r="U1058" s="15"/>
      <c r="V1058" s="1"/>
      <c r="W1058" s="15"/>
      <c r="X1058" s="16"/>
      <c r="Y1058" s="17"/>
    </row>
    <row r="1059" spans="14:25" x14ac:dyDescent="0.25">
      <c r="N1059" s="61"/>
      <c r="O1059" s="61"/>
      <c r="P1059" s="62"/>
      <c r="Q1059" s="13"/>
      <c r="R1059" s="13"/>
      <c r="S1059" s="14"/>
      <c r="T1059" s="1"/>
      <c r="U1059" s="15"/>
      <c r="V1059" s="1"/>
      <c r="W1059" s="15"/>
      <c r="X1059" s="16"/>
      <c r="Y1059" s="17"/>
    </row>
    <row r="1060" spans="14:25" x14ac:dyDescent="0.25">
      <c r="N1060" s="61"/>
      <c r="O1060" s="61"/>
      <c r="P1060" s="62"/>
      <c r="Q1060" s="13"/>
      <c r="R1060" s="13"/>
      <c r="S1060" s="14"/>
      <c r="T1060" s="1"/>
      <c r="U1060" s="15"/>
      <c r="V1060" s="1"/>
      <c r="W1060" s="15"/>
      <c r="X1060" s="16"/>
      <c r="Y1060" s="17"/>
    </row>
    <row r="1061" spans="14:25" x14ac:dyDescent="0.25">
      <c r="N1061" s="61"/>
      <c r="O1061" s="61"/>
      <c r="P1061" s="62"/>
      <c r="Q1061" s="13"/>
      <c r="R1061" s="13"/>
      <c r="S1061" s="14"/>
      <c r="T1061" s="1"/>
      <c r="U1061" s="15"/>
      <c r="V1061" s="1"/>
      <c r="W1061" s="15"/>
      <c r="X1061" s="16"/>
      <c r="Y1061" s="17"/>
    </row>
    <row r="1062" spans="14:25" x14ac:dyDescent="0.25">
      <c r="N1062" s="61"/>
      <c r="O1062" s="61"/>
      <c r="P1062" s="62"/>
      <c r="Q1062" s="13"/>
      <c r="R1062" s="13"/>
      <c r="S1062" s="14"/>
      <c r="T1062" s="1"/>
      <c r="U1062" s="15"/>
      <c r="V1062" s="1"/>
      <c r="W1062" s="15"/>
      <c r="X1062" s="16"/>
      <c r="Y1062" s="17"/>
    </row>
    <row r="1063" spans="14:25" x14ac:dyDescent="0.25">
      <c r="N1063" s="61"/>
      <c r="O1063" s="61"/>
      <c r="P1063" s="62"/>
      <c r="Q1063" s="13"/>
      <c r="R1063" s="13"/>
      <c r="S1063" s="14"/>
      <c r="T1063" s="1"/>
      <c r="U1063" s="15"/>
      <c r="V1063" s="1"/>
      <c r="W1063" s="15"/>
      <c r="X1063" s="16"/>
      <c r="Y1063" s="17"/>
    </row>
    <row r="1064" spans="14:25" x14ac:dyDescent="0.25">
      <c r="N1064" s="61"/>
      <c r="O1064" s="61"/>
      <c r="P1064" s="62"/>
      <c r="Q1064" s="13"/>
      <c r="R1064" s="13"/>
      <c r="S1064" s="14"/>
      <c r="T1064" s="1"/>
      <c r="U1064" s="15"/>
      <c r="V1064" s="1"/>
      <c r="W1064" s="15"/>
      <c r="X1064" s="16"/>
      <c r="Y1064" s="17"/>
    </row>
    <row r="1065" spans="14:25" x14ac:dyDescent="0.25">
      <c r="N1065" s="61"/>
      <c r="O1065" s="61"/>
      <c r="P1065" s="62"/>
      <c r="Q1065" s="13"/>
      <c r="R1065" s="13"/>
      <c r="S1065" s="14"/>
      <c r="T1065" s="1"/>
      <c r="U1065" s="15"/>
      <c r="V1065" s="1"/>
      <c r="W1065" s="15"/>
      <c r="X1065" s="16"/>
      <c r="Y1065" s="17"/>
    </row>
    <row r="1066" spans="14:25" x14ac:dyDescent="0.25">
      <c r="N1066" s="61"/>
      <c r="O1066" s="61"/>
      <c r="P1066" s="62"/>
      <c r="Q1066" s="13"/>
      <c r="R1066" s="13"/>
      <c r="S1066" s="14"/>
      <c r="T1066" s="1"/>
      <c r="U1066" s="15"/>
      <c r="V1066" s="1"/>
      <c r="W1066" s="15"/>
      <c r="X1066" s="16"/>
      <c r="Y1066" s="17"/>
    </row>
    <row r="1067" spans="14:25" x14ac:dyDescent="0.25">
      <c r="N1067" s="61"/>
      <c r="O1067" s="61"/>
      <c r="P1067" s="62"/>
      <c r="Q1067" s="13"/>
      <c r="R1067" s="13"/>
      <c r="S1067" s="14"/>
      <c r="T1067" s="1"/>
      <c r="U1067" s="15"/>
      <c r="V1067" s="1"/>
      <c r="W1067" s="15"/>
      <c r="X1067" s="16"/>
      <c r="Y1067" s="17"/>
    </row>
    <row r="1068" spans="14:25" x14ac:dyDescent="0.25">
      <c r="N1068" s="61"/>
      <c r="O1068" s="61"/>
      <c r="P1068" s="62"/>
      <c r="Q1068" s="13"/>
      <c r="R1068" s="13"/>
      <c r="S1068" s="14"/>
      <c r="T1068" s="1"/>
      <c r="U1068" s="15"/>
      <c r="V1068" s="1"/>
      <c r="W1068" s="15"/>
      <c r="X1068" s="16"/>
      <c r="Y1068" s="17"/>
    </row>
    <row r="1069" spans="14:25" x14ac:dyDescent="0.25">
      <c r="N1069" s="61"/>
      <c r="O1069" s="61"/>
      <c r="P1069" s="62"/>
      <c r="Q1069" s="13"/>
      <c r="R1069" s="13"/>
      <c r="S1069" s="14"/>
      <c r="T1069" s="1"/>
      <c r="U1069" s="15"/>
      <c r="V1069" s="1"/>
      <c r="W1069" s="15"/>
      <c r="X1069" s="16"/>
      <c r="Y1069" s="17"/>
    </row>
    <row r="1070" spans="14:25" x14ac:dyDescent="0.25">
      <c r="N1070" s="61"/>
      <c r="O1070" s="61"/>
      <c r="P1070" s="62"/>
      <c r="Q1070" s="13"/>
      <c r="R1070" s="13"/>
      <c r="S1070" s="14"/>
      <c r="T1070" s="1"/>
      <c r="U1070" s="15"/>
      <c r="V1070" s="1"/>
      <c r="W1070" s="15"/>
      <c r="X1070" s="16"/>
      <c r="Y1070" s="17"/>
    </row>
    <row r="1071" spans="14:25" x14ac:dyDescent="0.25">
      <c r="N1071" s="61"/>
      <c r="O1071" s="61"/>
      <c r="P1071" s="62"/>
      <c r="Q1071" s="13"/>
      <c r="R1071" s="13"/>
      <c r="S1071" s="14"/>
      <c r="T1071" s="1"/>
      <c r="U1071" s="15"/>
      <c r="V1071" s="1"/>
      <c r="W1071" s="15"/>
      <c r="X1071" s="16"/>
      <c r="Y1071" s="17"/>
    </row>
    <row r="1072" spans="14:25" x14ac:dyDescent="0.25">
      <c r="N1072" s="61"/>
      <c r="O1072" s="61"/>
      <c r="P1072" s="62"/>
      <c r="Q1072" s="13"/>
      <c r="R1072" s="13"/>
      <c r="S1072" s="14"/>
      <c r="T1072" s="1"/>
      <c r="U1072" s="15"/>
      <c r="V1072" s="1"/>
      <c r="W1072" s="15"/>
      <c r="X1072" s="16"/>
      <c r="Y1072" s="17"/>
    </row>
    <row r="1073" spans="14:25" x14ac:dyDescent="0.25">
      <c r="N1073" s="61"/>
      <c r="O1073" s="61"/>
      <c r="P1073" s="62"/>
      <c r="Q1073" s="13"/>
      <c r="R1073" s="13"/>
      <c r="S1073" s="14"/>
      <c r="T1073" s="1"/>
      <c r="U1073" s="15"/>
      <c r="V1073" s="1"/>
      <c r="W1073" s="15"/>
      <c r="X1073" s="16"/>
      <c r="Y1073" s="17"/>
    </row>
    <row r="1074" spans="14:25" x14ac:dyDescent="0.25">
      <c r="N1074" s="61"/>
      <c r="O1074" s="61"/>
      <c r="P1074" s="62"/>
      <c r="Q1074" s="13"/>
      <c r="R1074" s="13"/>
      <c r="S1074" s="14"/>
      <c r="T1074" s="1"/>
      <c r="U1074" s="15"/>
      <c r="V1074" s="1"/>
      <c r="W1074" s="15"/>
      <c r="X1074" s="16"/>
      <c r="Y1074" s="17"/>
    </row>
    <row r="1075" spans="14:25" x14ac:dyDescent="0.25">
      <c r="N1075" s="61"/>
      <c r="O1075" s="61"/>
      <c r="P1075" s="62"/>
      <c r="Q1075" s="13"/>
      <c r="R1075" s="13"/>
      <c r="S1075" s="14"/>
      <c r="T1075" s="1"/>
      <c r="U1075" s="15"/>
      <c r="V1075" s="1"/>
      <c r="W1075" s="15"/>
      <c r="X1075" s="16"/>
      <c r="Y1075" s="17"/>
    </row>
    <row r="1076" spans="14:25" x14ac:dyDescent="0.25">
      <c r="N1076" s="61"/>
      <c r="O1076" s="61"/>
      <c r="P1076" s="62"/>
      <c r="Q1076" s="13"/>
      <c r="R1076" s="13"/>
      <c r="S1076" s="14"/>
      <c r="T1076" s="1"/>
      <c r="U1076" s="15"/>
      <c r="V1076" s="1"/>
      <c r="W1076" s="15"/>
      <c r="X1076" s="16"/>
      <c r="Y1076" s="17"/>
    </row>
    <row r="1077" spans="14:25" x14ac:dyDescent="0.25">
      <c r="N1077" s="61"/>
      <c r="O1077" s="61"/>
      <c r="P1077" s="62"/>
      <c r="Q1077" s="13"/>
      <c r="R1077" s="13"/>
      <c r="S1077" s="14"/>
      <c r="T1077" s="1"/>
      <c r="U1077" s="15"/>
      <c r="V1077" s="1"/>
      <c r="W1077" s="15"/>
      <c r="X1077" s="16"/>
      <c r="Y1077" s="17"/>
    </row>
    <row r="1078" spans="14:25" x14ac:dyDescent="0.25">
      <c r="N1078" s="61"/>
      <c r="O1078" s="61"/>
      <c r="P1078" s="62"/>
      <c r="Q1078" s="13"/>
      <c r="R1078" s="13"/>
      <c r="S1078" s="14"/>
      <c r="T1078" s="1"/>
      <c r="U1078" s="15"/>
      <c r="V1078" s="1"/>
      <c r="W1078" s="15"/>
      <c r="X1078" s="16"/>
      <c r="Y1078" s="17"/>
    </row>
    <row r="1079" spans="14:25" x14ac:dyDescent="0.25">
      <c r="N1079" s="61"/>
      <c r="O1079" s="61"/>
      <c r="P1079" s="62"/>
      <c r="Q1079" s="13"/>
      <c r="R1079" s="13"/>
      <c r="S1079" s="14"/>
      <c r="T1079" s="1"/>
      <c r="U1079" s="15"/>
      <c r="V1079" s="1"/>
      <c r="W1079" s="15"/>
      <c r="X1079" s="16"/>
      <c r="Y1079" s="17"/>
    </row>
    <row r="1080" spans="14:25" x14ac:dyDescent="0.25">
      <c r="N1080" s="61"/>
      <c r="O1080" s="61"/>
      <c r="P1080" s="62"/>
      <c r="Q1080" s="13"/>
      <c r="R1080" s="13"/>
      <c r="S1080" s="14"/>
      <c r="T1080" s="1"/>
      <c r="U1080" s="15"/>
      <c r="V1080" s="1"/>
      <c r="W1080" s="15"/>
      <c r="X1080" s="16"/>
      <c r="Y1080" s="17"/>
    </row>
    <row r="1081" spans="14:25" x14ac:dyDescent="0.25">
      <c r="N1081" s="61"/>
      <c r="O1081" s="61"/>
      <c r="P1081" s="62"/>
      <c r="Q1081" s="13"/>
      <c r="R1081" s="13"/>
      <c r="S1081" s="14"/>
      <c r="T1081" s="1"/>
      <c r="U1081" s="15"/>
      <c r="V1081" s="1"/>
      <c r="W1081" s="15"/>
      <c r="X1081" s="16"/>
      <c r="Y1081" s="17"/>
    </row>
    <row r="1082" spans="14:25" x14ac:dyDescent="0.25">
      <c r="N1082" s="61"/>
      <c r="O1082" s="61"/>
      <c r="P1082" s="62"/>
      <c r="Q1082" s="13"/>
      <c r="R1082" s="13"/>
      <c r="S1082" s="14"/>
      <c r="T1082" s="1"/>
      <c r="U1082" s="15"/>
      <c r="V1082" s="1"/>
      <c r="W1082" s="15"/>
      <c r="X1082" s="16"/>
      <c r="Y1082" s="17"/>
    </row>
    <row r="1083" spans="14:25" x14ac:dyDescent="0.25">
      <c r="N1083" s="61"/>
      <c r="O1083" s="61"/>
      <c r="P1083" s="62"/>
      <c r="Q1083" s="13"/>
      <c r="R1083" s="13"/>
      <c r="S1083" s="14"/>
      <c r="T1083" s="1"/>
      <c r="U1083" s="15"/>
      <c r="V1083" s="1"/>
      <c r="W1083" s="15"/>
      <c r="X1083" s="16"/>
      <c r="Y1083" s="17"/>
    </row>
    <row r="1084" spans="14:25" x14ac:dyDescent="0.25">
      <c r="N1084" s="61"/>
      <c r="O1084" s="61"/>
      <c r="P1084" s="62"/>
      <c r="Q1084" s="13"/>
      <c r="R1084" s="13"/>
      <c r="S1084" s="14"/>
      <c r="T1084" s="1"/>
      <c r="U1084" s="15"/>
      <c r="V1084" s="1"/>
      <c r="W1084" s="15"/>
      <c r="X1084" s="16"/>
      <c r="Y1084" s="17"/>
    </row>
    <row r="1085" spans="14:25" x14ac:dyDescent="0.25">
      <c r="N1085" s="61"/>
      <c r="O1085" s="61"/>
      <c r="P1085" s="62"/>
      <c r="Q1085" s="13"/>
      <c r="R1085" s="13"/>
      <c r="S1085" s="14"/>
      <c r="T1085" s="1"/>
      <c r="U1085" s="15"/>
      <c r="V1085" s="1"/>
      <c r="W1085" s="15"/>
      <c r="X1085" s="16"/>
      <c r="Y1085" s="17"/>
    </row>
    <row r="1086" spans="14:25" x14ac:dyDescent="0.25">
      <c r="N1086" s="61"/>
      <c r="O1086" s="61"/>
      <c r="P1086" s="62"/>
      <c r="Q1086" s="13"/>
      <c r="R1086" s="13"/>
      <c r="S1086" s="14"/>
      <c r="T1086" s="1"/>
      <c r="U1086" s="15"/>
      <c r="V1086" s="1"/>
      <c r="W1086" s="15"/>
      <c r="X1086" s="16"/>
      <c r="Y1086" s="17"/>
    </row>
    <row r="1087" spans="14:25" x14ac:dyDescent="0.25">
      <c r="N1087" s="61"/>
      <c r="O1087" s="61"/>
      <c r="P1087" s="62"/>
      <c r="Q1087" s="13"/>
      <c r="R1087" s="13"/>
      <c r="S1087" s="14"/>
      <c r="T1087" s="1"/>
      <c r="U1087" s="15"/>
      <c r="V1087" s="1"/>
      <c r="W1087" s="15"/>
      <c r="X1087" s="16"/>
      <c r="Y1087" s="17"/>
    </row>
    <row r="1088" spans="14:25" x14ac:dyDescent="0.25">
      <c r="N1088" s="61"/>
      <c r="O1088" s="61"/>
      <c r="P1088" s="62"/>
      <c r="Q1088" s="13"/>
      <c r="R1088" s="13"/>
      <c r="S1088" s="14"/>
      <c r="T1088" s="1"/>
      <c r="U1088" s="15"/>
      <c r="V1088" s="1"/>
      <c r="W1088" s="15"/>
      <c r="X1088" s="16"/>
      <c r="Y1088" s="17"/>
    </row>
    <row r="1089" spans="14:25" x14ac:dyDescent="0.25">
      <c r="N1089" s="61"/>
      <c r="O1089" s="61"/>
      <c r="P1089" s="62"/>
      <c r="Q1089" s="13"/>
      <c r="R1089" s="13"/>
      <c r="S1089" s="14"/>
      <c r="T1089" s="1"/>
      <c r="U1089" s="15"/>
      <c r="V1089" s="1"/>
      <c r="W1089" s="15"/>
      <c r="X1089" s="16"/>
      <c r="Y1089" s="17"/>
    </row>
    <row r="1090" spans="14:25" x14ac:dyDescent="0.25">
      <c r="N1090" s="61"/>
      <c r="O1090" s="61"/>
      <c r="P1090" s="62"/>
      <c r="Q1090" s="13"/>
      <c r="R1090" s="13"/>
      <c r="S1090" s="14"/>
      <c r="T1090" s="1"/>
      <c r="U1090" s="15"/>
      <c r="V1090" s="1"/>
      <c r="W1090" s="15"/>
      <c r="X1090" s="16"/>
      <c r="Y1090" s="17"/>
    </row>
    <row r="1091" spans="14:25" x14ac:dyDescent="0.25">
      <c r="N1091" s="61"/>
      <c r="O1091" s="61"/>
      <c r="P1091" s="62"/>
      <c r="Q1091" s="13"/>
      <c r="R1091" s="13"/>
      <c r="S1091" s="14"/>
      <c r="T1091" s="1"/>
      <c r="U1091" s="15"/>
      <c r="V1091" s="1"/>
      <c r="W1091" s="15"/>
      <c r="X1091" s="16"/>
      <c r="Y1091" s="17"/>
    </row>
    <row r="1092" spans="14:25" x14ac:dyDescent="0.25">
      <c r="N1092" s="61"/>
      <c r="O1092" s="61"/>
      <c r="P1092" s="62"/>
      <c r="Q1092" s="13"/>
      <c r="R1092" s="13"/>
      <c r="S1092" s="14"/>
      <c r="T1092" s="1"/>
      <c r="U1092" s="15"/>
      <c r="V1092" s="1"/>
      <c r="W1092" s="15"/>
      <c r="X1092" s="16"/>
      <c r="Y1092" s="17"/>
    </row>
    <row r="1093" spans="14:25" x14ac:dyDescent="0.25">
      <c r="N1093" s="61"/>
      <c r="O1093" s="61"/>
      <c r="P1093" s="62"/>
      <c r="Q1093" s="13"/>
      <c r="R1093" s="13"/>
      <c r="S1093" s="14"/>
      <c r="T1093" s="1"/>
      <c r="U1093" s="15"/>
      <c r="V1093" s="1"/>
      <c r="W1093" s="15"/>
      <c r="X1093" s="16"/>
      <c r="Y1093" s="17"/>
    </row>
    <row r="1094" spans="14:25" x14ac:dyDescent="0.25">
      <c r="N1094" s="61"/>
      <c r="O1094" s="61"/>
      <c r="P1094" s="62"/>
      <c r="Q1094" s="13"/>
      <c r="R1094" s="13"/>
      <c r="S1094" s="14"/>
      <c r="T1094" s="1"/>
      <c r="U1094" s="15"/>
      <c r="V1094" s="1"/>
      <c r="W1094" s="15"/>
      <c r="X1094" s="16"/>
      <c r="Y1094" s="17"/>
    </row>
    <row r="1095" spans="14:25" x14ac:dyDescent="0.25">
      <c r="N1095" s="61"/>
      <c r="O1095" s="61"/>
      <c r="P1095" s="62"/>
      <c r="Q1095" s="13"/>
      <c r="R1095" s="13"/>
      <c r="S1095" s="14"/>
      <c r="T1095" s="1"/>
      <c r="U1095" s="15"/>
      <c r="V1095" s="1"/>
      <c r="W1095" s="15"/>
      <c r="X1095" s="16"/>
      <c r="Y1095" s="17"/>
    </row>
    <row r="1096" spans="14:25" x14ac:dyDescent="0.25">
      <c r="N1096" s="61"/>
      <c r="O1096" s="61"/>
      <c r="P1096" s="62"/>
      <c r="Q1096" s="13"/>
      <c r="R1096" s="13"/>
      <c r="S1096" s="14"/>
      <c r="T1096" s="1"/>
      <c r="U1096" s="15"/>
      <c r="V1096" s="1"/>
      <c r="W1096" s="15"/>
      <c r="X1096" s="16"/>
      <c r="Y1096" s="17"/>
    </row>
    <row r="1097" spans="14:25" x14ac:dyDescent="0.25">
      <c r="N1097" s="61"/>
      <c r="O1097" s="61"/>
      <c r="P1097" s="62"/>
      <c r="Q1097" s="13"/>
      <c r="R1097" s="13"/>
      <c r="S1097" s="14"/>
      <c r="T1097" s="1"/>
      <c r="U1097" s="15"/>
      <c r="V1097" s="1"/>
      <c r="W1097" s="15"/>
      <c r="X1097" s="16"/>
      <c r="Y1097" s="17"/>
    </row>
    <row r="1098" spans="14:25" x14ac:dyDescent="0.25">
      <c r="N1098" s="61"/>
      <c r="O1098" s="61"/>
      <c r="P1098" s="62"/>
      <c r="Q1098" s="13"/>
      <c r="R1098" s="13"/>
      <c r="S1098" s="14"/>
      <c r="T1098" s="1"/>
      <c r="U1098" s="15"/>
      <c r="V1098" s="1"/>
      <c r="W1098" s="15"/>
      <c r="X1098" s="16"/>
      <c r="Y1098" s="17"/>
    </row>
    <row r="1099" spans="14:25" x14ac:dyDescent="0.25">
      <c r="N1099" s="61"/>
      <c r="O1099" s="61"/>
      <c r="P1099" s="62"/>
      <c r="Q1099" s="13"/>
      <c r="R1099" s="13"/>
      <c r="S1099" s="14"/>
      <c r="T1099" s="1"/>
      <c r="U1099" s="15"/>
      <c r="V1099" s="1"/>
      <c r="W1099" s="15"/>
      <c r="X1099" s="16"/>
      <c r="Y1099" s="17"/>
    </row>
    <row r="1100" spans="14:25" x14ac:dyDescent="0.25">
      <c r="N1100" s="61"/>
      <c r="O1100" s="61"/>
      <c r="P1100" s="62"/>
      <c r="Q1100" s="13"/>
      <c r="R1100" s="13"/>
      <c r="S1100" s="14"/>
      <c r="T1100" s="1"/>
      <c r="U1100" s="15"/>
      <c r="V1100" s="1"/>
      <c r="W1100" s="15"/>
      <c r="X1100" s="16"/>
      <c r="Y1100" s="17"/>
    </row>
    <row r="1101" spans="14:25" x14ac:dyDescent="0.25">
      <c r="N1101" s="61"/>
      <c r="O1101" s="61"/>
      <c r="P1101" s="62"/>
      <c r="Q1101" s="13"/>
      <c r="R1101" s="13"/>
      <c r="S1101" s="14"/>
      <c r="T1101" s="1"/>
      <c r="U1101" s="15"/>
      <c r="V1101" s="1"/>
      <c r="W1101" s="15"/>
      <c r="X1101" s="16"/>
      <c r="Y1101" s="17"/>
    </row>
    <row r="1102" spans="14:25" x14ac:dyDescent="0.25">
      <c r="N1102" s="61"/>
      <c r="O1102" s="61"/>
      <c r="P1102" s="62"/>
      <c r="Q1102" s="13"/>
      <c r="R1102" s="13"/>
      <c r="S1102" s="14"/>
      <c r="T1102" s="1"/>
      <c r="U1102" s="15"/>
      <c r="V1102" s="1"/>
      <c r="W1102" s="15"/>
      <c r="X1102" s="16"/>
      <c r="Y1102" s="17"/>
    </row>
    <row r="1103" spans="14:25" x14ac:dyDescent="0.25">
      <c r="N1103" s="61"/>
      <c r="O1103" s="61"/>
      <c r="P1103" s="62"/>
      <c r="Q1103" s="13"/>
      <c r="R1103" s="13"/>
      <c r="S1103" s="14"/>
      <c r="T1103" s="1"/>
      <c r="U1103" s="15"/>
      <c r="V1103" s="1"/>
      <c r="W1103" s="15"/>
      <c r="X1103" s="16"/>
      <c r="Y1103" s="17"/>
    </row>
    <row r="1104" spans="14:25" x14ac:dyDescent="0.25">
      <c r="N1104" s="61"/>
      <c r="O1104" s="61"/>
      <c r="P1104" s="62"/>
      <c r="Q1104" s="13"/>
      <c r="R1104" s="13"/>
      <c r="S1104" s="14"/>
      <c r="T1104" s="1"/>
      <c r="U1104" s="15"/>
      <c r="V1104" s="1"/>
      <c r="W1104" s="15"/>
      <c r="X1104" s="16"/>
      <c r="Y1104" s="17"/>
    </row>
    <row r="1105" spans="14:25" x14ac:dyDescent="0.25">
      <c r="N1105" s="61"/>
      <c r="O1105" s="61"/>
      <c r="P1105" s="62"/>
      <c r="Q1105" s="13"/>
      <c r="R1105" s="13"/>
      <c r="S1105" s="14"/>
      <c r="T1105" s="1"/>
      <c r="U1105" s="15"/>
      <c r="V1105" s="1"/>
      <c r="W1105" s="15"/>
      <c r="X1105" s="16"/>
      <c r="Y1105" s="17"/>
    </row>
    <row r="1106" spans="14:25" x14ac:dyDescent="0.25">
      <c r="N1106" s="61"/>
      <c r="O1106" s="61"/>
      <c r="P1106" s="62"/>
      <c r="Q1106" s="13"/>
      <c r="R1106" s="13"/>
      <c r="S1106" s="14"/>
      <c r="T1106" s="1"/>
      <c r="U1106" s="15"/>
      <c r="V1106" s="1"/>
      <c r="W1106" s="15"/>
      <c r="X1106" s="16"/>
      <c r="Y1106" s="17"/>
    </row>
    <row r="1107" spans="14:25" x14ac:dyDescent="0.25">
      <c r="N1107" s="61"/>
      <c r="O1107" s="61"/>
      <c r="P1107" s="62"/>
      <c r="Q1107" s="13"/>
      <c r="R1107" s="13"/>
      <c r="S1107" s="14"/>
      <c r="T1107" s="1"/>
      <c r="U1107" s="15"/>
      <c r="V1107" s="1"/>
      <c r="W1107" s="15"/>
      <c r="X1107" s="16"/>
      <c r="Y1107" s="17"/>
    </row>
    <row r="1108" spans="14:25" x14ac:dyDescent="0.25">
      <c r="N1108" s="61"/>
      <c r="O1108" s="61"/>
      <c r="P1108" s="62"/>
      <c r="Q1108" s="13"/>
      <c r="R1108" s="13"/>
      <c r="S1108" s="14"/>
      <c r="T1108" s="1"/>
      <c r="U1108" s="15"/>
      <c r="V1108" s="1"/>
      <c r="W1108" s="15"/>
      <c r="X1108" s="16"/>
      <c r="Y1108" s="17"/>
    </row>
    <row r="1109" spans="14:25" x14ac:dyDescent="0.25">
      <c r="N1109" s="61"/>
      <c r="O1109" s="61"/>
      <c r="P1109" s="62"/>
      <c r="Q1109" s="13"/>
      <c r="R1109" s="13"/>
      <c r="S1109" s="14"/>
      <c r="T1109" s="1"/>
      <c r="U1109" s="15"/>
      <c r="V1109" s="1"/>
      <c r="W1109" s="15"/>
      <c r="X1109" s="16"/>
      <c r="Y1109" s="17"/>
    </row>
    <row r="1110" spans="14:25" x14ac:dyDescent="0.25">
      <c r="N1110" s="61"/>
      <c r="O1110" s="61"/>
      <c r="P1110" s="62"/>
      <c r="Q1110" s="13"/>
      <c r="R1110" s="13"/>
      <c r="S1110" s="14"/>
      <c r="T1110" s="1"/>
      <c r="U1110" s="15"/>
      <c r="V1110" s="1"/>
      <c r="W1110" s="15"/>
      <c r="X1110" s="16"/>
      <c r="Y1110" s="17"/>
    </row>
    <row r="1111" spans="14:25" x14ac:dyDescent="0.25">
      <c r="N1111" s="61"/>
      <c r="O1111" s="61"/>
      <c r="P1111" s="62"/>
      <c r="Q1111" s="13"/>
      <c r="R1111" s="13"/>
      <c r="S1111" s="14"/>
      <c r="T1111" s="1"/>
      <c r="U1111" s="15"/>
      <c r="V1111" s="1"/>
      <c r="W1111" s="15"/>
      <c r="X1111" s="16"/>
      <c r="Y1111" s="17"/>
    </row>
    <row r="1112" spans="14:25" x14ac:dyDescent="0.25">
      <c r="N1112" s="61"/>
      <c r="O1112" s="61"/>
      <c r="P1112" s="62"/>
      <c r="Q1112" s="13"/>
      <c r="R1112" s="13"/>
      <c r="S1112" s="14"/>
      <c r="T1112" s="1"/>
      <c r="U1112" s="15"/>
      <c r="V1112" s="1"/>
      <c r="W1112" s="15"/>
      <c r="X1112" s="16"/>
      <c r="Y1112" s="17"/>
    </row>
    <row r="1113" spans="14:25" x14ac:dyDescent="0.25">
      <c r="N1113" s="61"/>
      <c r="O1113" s="61"/>
      <c r="P1113" s="62"/>
      <c r="Q1113" s="13"/>
      <c r="R1113" s="13"/>
      <c r="S1113" s="14"/>
      <c r="T1113" s="1"/>
      <c r="U1113" s="15"/>
      <c r="V1113" s="1"/>
      <c r="W1113" s="15"/>
      <c r="X1113" s="16"/>
      <c r="Y1113" s="17"/>
    </row>
    <row r="1114" spans="14:25" x14ac:dyDescent="0.25">
      <c r="N1114" s="61"/>
      <c r="O1114" s="61"/>
      <c r="P1114" s="62"/>
      <c r="Q1114" s="13"/>
      <c r="R1114" s="13"/>
      <c r="S1114" s="14"/>
      <c r="T1114" s="1"/>
      <c r="U1114" s="15"/>
      <c r="V1114" s="1"/>
      <c r="W1114" s="15"/>
      <c r="X1114" s="16"/>
      <c r="Y1114" s="17"/>
    </row>
    <row r="1115" spans="14:25" x14ac:dyDescent="0.25">
      <c r="N1115" s="61"/>
      <c r="O1115" s="61"/>
      <c r="P1115" s="62"/>
      <c r="Q1115" s="13"/>
      <c r="R1115" s="13"/>
      <c r="S1115" s="14"/>
      <c r="T1115" s="1"/>
      <c r="U1115" s="15"/>
      <c r="V1115" s="1"/>
      <c r="W1115" s="15"/>
      <c r="X1115" s="16"/>
      <c r="Y1115" s="17"/>
    </row>
    <row r="1116" spans="14:25" x14ac:dyDescent="0.25">
      <c r="N1116" s="61"/>
      <c r="O1116" s="61"/>
      <c r="P1116" s="62"/>
      <c r="Q1116" s="13"/>
      <c r="R1116" s="13"/>
      <c r="S1116" s="14"/>
      <c r="T1116" s="1"/>
      <c r="U1116" s="15"/>
      <c r="V1116" s="1"/>
      <c r="W1116" s="15"/>
      <c r="X1116" s="16"/>
      <c r="Y1116" s="17"/>
    </row>
    <row r="1117" spans="14:25" x14ac:dyDescent="0.25">
      <c r="N1117" s="61"/>
      <c r="O1117" s="61"/>
      <c r="P1117" s="62"/>
      <c r="Q1117" s="13"/>
      <c r="R1117" s="13"/>
      <c r="S1117" s="14"/>
      <c r="T1117" s="1"/>
      <c r="U1117" s="15"/>
      <c r="V1117" s="1"/>
      <c r="W1117" s="15"/>
      <c r="X1117" s="16"/>
      <c r="Y1117" s="17"/>
    </row>
    <row r="1118" spans="14:25" x14ac:dyDescent="0.25">
      <c r="N1118" s="61"/>
      <c r="O1118" s="61"/>
      <c r="P1118" s="62"/>
      <c r="Q1118" s="13"/>
      <c r="R1118" s="13"/>
      <c r="S1118" s="14"/>
      <c r="T1118" s="1"/>
      <c r="U1118" s="15"/>
      <c r="V1118" s="1"/>
      <c r="W1118" s="15"/>
      <c r="X1118" s="16"/>
      <c r="Y1118" s="17"/>
    </row>
    <row r="1119" spans="14:25" x14ac:dyDescent="0.25">
      <c r="N1119" s="61"/>
      <c r="O1119" s="61"/>
      <c r="P1119" s="62"/>
      <c r="Q1119" s="13"/>
      <c r="R1119" s="13"/>
      <c r="S1119" s="14"/>
      <c r="T1119" s="1"/>
      <c r="U1119" s="15"/>
      <c r="V1119" s="1"/>
      <c r="W1119" s="15"/>
      <c r="X1119" s="16"/>
      <c r="Y1119" s="17"/>
    </row>
    <row r="1120" spans="14:25" x14ac:dyDescent="0.25">
      <c r="N1120" s="61"/>
      <c r="O1120" s="61"/>
      <c r="P1120" s="62"/>
      <c r="Q1120" s="13"/>
      <c r="R1120" s="13"/>
      <c r="S1120" s="14"/>
      <c r="T1120" s="1"/>
      <c r="U1120" s="15"/>
      <c r="V1120" s="1"/>
      <c r="W1120" s="15"/>
      <c r="X1120" s="16"/>
      <c r="Y1120" s="17"/>
    </row>
    <row r="1121" spans="14:25" x14ac:dyDescent="0.25">
      <c r="N1121" s="61"/>
      <c r="O1121" s="61"/>
      <c r="P1121" s="62"/>
      <c r="Q1121" s="13"/>
      <c r="R1121" s="13"/>
      <c r="S1121" s="14"/>
      <c r="T1121" s="1"/>
      <c r="U1121" s="15"/>
      <c r="V1121" s="1"/>
      <c r="W1121" s="15"/>
      <c r="X1121" s="16"/>
      <c r="Y1121" s="17"/>
    </row>
    <row r="1122" spans="14:25" x14ac:dyDescent="0.25">
      <c r="N1122" s="61"/>
      <c r="O1122" s="61"/>
      <c r="P1122" s="62"/>
      <c r="Q1122" s="13"/>
      <c r="R1122" s="13"/>
      <c r="S1122" s="14"/>
      <c r="T1122" s="1"/>
      <c r="U1122" s="15"/>
      <c r="V1122" s="1"/>
      <c r="W1122" s="15"/>
      <c r="X1122" s="16"/>
      <c r="Y1122" s="17"/>
    </row>
    <row r="1123" spans="14:25" x14ac:dyDescent="0.25">
      <c r="N1123" s="61"/>
      <c r="O1123" s="61"/>
      <c r="P1123" s="62"/>
      <c r="Q1123" s="13"/>
      <c r="R1123" s="13"/>
      <c r="S1123" s="14"/>
      <c r="T1123" s="1"/>
      <c r="U1123" s="15"/>
      <c r="V1123" s="1"/>
      <c r="W1123" s="15"/>
      <c r="X1123" s="16"/>
      <c r="Y1123" s="17"/>
    </row>
    <row r="1124" spans="14:25" x14ac:dyDescent="0.25">
      <c r="N1124" s="61"/>
      <c r="O1124" s="61"/>
      <c r="P1124" s="62"/>
      <c r="Q1124" s="13"/>
      <c r="R1124" s="13"/>
      <c r="S1124" s="14"/>
      <c r="T1124" s="1"/>
      <c r="U1124" s="15"/>
      <c r="V1124" s="1"/>
      <c r="W1124" s="15"/>
      <c r="X1124" s="16"/>
      <c r="Y1124" s="17"/>
    </row>
    <row r="1125" spans="14:25" x14ac:dyDescent="0.25">
      <c r="N1125" s="61"/>
      <c r="O1125" s="61"/>
      <c r="P1125" s="62"/>
      <c r="Q1125" s="13"/>
      <c r="R1125" s="13"/>
      <c r="S1125" s="14"/>
      <c r="T1125" s="1"/>
      <c r="U1125" s="15"/>
      <c r="V1125" s="1"/>
      <c r="W1125" s="15"/>
      <c r="X1125" s="16"/>
      <c r="Y1125" s="17"/>
    </row>
    <row r="1126" spans="14:25" x14ac:dyDescent="0.25">
      <c r="N1126" s="61"/>
      <c r="O1126" s="61"/>
      <c r="P1126" s="62"/>
      <c r="Q1126" s="13"/>
      <c r="R1126" s="13"/>
      <c r="S1126" s="14"/>
      <c r="T1126" s="1"/>
      <c r="U1126" s="15"/>
      <c r="V1126" s="1"/>
      <c r="W1126" s="15"/>
      <c r="X1126" s="16"/>
      <c r="Y1126" s="17"/>
    </row>
    <row r="1127" spans="14:25" x14ac:dyDescent="0.25">
      <c r="N1127" s="61"/>
      <c r="O1127" s="61"/>
      <c r="P1127" s="62"/>
      <c r="Q1127" s="13"/>
      <c r="R1127" s="13"/>
      <c r="S1127" s="14"/>
      <c r="T1127" s="1"/>
      <c r="U1127" s="15"/>
      <c r="V1127" s="1"/>
      <c r="W1127" s="15"/>
      <c r="X1127" s="16"/>
      <c r="Y1127" s="17"/>
    </row>
    <row r="1128" spans="14:25" x14ac:dyDescent="0.25">
      <c r="N1128" s="61"/>
      <c r="O1128" s="61"/>
      <c r="P1128" s="62"/>
      <c r="Q1128" s="13"/>
      <c r="R1128" s="13"/>
      <c r="S1128" s="14"/>
      <c r="T1128" s="1"/>
      <c r="U1128" s="15"/>
      <c r="V1128" s="1"/>
      <c r="W1128" s="15"/>
      <c r="X1128" s="16"/>
      <c r="Y1128" s="17"/>
    </row>
    <row r="1129" spans="14:25" x14ac:dyDescent="0.25">
      <c r="N1129" s="61"/>
      <c r="O1129" s="61"/>
      <c r="P1129" s="62"/>
      <c r="Q1129" s="13"/>
      <c r="R1129" s="13"/>
      <c r="S1129" s="14"/>
      <c r="T1129" s="1"/>
      <c r="U1129" s="15"/>
      <c r="V1129" s="1"/>
      <c r="W1129" s="15"/>
      <c r="X1129" s="16"/>
      <c r="Y1129" s="17"/>
    </row>
    <row r="1130" spans="14:25" x14ac:dyDescent="0.25">
      <c r="N1130" s="61"/>
      <c r="O1130" s="61"/>
      <c r="P1130" s="62"/>
      <c r="Q1130" s="13"/>
      <c r="R1130" s="13"/>
      <c r="S1130" s="14"/>
      <c r="T1130" s="1"/>
      <c r="U1130" s="15"/>
      <c r="V1130" s="1"/>
      <c r="W1130" s="15"/>
      <c r="X1130" s="16"/>
      <c r="Y1130" s="17"/>
    </row>
    <row r="1131" spans="14:25" x14ac:dyDescent="0.25">
      <c r="N1131" s="61"/>
      <c r="O1131" s="61"/>
      <c r="P1131" s="62"/>
      <c r="Q1131" s="13"/>
      <c r="R1131" s="13"/>
      <c r="S1131" s="14"/>
      <c r="T1131" s="1"/>
      <c r="U1131" s="15"/>
      <c r="V1131" s="1"/>
      <c r="W1131" s="15"/>
      <c r="X1131" s="16"/>
      <c r="Y1131" s="17"/>
    </row>
    <row r="1132" spans="14:25" x14ac:dyDescent="0.25">
      <c r="N1132" s="61"/>
      <c r="O1132" s="61"/>
      <c r="P1132" s="62"/>
      <c r="Q1132" s="13"/>
      <c r="R1132" s="13"/>
      <c r="S1132" s="14"/>
      <c r="T1132" s="1"/>
      <c r="U1132" s="15"/>
      <c r="V1132" s="1"/>
      <c r="W1132" s="15"/>
      <c r="X1132" s="16"/>
      <c r="Y1132" s="17"/>
    </row>
    <row r="1133" spans="14:25" x14ac:dyDescent="0.25">
      <c r="N1133" s="61"/>
      <c r="O1133" s="61"/>
      <c r="P1133" s="62"/>
      <c r="Q1133" s="13"/>
      <c r="R1133" s="13"/>
      <c r="S1133" s="14"/>
      <c r="T1133" s="1"/>
      <c r="U1133" s="15"/>
      <c r="V1133" s="1"/>
      <c r="W1133" s="15"/>
      <c r="X1133" s="16"/>
      <c r="Y1133" s="17"/>
    </row>
    <row r="1134" spans="14:25" x14ac:dyDescent="0.25">
      <c r="N1134" s="61"/>
      <c r="O1134" s="61"/>
      <c r="P1134" s="62"/>
      <c r="Q1134" s="13"/>
      <c r="R1134" s="13"/>
      <c r="S1134" s="14"/>
      <c r="T1134" s="1"/>
      <c r="U1134" s="15"/>
      <c r="V1134" s="1"/>
      <c r="W1134" s="15"/>
      <c r="X1134" s="16"/>
      <c r="Y1134" s="17"/>
    </row>
    <row r="1135" spans="14:25" x14ac:dyDescent="0.25">
      <c r="N1135" s="61"/>
      <c r="O1135" s="61"/>
      <c r="P1135" s="62"/>
      <c r="Q1135" s="13"/>
      <c r="R1135" s="13"/>
      <c r="S1135" s="14"/>
      <c r="T1135" s="1"/>
      <c r="U1135" s="15"/>
      <c r="V1135" s="1"/>
      <c r="W1135" s="15"/>
      <c r="X1135" s="16"/>
      <c r="Y1135" s="17"/>
    </row>
    <row r="1136" spans="14:25" x14ac:dyDescent="0.25">
      <c r="N1136" s="61"/>
      <c r="O1136" s="61"/>
      <c r="P1136" s="62"/>
      <c r="Q1136" s="13"/>
      <c r="R1136" s="13"/>
      <c r="S1136" s="14"/>
      <c r="T1136" s="1"/>
      <c r="U1136" s="15"/>
      <c r="V1136" s="1"/>
      <c r="W1136" s="15"/>
      <c r="X1136" s="16"/>
      <c r="Y1136" s="17"/>
    </row>
    <row r="1137" spans="14:25" x14ac:dyDescent="0.25">
      <c r="N1137" s="61"/>
      <c r="O1137" s="61"/>
      <c r="P1137" s="62"/>
      <c r="Q1137" s="13"/>
      <c r="R1137" s="13"/>
      <c r="S1137" s="14"/>
      <c r="T1137" s="1"/>
      <c r="U1137" s="15"/>
      <c r="V1137" s="1"/>
      <c r="W1137" s="15"/>
      <c r="X1137" s="16"/>
      <c r="Y1137" s="17"/>
    </row>
    <row r="1138" spans="14:25" x14ac:dyDescent="0.25">
      <c r="N1138" s="61"/>
      <c r="O1138" s="61"/>
      <c r="P1138" s="62"/>
      <c r="Q1138" s="13"/>
      <c r="R1138" s="13"/>
      <c r="S1138" s="14"/>
      <c r="T1138" s="1"/>
      <c r="U1138" s="15"/>
      <c r="V1138" s="1"/>
      <c r="W1138" s="15"/>
      <c r="X1138" s="16"/>
      <c r="Y1138" s="17"/>
    </row>
    <row r="1139" spans="14:25" x14ac:dyDescent="0.25">
      <c r="N1139" s="61"/>
      <c r="O1139" s="61"/>
      <c r="P1139" s="62"/>
      <c r="Q1139" s="13"/>
      <c r="R1139" s="13"/>
      <c r="S1139" s="14"/>
      <c r="T1139" s="1"/>
      <c r="U1139" s="15"/>
      <c r="V1139" s="1"/>
      <c r="W1139" s="15"/>
      <c r="X1139" s="16"/>
      <c r="Y1139" s="17"/>
    </row>
    <row r="1140" spans="14:25" x14ac:dyDescent="0.25">
      <c r="N1140" s="61"/>
      <c r="O1140" s="61"/>
      <c r="P1140" s="62"/>
      <c r="Q1140" s="13"/>
      <c r="R1140" s="13"/>
      <c r="S1140" s="14"/>
      <c r="T1140" s="1"/>
      <c r="U1140" s="15"/>
      <c r="V1140" s="1"/>
      <c r="W1140" s="15"/>
      <c r="X1140" s="16"/>
      <c r="Y1140" s="17"/>
    </row>
    <row r="1141" spans="14:25" x14ac:dyDescent="0.25">
      <c r="N1141" s="61"/>
      <c r="O1141" s="61"/>
      <c r="P1141" s="62"/>
      <c r="Q1141" s="13"/>
      <c r="R1141" s="13"/>
      <c r="S1141" s="14"/>
      <c r="T1141" s="1"/>
      <c r="U1141" s="15"/>
      <c r="V1141" s="1"/>
      <c r="W1141" s="15"/>
      <c r="X1141" s="16"/>
      <c r="Y1141" s="17"/>
    </row>
    <row r="1142" spans="14:25" x14ac:dyDescent="0.25">
      <c r="N1142" s="61"/>
      <c r="O1142" s="61"/>
      <c r="P1142" s="62"/>
      <c r="Q1142" s="13"/>
      <c r="R1142" s="13"/>
      <c r="S1142" s="14"/>
      <c r="T1142" s="1"/>
      <c r="U1142" s="15"/>
      <c r="V1142" s="1"/>
      <c r="W1142" s="15"/>
      <c r="X1142" s="16"/>
      <c r="Y1142" s="17"/>
    </row>
    <row r="1143" spans="14:25" x14ac:dyDescent="0.25">
      <c r="N1143" s="61"/>
      <c r="O1143" s="61"/>
      <c r="P1143" s="62"/>
      <c r="Q1143" s="13"/>
      <c r="R1143" s="13"/>
      <c r="S1143" s="14"/>
      <c r="T1143" s="1"/>
      <c r="U1143" s="15"/>
      <c r="V1143" s="1"/>
      <c r="W1143" s="15"/>
      <c r="X1143" s="16"/>
      <c r="Y1143" s="17"/>
    </row>
    <row r="1144" spans="14:25" x14ac:dyDescent="0.25">
      <c r="N1144" s="61"/>
      <c r="O1144" s="61"/>
      <c r="P1144" s="62"/>
      <c r="Q1144" s="13"/>
      <c r="R1144" s="13"/>
      <c r="S1144" s="14"/>
      <c r="T1144" s="1"/>
      <c r="U1144" s="15"/>
      <c r="V1144" s="1"/>
      <c r="W1144" s="15"/>
      <c r="X1144" s="16"/>
      <c r="Y1144" s="17"/>
    </row>
    <row r="1145" spans="14:25" x14ac:dyDescent="0.25">
      <c r="N1145" s="61"/>
      <c r="O1145" s="61"/>
      <c r="P1145" s="62"/>
      <c r="Q1145" s="13"/>
      <c r="R1145" s="13"/>
      <c r="S1145" s="14"/>
      <c r="T1145" s="1"/>
      <c r="U1145" s="15"/>
      <c r="V1145" s="1"/>
      <c r="W1145" s="15"/>
      <c r="X1145" s="16"/>
      <c r="Y1145" s="17"/>
    </row>
    <row r="1146" spans="14:25" x14ac:dyDescent="0.25">
      <c r="N1146" s="61"/>
      <c r="O1146" s="61"/>
      <c r="P1146" s="62"/>
      <c r="Q1146" s="13"/>
      <c r="R1146" s="13"/>
      <c r="S1146" s="14"/>
      <c r="T1146" s="1"/>
      <c r="U1146" s="15"/>
      <c r="V1146" s="1"/>
      <c r="W1146" s="15"/>
      <c r="X1146" s="16"/>
      <c r="Y1146" s="17"/>
    </row>
    <row r="1147" spans="14:25" x14ac:dyDescent="0.25">
      <c r="N1147" s="61"/>
      <c r="O1147" s="61"/>
      <c r="P1147" s="62"/>
      <c r="Q1147" s="13"/>
      <c r="R1147" s="13"/>
      <c r="S1147" s="14"/>
      <c r="T1147" s="1"/>
      <c r="U1147" s="15"/>
      <c r="V1147" s="1"/>
      <c r="W1147" s="15"/>
      <c r="X1147" s="16"/>
      <c r="Y1147" s="17"/>
    </row>
    <row r="1148" spans="14:25" x14ac:dyDescent="0.25">
      <c r="N1148" s="61"/>
      <c r="O1148" s="61"/>
      <c r="P1148" s="62"/>
      <c r="Q1148" s="13"/>
      <c r="R1148" s="13"/>
      <c r="S1148" s="14"/>
      <c r="T1148" s="1"/>
      <c r="U1148" s="15"/>
      <c r="V1148" s="1"/>
      <c r="W1148" s="15"/>
      <c r="X1148" s="16"/>
      <c r="Y1148" s="17"/>
    </row>
    <row r="1149" spans="14:25" x14ac:dyDescent="0.25">
      <c r="N1149" s="61"/>
      <c r="O1149" s="61"/>
      <c r="P1149" s="62"/>
      <c r="Q1149" s="13"/>
      <c r="R1149" s="13"/>
      <c r="S1149" s="14"/>
      <c r="T1149" s="1"/>
      <c r="U1149" s="15"/>
      <c r="V1149" s="1"/>
      <c r="W1149" s="15"/>
      <c r="X1149" s="16"/>
      <c r="Y1149" s="17"/>
    </row>
    <row r="1150" spans="14:25" x14ac:dyDescent="0.25">
      <c r="N1150" s="61"/>
      <c r="O1150" s="61"/>
      <c r="P1150" s="62"/>
      <c r="Q1150" s="13"/>
      <c r="R1150" s="13"/>
      <c r="S1150" s="14"/>
      <c r="T1150" s="1"/>
      <c r="U1150" s="15"/>
      <c r="V1150" s="1"/>
      <c r="W1150" s="15"/>
      <c r="X1150" s="16"/>
      <c r="Y1150" s="17"/>
    </row>
    <row r="1151" spans="14:25" x14ac:dyDescent="0.25">
      <c r="N1151" s="61"/>
      <c r="O1151" s="61"/>
      <c r="P1151" s="62"/>
      <c r="Q1151" s="13"/>
      <c r="R1151" s="13"/>
      <c r="S1151" s="14"/>
      <c r="T1151" s="1"/>
      <c r="U1151" s="15"/>
      <c r="V1151" s="1"/>
      <c r="W1151" s="15"/>
      <c r="X1151" s="16"/>
      <c r="Y1151" s="17"/>
    </row>
    <row r="1152" spans="14:25" x14ac:dyDescent="0.25">
      <c r="N1152" s="61"/>
      <c r="O1152" s="61"/>
      <c r="P1152" s="62"/>
      <c r="Q1152" s="13"/>
      <c r="R1152" s="13"/>
      <c r="S1152" s="14"/>
      <c r="T1152" s="1"/>
      <c r="U1152" s="15"/>
      <c r="V1152" s="1"/>
      <c r="W1152" s="15"/>
      <c r="X1152" s="16"/>
      <c r="Y1152" s="17"/>
    </row>
    <row r="1153" spans="14:25" x14ac:dyDescent="0.25">
      <c r="N1153" s="61"/>
      <c r="O1153" s="61"/>
      <c r="P1153" s="62"/>
      <c r="Q1153" s="13"/>
      <c r="R1153" s="13"/>
      <c r="S1153" s="14"/>
      <c r="T1153" s="1"/>
      <c r="U1153" s="15"/>
      <c r="V1153" s="1"/>
      <c r="W1153" s="15"/>
      <c r="X1153" s="16"/>
      <c r="Y1153" s="17"/>
    </row>
    <row r="1154" spans="14:25" x14ac:dyDescent="0.25">
      <c r="N1154" s="61"/>
      <c r="O1154" s="61"/>
      <c r="P1154" s="62"/>
      <c r="Q1154" s="13"/>
      <c r="R1154" s="13"/>
      <c r="S1154" s="14"/>
      <c r="T1154" s="1"/>
      <c r="U1154" s="15"/>
      <c r="V1154" s="1"/>
      <c r="W1154" s="15"/>
      <c r="X1154" s="16"/>
      <c r="Y1154" s="17"/>
    </row>
    <row r="1155" spans="14:25" x14ac:dyDescent="0.25">
      <c r="N1155" s="61"/>
      <c r="O1155" s="61"/>
      <c r="P1155" s="62"/>
      <c r="Q1155" s="13"/>
      <c r="R1155" s="13"/>
      <c r="S1155" s="14"/>
      <c r="T1155" s="1"/>
      <c r="U1155" s="15"/>
      <c r="V1155" s="1"/>
      <c r="W1155" s="15"/>
      <c r="X1155" s="16"/>
      <c r="Y1155" s="17"/>
    </row>
    <row r="1156" spans="14:25" x14ac:dyDescent="0.25">
      <c r="N1156" s="61"/>
      <c r="O1156" s="61"/>
      <c r="P1156" s="62"/>
      <c r="Q1156" s="13"/>
      <c r="R1156" s="13"/>
      <c r="S1156" s="14"/>
      <c r="T1156" s="1"/>
      <c r="U1156" s="15"/>
      <c r="V1156" s="1"/>
      <c r="W1156" s="15"/>
      <c r="X1156" s="16"/>
      <c r="Y1156" s="17"/>
    </row>
    <row r="1157" spans="14:25" x14ac:dyDescent="0.25">
      <c r="N1157" s="61"/>
      <c r="O1157" s="61"/>
      <c r="P1157" s="62"/>
      <c r="Q1157" s="13"/>
      <c r="R1157" s="13"/>
      <c r="S1157" s="14"/>
      <c r="T1157" s="1"/>
      <c r="U1157" s="15"/>
      <c r="V1157" s="1"/>
      <c r="W1157" s="15"/>
      <c r="X1157" s="16"/>
      <c r="Y1157" s="17"/>
    </row>
    <row r="1158" spans="14:25" x14ac:dyDescent="0.25">
      <c r="N1158" s="61"/>
      <c r="O1158" s="61"/>
      <c r="P1158" s="62"/>
      <c r="Q1158" s="13"/>
      <c r="R1158" s="13"/>
      <c r="S1158" s="14"/>
      <c r="T1158" s="1"/>
      <c r="U1158" s="15"/>
      <c r="V1158" s="1"/>
      <c r="W1158" s="15"/>
      <c r="X1158" s="16"/>
      <c r="Y1158" s="17"/>
    </row>
    <row r="1159" spans="14:25" x14ac:dyDescent="0.25">
      <c r="N1159" s="61"/>
      <c r="O1159" s="61"/>
      <c r="P1159" s="62"/>
      <c r="Q1159" s="13"/>
      <c r="R1159" s="13"/>
      <c r="S1159" s="14"/>
      <c r="T1159" s="1"/>
      <c r="U1159" s="15"/>
      <c r="V1159" s="1"/>
      <c r="W1159" s="15"/>
      <c r="X1159" s="16"/>
      <c r="Y1159" s="17"/>
    </row>
    <row r="1160" spans="14:25" x14ac:dyDescent="0.25">
      <c r="N1160" s="61"/>
      <c r="O1160" s="61"/>
      <c r="P1160" s="62"/>
      <c r="Q1160" s="13"/>
      <c r="R1160" s="13"/>
      <c r="S1160" s="14"/>
      <c r="T1160" s="1"/>
      <c r="U1160" s="15"/>
      <c r="V1160" s="1"/>
      <c r="W1160" s="15"/>
      <c r="X1160" s="16"/>
      <c r="Y1160" s="17"/>
    </row>
    <row r="1161" spans="14:25" x14ac:dyDescent="0.25">
      <c r="N1161" s="61"/>
      <c r="O1161" s="61"/>
      <c r="P1161" s="62"/>
      <c r="Q1161" s="13"/>
      <c r="R1161" s="13"/>
      <c r="S1161" s="14"/>
      <c r="T1161" s="1"/>
      <c r="U1161" s="15"/>
      <c r="V1161" s="1"/>
      <c r="W1161" s="15"/>
      <c r="X1161" s="16"/>
      <c r="Y1161" s="17"/>
    </row>
    <row r="1162" spans="14:25" x14ac:dyDescent="0.25">
      <c r="N1162" s="61"/>
      <c r="O1162" s="61"/>
      <c r="P1162" s="62"/>
      <c r="Q1162" s="13"/>
      <c r="R1162" s="13"/>
      <c r="S1162" s="14"/>
      <c r="T1162" s="1"/>
      <c r="U1162" s="15"/>
      <c r="V1162" s="1"/>
      <c r="W1162" s="15"/>
      <c r="X1162" s="16"/>
      <c r="Y1162" s="17"/>
    </row>
    <row r="1163" spans="14:25" x14ac:dyDescent="0.25">
      <c r="N1163" s="61"/>
      <c r="O1163" s="61"/>
      <c r="P1163" s="62"/>
      <c r="Q1163" s="13"/>
      <c r="R1163" s="13"/>
      <c r="S1163" s="14"/>
      <c r="T1163" s="1"/>
      <c r="U1163" s="15"/>
      <c r="V1163" s="1"/>
      <c r="W1163" s="15"/>
      <c r="X1163" s="16"/>
      <c r="Y1163" s="17"/>
    </row>
    <row r="1164" spans="14:25" x14ac:dyDescent="0.25">
      <c r="N1164" s="61"/>
      <c r="O1164" s="61"/>
      <c r="P1164" s="62"/>
      <c r="Q1164" s="13"/>
      <c r="R1164" s="13"/>
      <c r="S1164" s="14"/>
      <c r="T1164" s="1"/>
      <c r="U1164" s="15"/>
      <c r="V1164" s="1"/>
      <c r="W1164" s="15"/>
      <c r="X1164" s="16"/>
      <c r="Y1164" s="17"/>
    </row>
    <row r="1165" spans="14:25" x14ac:dyDescent="0.25">
      <c r="N1165" s="61"/>
      <c r="O1165" s="61"/>
      <c r="P1165" s="62"/>
      <c r="Q1165" s="13"/>
      <c r="R1165" s="13"/>
      <c r="S1165" s="14"/>
      <c r="T1165" s="1"/>
      <c r="U1165" s="15"/>
      <c r="V1165" s="1"/>
      <c r="W1165" s="15"/>
      <c r="X1165" s="16"/>
      <c r="Y1165" s="17"/>
    </row>
    <row r="1166" spans="14:25" x14ac:dyDescent="0.25">
      <c r="N1166" s="61"/>
      <c r="O1166" s="61"/>
      <c r="P1166" s="62"/>
      <c r="Q1166" s="13"/>
      <c r="R1166" s="13"/>
      <c r="S1166" s="14"/>
      <c r="T1166" s="1"/>
      <c r="U1166" s="15"/>
      <c r="V1166" s="1"/>
      <c r="W1166" s="15"/>
      <c r="X1166" s="16"/>
      <c r="Y1166" s="17"/>
    </row>
    <row r="1167" spans="14:25" x14ac:dyDescent="0.25">
      <c r="N1167" s="61"/>
      <c r="O1167" s="61"/>
      <c r="P1167" s="62"/>
      <c r="Q1167" s="13"/>
      <c r="R1167" s="13"/>
      <c r="S1167" s="14"/>
      <c r="T1167" s="1"/>
      <c r="U1167" s="15"/>
      <c r="V1167" s="1"/>
      <c r="W1167" s="15"/>
      <c r="X1167" s="16"/>
      <c r="Y1167" s="17"/>
    </row>
    <row r="1168" spans="14:25" x14ac:dyDescent="0.25">
      <c r="N1168" s="61"/>
      <c r="O1168" s="61"/>
      <c r="P1168" s="62"/>
      <c r="Q1168" s="13"/>
      <c r="R1168" s="13"/>
      <c r="S1168" s="14"/>
      <c r="T1168" s="1"/>
      <c r="U1168" s="15"/>
      <c r="V1168" s="1"/>
      <c r="W1168" s="15"/>
      <c r="X1168" s="16"/>
      <c r="Y1168" s="17"/>
    </row>
    <row r="1169" spans="14:25" x14ac:dyDescent="0.25">
      <c r="N1169" s="61"/>
      <c r="O1169" s="61"/>
      <c r="P1169" s="62"/>
      <c r="Q1169" s="13"/>
      <c r="R1169" s="13"/>
      <c r="S1169" s="14"/>
      <c r="T1169" s="1"/>
      <c r="U1169" s="15"/>
      <c r="V1169" s="1"/>
      <c r="W1169" s="15"/>
      <c r="X1169" s="16"/>
      <c r="Y1169" s="17"/>
    </row>
    <row r="1170" spans="14:25" x14ac:dyDescent="0.25">
      <c r="N1170" s="61"/>
      <c r="O1170" s="61"/>
      <c r="P1170" s="62"/>
      <c r="Q1170" s="13"/>
      <c r="R1170" s="13"/>
      <c r="S1170" s="14"/>
      <c r="T1170" s="1"/>
      <c r="U1170" s="15"/>
      <c r="V1170" s="1"/>
      <c r="W1170" s="15"/>
      <c r="X1170" s="16"/>
      <c r="Y1170" s="17"/>
    </row>
    <row r="1171" spans="14:25" x14ac:dyDescent="0.25">
      <c r="N1171" s="61"/>
      <c r="O1171" s="61"/>
      <c r="P1171" s="62"/>
      <c r="Q1171" s="13"/>
      <c r="R1171" s="13"/>
      <c r="S1171" s="14"/>
      <c r="T1171" s="1"/>
      <c r="U1171" s="15"/>
      <c r="V1171" s="1"/>
      <c r="W1171" s="15"/>
      <c r="X1171" s="16"/>
      <c r="Y1171" s="17"/>
    </row>
    <row r="1172" spans="14:25" x14ac:dyDescent="0.25">
      <c r="N1172" s="61"/>
      <c r="O1172" s="61"/>
      <c r="P1172" s="62"/>
      <c r="Q1172" s="13"/>
      <c r="R1172" s="13"/>
      <c r="S1172" s="14"/>
      <c r="T1172" s="1"/>
      <c r="U1172" s="15"/>
      <c r="V1172" s="1"/>
      <c r="W1172" s="15"/>
      <c r="X1172" s="16"/>
      <c r="Y1172" s="17"/>
    </row>
    <row r="1173" spans="14:25" x14ac:dyDescent="0.25">
      <c r="N1173" s="61"/>
      <c r="O1173" s="61"/>
      <c r="P1173" s="62"/>
      <c r="Q1173" s="13"/>
      <c r="R1173" s="13"/>
      <c r="S1173" s="14"/>
      <c r="T1173" s="1"/>
      <c r="U1173" s="15"/>
      <c r="V1173" s="1"/>
      <c r="W1173" s="15"/>
      <c r="X1173" s="16"/>
      <c r="Y1173" s="17"/>
    </row>
    <row r="1174" spans="14:25" x14ac:dyDescent="0.25">
      <c r="N1174" s="61"/>
      <c r="O1174" s="61"/>
      <c r="P1174" s="62"/>
      <c r="Q1174" s="13"/>
      <c r="R1174" s="13"/>
      <c r="S1174" s="14"/>
      <c r="T1174" s="1"/>
      <c r="U1174" s="15"/>
      <c r="V1174" s="1"/>
      <c r="W1174" s="15"/>
      <c r="X1174" s="16"/>
      <c r="Y1174" s="17"/>
    </row>
    <row r="1175" spans="14:25" x14ac:dyDescent="0.25">
      <c r="N1175" s="61"/>
      <c r="O1175" s="61"/>
      <c r="P1175" s="62"/>
      <c r="Q1175" s="13"/>
      <c r="R1175" s="13"/>
      <c r="S1175" s="14"/>
      <c r="T1175" s="1"/>
      <c r="U1175" s="15"/>
      <c r="V1175" s="1"/>
      <c r="W1175" s="15"/>
      <c r="X1175" s="16"/>
      <c r="Y1175" s="17"/>
    </row>
    <row r="1176" spans="14:25" x14ac:dyDescent="0.25">
      <c r="N1176" s="61"/>
      <c r="O1176" s="61"/>
      <c r="P1176" s="62"/>
      <c r="Q1176" s="13"/>
      <c r="R1176" s="13"/>
      <c r="S1176" s="14"/>
      <c r="T1176" s="1"/>
      <c r="U1176" s="15"/>
      <c r="V1176" s="1"/>
      <c r="W1176" s="15"/>
      <c r="X1176" s="16"/>
      <c r="Y1176" s="17"/>
    </row>
    <row r="1177" spans="14:25" x14ac:dyDescent="0.25">
      <c r="N1177" s="61"/>
      <c r="O1177" s="61"/>
      <c r="P1177" s="62"/>
      <c r="Q1177" s="13"/>
      <c r="R1177" s="13"/>
      <c r="S1177" s="14"/>
      <c r="T1177" s="1"/>
      <c r="U1177" s="15"/>
      <c r="V1177" s="1"/>
      <c r="W1177" s="15"/>
      <c r="X1177" s="16"/>
      <c r="Y1177" s="17"/>
    </row>
    <row r="1178" spans="14:25" x14ac:dyDescent="0.25">
      <c r="N1178" s="61"/>
      <c r="O1178" s="61"/>
      <c r="P1178" s="62"/>
      <c r="Q1178" s="13"/>
      <c r="R1178" s="13"/>
      <c r="S1178" s="14"/>
      <c r="T1178" s="1"/>
      <c r="U1178" s="15"/>
      <c r="V1178" s="1"/>
      <c r="W1178" s="15"/>
      <c r="X1178" s="16"/>
      <c r="Y1178" s="17"/>
    </row>
    <row r="1179" spans="14:25" x14ac:dyDescent="0.25">
      <c r="N1179" s="61"/>
      <c r="O1179" s="61"/>
      <c r="P1179" s="62"/>
      <c r="Q1179" s="13"/>
      <c r="R1179" s="13"/>
      <c r="S1179" s="14"/>
      <c r="T1179" s="1"/>
      <c r="U1179" s="15"/>
      <c r="V1179" s="1"/>
      <c r="W1179" s="15"/>
      <c r="X1179" s="16"/>
      <c r="Y1179" s="17"/>
    </row>
    <row r="1180" spans="14:25" x14ac:dyDescent="0.25">
      <c r="N1180" s="61"/>
      <c r="O1180" s="61"/>
      <c r="P1180" s="62"/>
      <c r="Q1180" s="13"/>
      <c r="R1180" s="13"/>
      <c r="S1180" s="14"/>
      <c r="T1180" s="1"/>
      <c r="U1180" s="15"/>
      <c r="V1180" s="1"/>
      <c r="W1180" s="15"/>
      <c r="X1180" s="16"/>
      <c r="Y1180" s="17"/>
    </row>
    <row r="1181" spans="14:25" x14ac:dyDescent="0.25">
      <c r="N1181" s="61"/>
      <c r="O1181" s="61"/>
      <c r="P1181" s="62"/>
      <c r="Q1181" s="13"/>
      <c r="R1181" s="13"/>
      <c r="S1181" s="14"/>
      <c r="T1181" s="1"/>
      <c r="U1181" s="15"/>
      <c r="V1181" s="1"/>
      <c r="W1181" s="15"/>
      <c r="X1181" s="16"/>
      <c r="Y1181" s="17"/>
    </row>
    <row r="1182" spans="14:25" x14ac:dyDescent="0.25">
      <c r="N1182" s="61"/>
      <c r="O1182" s="61"/>
      <c r="P1182" s="62"/>
      <c r="Q1182" s="13"/>
      <c r="R1182" s="13"/>
      <c r="S1182" s="14"/>
      <c r="T1182" s="1"/>
      <c r="U1182" s="15"/>
      <c r="V1182" s="1"/>
      <c r="W1182" s="15"/>
      <c r="X1182" s="16"/>
      <c r="Y1182" s="17"/>
    </row>
    <row r="1183" spans="14:25" x14ac:dyDescent="0.25">
      <c r="N1183" s="61"/>
      <c r="O1183" s="61"/>
      <c r="P1183" s="62"/>
      <c r="Q1183" s="13"/>
      <c r="R1183" s="13"/>
      <c r="S1183" s="14"/>
      <c r="T1183" s="1"/>
      <c r="U1183" s="15"/>
      <c r="V1183" s="1"/>
      <c r="W1183" s="15"/>
      <c r="X1183" s="16"/>
      <c r="Y1183" s="17"/>
    </row>
    <row r="1184" spans="14:25" x14ac:dyDescent="0.25">
      <c r="N1184" s="61"/>
      <c r="O1184" s="61"/>
      <c r="P1184" s="62"/>
      <c r="Q1184" s="13"/>
      <c r="R1184" s="13"/>
      <c r="S1184" s="14"/>
      <c r="T1184" s="1"/>
      <c r="U1184" s="15"/>
      <c r="V1184" s="1"/>
      <c r="W1184" s="15"/>
      <c r="X1184" s="16"/>
      <c r="Y1184" s="17"/>
    </row>
    <row r="1185" spans="14:25" x14ac:dyDescent="0.25">
      <c r="N1185" s="61"/>
      <c r="O1185" s="61"/>
      <c r="P1185" s="62"/>
      <c r="Q1185" s="13"/>
      <c r="R1185" s="13"/>
      <c r="S1185" s="14"/>
      <c r="T1185" s="1"/>
      <c r="U1185" s="15"/>
      <c r="V1185" s="1"/>
      <c r="W1185" s="15"/>
      <c r="X1185" s="16"/>
      <c r="Y1185" s="17"/>
    </row>
    <row r="1186" spans="14:25" x14ac:dyDescent="0.25">
      <c r="N1186" s="61"/>
      <c r="O1186" s="61"/>
      <c r="P1186" s="62"/>
      <c r="Q1186" s="13"/>
      <c r="R1186" s="13"/>
      <c r="S1186" s="14"/>
      <c r="T1186" s="1"/>
      <c r="U1186" s="15"/>
      <c r="V1186" s="1"/>
      <c r="W1186" s="15"/>
      <c r="X1186" s="16"/>
      <c r="Y1186" s="17"/>
    </row>
    <row r="1187" spans="14:25" x14ac:dyDescent="0.25">
      <c r="N1187" s="61"/>
      <c r="O1187" s="61"/>
      <c r="P1187" s="62"/>
      <c r="Q1187" s="13"/>
      <c r="R1187" s="13"/>
      <c r="S1187" s="14"/>
      <c r="T1187" s="1"/>
      <c r="U1187" s="15"/>
      <c r="V1187" s="1"/>
      <c r="W1187" s="15"/>
      <c r="X1187" s="16"/>
      <c r="Y1187" s="17"/>
    </row>
    <row r="1188" spans="14:25" x14ac:dyDescent="0.25">
      <c r="N1188" s="61"/>
      <c r="O1188" s="61"/>
      <c r="P1188" s="62"/>
      <c r="Q1188" s="13"/>
      <c r="R1188" s="13"/>
      <c r="S1188" s="14"/>
      <c r="T1188" s="1"/>
      <c r="U1188" s="15"/>
      <c r="V1188" s="1"/>
      <c r="W1188" s="15"/>
      <c r="X1188" s="16"/>
      <c r="Y1188" s="17"/>
    </row>
    <row r="1189" spans="14:25" x14ac:dyDescent="0.25">
      <c r="N1189" s="61"/>
      <c r="O1189" s="61"/>
      <c r="P1189" s="62"/>
      <c r="Q1189" s="13"/>
      <c r="R1189" s="13"/>
      <c r="S1189" s="14"/>
      <c r="T1189" s="1"/>
      <c r="U1189" s="15"/>
      <c r="V1189" s="1"/>
      <c r="W1189" s="15"/>
      <c r="X1189" s="16"/>
      <c r="Y1189" s="17"/>
    </row>
    <row r="1190" spans="14:25" x14ac:dyDescent="0.25">
      <c r="N1190" s="61"/>
      <c r="O1190" s="61"/>
      <c r="P1190" s="62"/>
      <c r="Q1190" s="13"/>
      <c r="R1190" s="13"/>
      <c r="S1190" s="14"/>
      <c r="T1190" s="1"/>
      <c r="U1190" s="15"/>
      <c r="V1190" s="1"/>
      <c r="W1190" s="15"/>
      <c r="X1190" s="16"/>
      <c r="Y1190" s="17"/>
    </row>
    <row r="1191" spans="14:25" x14ac:dyDescent="0.25">
      <c r="N1191" s="61"/>
      <c r="O1191" s="61"/>
      <c r="P1191" s="62"/>
      <c r="Q1191" s="13"/>
      <c r="R1191" s="13"/>
      <c r="S1191" s="14"/>
      <c r="T1191" s="1"/>
      <c r="U1191" s="15"/>
      <c r="V1191" s="1"/>
      <c r="W1191" s="15"/>
      <c r="X1191" s="16"/>
      <c r="Y1191" s="17"/>
    </row>
    <row r="1192" spans="14:25" x14ac:dyDescent="0.25">
      <c r="N1192" s="61"/>
      <c r="O1192" s="61"/>
      <c r="P1192" s="62"/>
      <c r="Q1192" s="13"/>
      <c r="R1192" s="13"/>
      <c r="S1192" s="14"/>
      <c r="T1192" s="1"/>
      <c r="U1192" s="15"/>
      <c r="V1192" s="1"/>
      <c r="W1192" s="15"/>
      <c r="X1192" s="16"/>
      <c r="Y1192" s="17"/>
    </row>
    <row r="1193" spans="14:25" x14ac:dyDescent="0.25">
      <c r="N1193" s="61"/>
      <c r="O1193" s="61"/>
      <c r="P1193" s="62"/>
      <c r="Q1193" s="13"/>
      <c r="R1193" s="13"/>
      <c r="S1193" s="14"/>
      <c r="T1193" s="1"/>
      <c r="U1193" s="15"/>
      <c r="V1193" s="1"/>
      <c r="W1193" s="15"/>
      <c r="X1193" s="16"/>
      <c r="Y1193" s="17"/>
    </row>
    <row r="1194" spans="14:25" x14ac:dyDescent="0.25">
      <c r="N1194" s="61"/>
      <c r="O1194" s="61"/>
      <c r="P1194" s="62"/>
      <c r="Q1194" s="13"/>
      <c r="R1194" s="13"/>
      <c r="S1194" s="14"/>
      <c r="T1194" s="1"/>
      <c r="U1194" s="15"/>
      <c r="V1194" s="1"/>
      <c r="W1194" s="15"/>
      <c r="X1194" s="16"/>
      <c r="Y1194" s="17"/>
    </row>
    <row r="1195" spans="14:25" x14ac:dyDescent="0.25">
      <c r="N1195" s="61"/>
      <c r="O1195" s="61"/>
      <c r="P1195" s="62"/>
      <c r="Q1195" s="13"/>
      <c r="R1195" s="13"/>
      <c r="S1195" s="14"/>
      <c r="T1195" s="1"/>
      <c r="U1195" s="15"/>
      <c r="V1195" s="1"/>
      <c r="W1195" s="15"/>
      <c r="X1195" s="16"/>
      <c r="Y1195" s="17"/>
    </row>
    <row r="1196" spans="14:25" x14ac:dyDescent="0.25">
      <c r="N1196" s="61"/>
      <c r="O1196" s="61"/>
      <c r="P1196" s="62"/>
      <c r="Q1196" s="13"/>
      <c r="R1196" s="13"/>
      <c r="S1196" s="14"/>
      <c r="T1196" s="1"/>
      <c r="U1196" s="15"/>
      <c r="V1196" s="1"/>
      <c r="W1196" s="15"/>
      <c r="X1196" s="16"/>
      <c r="Y1196" s="17"/>
    </row>
    <row r="1197" spans="14:25" x14ac:dyDescent="0.25">
      <c r="N1197" s="61"/>
      <c r="O1197" s="61"/>
      <c r="P1197" s="62"/>
      <c r="Q1197" s="13"/>
      <c r="R1197" s="13"/>
      <c r="S1197" s="14"/>
      <c r="T1197" s="1"/>
      <c r="U1197" s="15"/>
      <c r="V1197" s="1"/>
      <c r="W1197" s="15"/>
      <c r="X1197" s="16"/>
      <c r="Y1197" s="17"/>
    </row>
    <row r="1198" spans="14:25" x14ac:dyDescent="0.25">
      <c r="N1198" s="61"/>
      <c r="O1198" s="61"/>
      <c r="P1198" s="62"/>
      <c r="Q1198" s="13"/>
      <c r="R1198" s="13"/>
      <c r="S1198" s="14"/>
      <c r="T1198" s="1"/>
      <c r="U1198" s="15"/>
      <c r="V1198" s="1"/>
      <c r="W1198" s="15"/>
      <c r="X1198" s="16"/>
      <c r="Y1198" s="17"/>
    </row>
    <row r="1199" spans="14:25" x14ac:dyDescent="0.25">
      <c r="N1199" s="61"/>
      <c r="O1199" s="61"/>
      <c r="P1199" s="62"/>
      <c r="Q1199" s="13"/>
      <c r="R1199" s="13"/>
      <c r="S1199" s="14"/>
      <c r="T1199" s="1"/>
      <c r="U1199" s="15"/>
      <c r="V1199" s="1"/>
      <c r="W1199" s="15"/>
      <c r="X1199" s="16"/>
      <c r="Y1199" s="17"/>
    </row>
    <row r="1200" spans="14:25" x14ac:dyDescent="0.25">
      <c r="N1200" s="61"/>
      <c r="O1200" s="61"/>
      <c r="P1200" s="62"/>
      <c r="Q1200" s="13"/>
      <c r="R1200" s="13"/>
      <c r="S1200" s="14"/>
      <c r="T1200" s="1"/>
      <c r="U1200" s="15"/>
      <c r="V1200" s="1"/>
      <c r="W1200" s="15"/>
      <c r="X1200" s="16"/>
      <c r="Y1200" s="17"/>
    </row>
    <row r="1201" spans="14:25" x14ac:dyDescent="0.25">
      <c r="N1201" s="61"/>
      <c r="O1201" s="61"/>
      <c r="P1201" s="62"/>
      <c r="Q1201" s="13"/>
      <c r="R1201" s="13"/>
      <c r="S1201" s="14"/>
      <c r="T1201" s="1"/>
      <c r="U1201" s="15"/>
      <c r="V1201" s="1"/>
      <c r="W1201" s="15"/>
      <c r="X1201" s="16"/>
      <c r="Y1201" s="17"/>
    </row>
    <row r="1202" spans="14:25" x14ac:dyDescent="0.25">
      <c r="N1202" s="61"/>
      <c r="O1202" s="61"/>
      <c r="P1202" s="62"/>
      <c r="Q1202" s="13"/>
      <c r="R1202" s="13"/>
      <c r="S1202" s="14"/>
      <c r="T1202" s="1"/>
      <c r="U1202" s="15"/>
      <c r="V1202" s="1"/>
      <c r="W1202" s="15"/>
      <c r="X1202" s="16"/>
      <c r="Y1202" s="17"/>
    </row>
    <row r="1203" spans="14:25" x14ac:dyDescent="0.25">
      <c r="N1203" s="61"/>
      <c r="O1203" s="61"/>
      <c r="P1203" s="62"/>
      <c r="Q1203" s="13"/>
      <c r="R1203" s="13"/>
      <c r="S1203" s="14"/>
      <c r="T1203" s="1"/>
      <c r="U1203" s="15"/>
      <c r="V1203" s="1"/>
      <c r="W1203" s="15"/>
      <c r="X1203" s="16"/>
      <c r="Y1203" s="17"/>
    </row>
    <row r="1204" spans="14:25" x14ac:dyDescent="0.25">
      <c r="N1204" s="61"/>
      <c r="O1204" s="61"/>
      <c r="P1204" s="62"/>
      <c r="Q1204" s="13"/>
      <c r="R1204" s="13"/>
      <c r="S1204" s="14"/>
      <c r="T1204" s="1"/>
      <c r="U1204" s="15"/>
      <c r="V1204" s="1"/>
      <c r="W1204" s="15"/>
      <c r="X1204" s="16"/>
      <c r="Y1204" s="17"/>
    </row>
    <row r="1205" spans="14:25" x14ac:dyDescent="0.25">
      <c r="N1205" s="61"/>
      <c r="O1205" s="61"/>
      <c r="P1205" s="62"/>
      <c r="Q1205" s="13"/>
      <c r="R1205" s="13"/>
      <c r="S1205" s="14"/>
      <c r="T1205" s="1"/>
      <c r="U1205" s="15"/>
      <c r="V1205" s="1"/>
      <c r="W1205" s="15"/>
      <c r="X1205" s="16"/>
      <c r="Y1205" s="17"/>
    </row>
    <row r="1206" spans="14:25" x14ac:dyDescent="0.25">
      <c r="N1206" s="61"/>
      <c r="O1206" s="61"/>
      <c r="P1206" s="62"/>
      <c r="Q1206" s="13"/>
      <c r="R1206" s="13"/>
      <c r="S1206" s="14"/>
      <c r="T1206" s="1"/>
      <c r="U1206" s="15"/>
      <c r="V1206" s="1"/>
      <c r="W1206" s="15"/>
      <c r="X1206" s="16"/>
      <c r="Y1206" s="17"/>
    </row>
    <row r="1207" spans="14:25" x14ac:dyDescent="0.25">
      <c r="N1207" s="61"/>
      <c r="O1207" s="61"/>
      <c r="P1207" s="62"/>
      <c r="Q1207" s="13"/>
      <c r="R1207" s="13"/>
      <c r="S1207" s="14"/>
      <c r="T1207" s="1"/>
      <c r="U1207" s="15"/>
      <c r="V1207" s="1"/>
      <c r="W1207" s="15"/>
      <c r="X1207" s="16"/>
      <c r="Y1207" s="17"/>
    </row>
    <row r="1208" spans="14:25" x14ac:dyDescent="0.25">
      <c r="N1208" s="61"/>
      <c r="O1208" s="61"/>
      <c r="P1208" s="62"/>
      <c r="Q1208" s="13"/>
      <c r="R1208" s="13"/>
      <c r="S1208" s="14"/>
      <c r="T1208" s="1"/>
      <c r="U1208" s="15"/>
      <c r="V1208" s="1"/>
      <c r="W1208" s="15"/>
      <c r="X1208" s="16"/>
      <c r="Y1208" s="17"/>
    </row>
    <row r="1209" spans="14:25" x14ac:dyDescent="0.25">
      <c r="N1209" s="61"/>
      <c r="O1209" s="61"/>
      <c r="P1209" s="62"/>
      <c r="Q1209" s="13"/>
      <c r="R1209" s="13"/>
      <c r="S1209" s="14"/>
      <c r="T1209" s="1"/>
      <c r="U1209" s="15"/>
      <c r="V1209" s="1"/>
      <c r="W1209" s="15"/>
      <c r="X1209" s="16"/>
      <c r="Y1209" s="17"/>
    </row>
    <row r="1210" spans="14:25" x14ac:dyDescent="0.25">
      <c r="N1210" s="61"/>
      <c r="O1210" s="61"/>
      <c r="P1210" s="62"/>
      <c r="Q1210" s="13"/>
      <c r="R1210" s="13"/>
      <c r="S1210" s="14"/>
      <c r="T1210" s="1"/>
      <c r="U1210" s="15"/>
      <c r="V1210" s="1"/>
      <c r="W1210" s="15"/>
      <c r="X1210" s="16"/>
      <c r="Y1210" s="17"/>
    </row>
    <row r="1211" spans="14:25" x14ac:dyDescent="0.25">
      <c r="N1211" s="61"/>
      <c r="O1211" s="61"/>
      <c r="P1211" s="62"/>
      <c r="Q1211" s="13"/>
      <c r="R1211" s="13"/>
      <c r="S1211" s="14"/>
      <c r="T1211" s="1"/>
      <c r="U1211" s="15"/>
      <c r="V1211" s="1"/>
      <c r="W1211" s="15"/>
      <c r="X1211" s="16"/>
      <c r="Y1211" s="17"/>
    </row>
    <row r="1212" spans="14:25" x14ac:dyDescent="0.25">
      <c r="N1212" s="61"/>
      <c r="O1212" s="61"/>
      <c r="P1212" s="62"/>
      <c r="Q1212" s="13"/>
      <c r="R1212" s="13"/>
      <c r="S1212" s="14"/>
      <c r="T1212" s="1"/>
      <c r="U1212" s="15"/>
      <c r="V1212" s="1"/>
      <c r="W1212" s="15"/>
      <c r="X1212" s="16"/>
      <c r="Y1212" s="17"/>
    </row>
    <row r="1213" spans="14:25" x14ac:dyDescent="0.25">
      <c r="N1213" s="61"/>
      <c r="O1213" s="61"/>
      <c r="P1213" s="62"/>
      <c r="Q1213" s="13"/>
      <c r="R1213" s="13"/>
      <c r="S1213" s="14"/>
      <c r="T1213" s="1"/>
      <c r="U1213" s="15"/>
      <c r="V1213" s="1"/>
      <c r="W1213" s="15"/>
      <c r="X1213" s="16"/>
      <c r="Y1213" s="17"/>
    </row>
    <row r="1214" spans="14:25" x14ac:dyDescent="0.25">
      <c r="N1214" s="61"/>
      <c r="O1214" s="61"/>
      <c r="P1214" s="62"/>
      <c r="Q1214" s="13"/>
      <c r="R1214" s="13"/>
      <c r="S1214" s="14"/>
      <c r="T1214" s="1"/>
      <c r="U1214" s="15"/>
      <c r="V1214" s="1"/>
      <c r="W1214" s="15"/>
      <c r="X1214" s="16"/>
      <c r="Y1214" s="17"/>
    </row>
    <row r="1215" spans="14:25" x14ac:dyDescent="0.25">
      <c r="N1215" s="61"/>
      <c r="O1215" s="61"/>
      <c r="P1215" s="62"/>
      <c r="Q1215" s="13"/>
      <c r="R1215" s="13"/>
      <c r="S1215" s="14"/>
      <c r="T1215" s="1"/>
      <c r="U1215" s="15"/>
      <c r="V1215" s="1"/>
      <c r="W1215" s="15"/>
      <c r="X1215" s="16"/>
      <c r="Y1215" s="17"/>
    </row>
    <row r="1216" spans="14:25" x14ac:dyDescent="0.25">
      <c r="N1216" s="61"/>
      <c r="O1216" s="61"/>
      <c r="P1216" s="62"/>
      <c r="Q1216" s="13"/>
      <c r="R1216" s="13"/>
      <c r="S1216" s="14"/>
      <c r="T1216" s="1"/>
      <c r="U1216" s="15"/>
      <c r="V1216" s="1"/>
      <c r="W1216" s="15"/>
      <c r="X1216" s="16"/>
      <c r="Y1216" s="17"/>
    </row>
    <row r="1217" spans="14:25" x14ac:dyDescent="0.25">
      <c r="N1217" s="61"/>
      <c r="O1217" s="61"/>
      <c r="P1217" s="62"/>
      <c r="Q1217" s="13"/>
      <c r="R1217" s="13"/>
      <c r="S1217" s="14"/>
      <c r="T1217" s="1"/>
      <c r="U1217" s="15"/>
      <c r="V1217" s="1"/>
      <c r="W1217" s="15"/>
      <c r="X1217" s="16"/>
      <c r="Y1217" s="17"/>
    </row>
    <row r="1218" spans="14:25" x14ac:dyDescent="0.25">
      <c r="N1218" s="61"/>
      <c r="O1218" s="61"/>
      <c r="P1218" s="62"/>
      <c r="Q1218" s="13"/>
      <c r="R1218" s="13"/>
      <c r="S1218" s="14"/>
      <c r="T1218" s="1"/>
      <c r="U1218" s="15"/>
      <c r="V1218" s="1"/>
      <c r="W1218" s="15"/>
      <c r="X1218" s="16"/>
      <c r="Y1218" s="17"/>
    </row>
    <row r="1219" spans="14:25" x14ac:dyDescent="0.25">
      <c r="N1219" s="61"/>
      <c r="O1219" s="61"/>
      <c r="P1219" s="62"/>
      <c r="Q1219" s="13"/>
      <c r="R1219" s="13"/>
      <c r="S1219" s="14"/>
      <c r="T1219" s="1"/>
      <c r="U1219" s="15"/>
      <c r="V1219" s="1"/>
      <c r="W1219" s="15"/>
      <c r="X1219" s="16"/>
      <c r="Y1219" s="17"/>
    </row>
    <row r="1220" spans="14:25" x14ac:dyDescent="0.25">
      <c r="N1220" s="61"/>
      <c r="O1220" s="61"/>
      <c r="P1220" s="62"/>
      <c r="Q1220" s="13"/>
      <c r="R1220" s="13"/>
      <c r="S1220" s="14"/>
      <c r="T1220" s="1"/>
      <c r="U1220" s="15"/>
      <c r="V1220" s="1"/>
      <c r="W1220" s="15"/>
      <c r="X1220" s="16"/>
      <c r="Y1220" s="17"/>
    </row>
    <row r="1221" spans="14:25" x14ac:dyDescent="0.25">
      <c r="N1221" s="61"/>
      <c r="O1221" s="61"/>
      <c r="P1221" s="62"/>
      <c r="Q1221" s="13"/>
      <c r="R1221" s="13"/>
      <c r="S1221" s="14"/>
      <c r="T1221" s="1"/>
      <c r="U1221" s="15"/>
      <c r="V1221" s="1"/>
      <c r="W1221" s="15"/>
      <c r="X1221" s="16"/>
      <c r="Y1221" s="17"/>
    </row>
    <row r="1222" spans="14:25" x14ac:dyDescent="0.25">
      <c r="N1222" s="61"/>
      <c r="O1222" s="61"/>
      <c r="P1222" s="62"/>
      <c r="Q1222" s="13"/>
      <c r="R1222" s="13"/>
      <c r="S1222" s="14"/>
      <c r="T1222" s="1"/>
      <c r="U1222" s="15"/>
      <c r="V1222" s="1"/>
      <c r="W1222" s="15"/>
      <c r="X1222" s="16"/>
      <c r="Y1222" s="17"/>
    </row>
    <row r="1223" spans="14:25" x14ac:dyDescent="0.25">
      <c r="N1223" s="61"/>
      <c r="O1223" s="61"/>
      <c r="P1223" s="62"/>
      <c r="Q1223" s="13"/>
      <c r="R1223" s="13"/>
      <c r="S1223" s="14"/>
      <c r="T1223" s="1"/>
      <c r="U1223" s="15"/>
      <c r="V1223" s="1"/>
      <c r="W1223" s="15"/>
      <c r="X1223" s="16"/>
      <c r="Y1223" s="17"/>
    </row>
    <row r="1224" spans="14:25" x14ac:dyDescent="0.25">
      <c r="N1224" s="61"/>
      <c r="O1224" s="61"/>
      <c r="P1224" s="62"/>
      <c r="Q1224" s="13"/>
      <c r="R1224" s="13"/>
      <c r="S1224" s="14"/>
      <c r="T1224" s="1"/>
      <c r="U1224" s="15"/>
      <c r="V1224" s="1"/>
      <c r="W1224" s="15"/>
      <c r="X1224" s="16"/>
      <c r="Y1224" s="17"/>
    </row>
    <row r="1225" spans="14:25" x14ac:dyDescent="0.25">
      <c r="N1225" s="61"/>
      <c r="O1225" s="61"/>
      <c r="P1225" s="62"/>
      <c r="Q1225" s="13"/>
      <c r="R1225" s="13"/>
      <c r="S1225" s="14"/>
      <c r="T1225" s="1"/>
      <c r="U1225" s="15"/>
      <c r="V1225" s="1"/>
      <c r="W1225" s="15"/>
      <c r="X1225" s="16"/>
      <c r="Y1225" s="17"/>
    </row>
    <row r="1226" spans="14:25" x14ac:dyDescent="0.25">
      <c r="N1226" s="61"/>
      <c r="O1226" s="61"/>
      <c r="P1226" s="62"/>
      <c r="Q1226" s="13"/>
      <c r="R1226" s="13"/>
      <c r="S1226" s="14"/>
      <c r="T1226" s="1"/>
      <c r="U1226" s="15"/>
      <c r="V1226" s="1"/>
      <c r="W1226" s="15"/>
      <c r="X1226" s="16"/>
      <c r="Y1226" s="17"/>
    </row>
    <row r="1227" spans="14:25" x14ac:dyDescent="0.25">
      <c r="N1227" s="61"/>
      <c r="O1227" s="61"/>
      <c r="P1227" s="62"/>
      <c r="Q1227" s="13"/>
      <c r="R1227" s="13"/>
      <c r="S1227" s="14"/>
      <c r="T1227" s="1"/>
      <c r="U1227" s="15"/>
      <c r="V1227" s="1"/>
      <c r="W1227" s="15"/>
      <c r="X1227" s="16"/>
      <c r="Y1227" s="17"/>
    </row>
    <row r="1228" spans="14:25" x14ac:dyDescent="0.25">
      <c r="N1228" s="61"/>
      <c r="O1228" s="61"/>
      <c r="P1228" s="62"/>
      <c r="Q1228" s="13"/>
      <c r="R1228" s="13"/>
      <c r="S1228" s="14"/>
      <c r="T1228" s="1"/>
      <c r="U1228" s="15"/>
      <c r="V1228" s="1"/>
      <c r="W1228" s="15"/>
      <c r="X1228" s="16"/>
      <c r="Y1228" s="17"/>
    </row>
    <row r="1229" spans="14:25" x14ac:dyDescent="0.25">
      <c r="N1229" s="61"/>
      <c r="O1229" s="61"/>
      <c r="P1229" s="62"/>
      <c r="Q1229" s="13"/>
      <c r="R1229" s="13"/>
      <c r="S1229" s="14"/>
      <c r="T1229" s="1"/>
      <c r="U1229" s="15"/>
      <c r="V1229" s="1"/>
      <c r="W1229" s="15"/>
      <c r="X1229" s="16"/>
      <c r="Y1229" s="17"/>
    </row>
    <row r="1230" spans="14:25" x14ac:dyDescent="0.25">
      <c r="N1230" s="61"/>
      <c r="O1230" s="61"/>
      <c r="P1230" s="62"/>
      <c r="Q1230" s="13"/>
      <c r="R1230" s="13"/>
      <c r="S1230" s="14"/>
      <c r="T1230" s="1"/>
      <c r="U1230" s="15"/>
      <c r="V1230" s="1"/>
      <c r="W1230" s="15"/>
      <c r="X1230" s="16"/>
      <c r="Y1230" s="17"/>
    </row>
    <row r="1231" spans="14:25" x14ac:dyDescent="0.25">
      <c r="N1231" s="61"/>
      <c r="O1231" s="61"/>
      <c r="P1231" s="62"/>
      <c r="Q1231" s="13"/>
      <c r="R1231" s="13"/>
      <c r="S1231" s="14"/>
      <c r="T1231" s="1"/>
      <c r="U1231" s="15"/>
      <c r="V1231" s="1"/>
      <c r="W1231" s="15"/>
      <c r="X1231" s="16"/>
      <c r="Y1231" s="17"/>
    </row>
    <row r="1232" spans="14:25" x14ac:dyDescent="0.25">
      <c r="N1232" s="61"/>
      <c r="O1232" s="61"/>
      <c r="P1232" s="62"/>
      <c r="Q1232" s="13"/>
      <c r="R1232" s="13"/>
      <c r="S1232" s="14"/>
      <c r="T1232" s="1"/>
      <c r="U1232" s="15"/>
      <c r="V1232" s="1"/>
      <c r="W1232" s="15"/>
      <c r="X1232" s="16"/>
      <c r="Y1232" s="17"/>
    </row>
    <row r="1233" spans="14:25" x14ac:dyDescent="0.25">
      <c r="N1233" s="61"/>
      <c r="O1233" s="61"/>
      <c r="P1233" s="62"/>
      <c r="Q1233" s="13"/>
      <c r="R1233" s="13"/>
      <c r="S1233" s="14"/>
      <c r="T1233" s="1"/>
      <c r="U1233" s="15"/>
      <c r="V1233" s="1"/>
      <c r="W1233" s="15"/>
      <c r="X1233" s="16"/>
      <c r="Y1233" s="17"/>
    </row>
    <row r="1234" spans="14:25" x14ac:dyDescent="0.25">
      <c r="N1234" s="61"/>
      <c r="O1234" s="61"/>
      <c r="P1234" s="62"/>
      <c r="Q1234" s="13"/>
      <c r="R1234" s="13"/>
      <c r="S1234" s="14"/>
      <c r="T1234" s="1"/>
      <c r="U1234" s="15"/>
      <c r="V1234" s="1"/>
      <c r="W1234" s="15"/>
      <c r="X1234" s="16"/>
      <c r="Y1234" s="17"/>
    </row>
    <row r="1235" spans="14:25" x14ac:dyDescent="0.25">
      <c r="N1235" s="61"/>
      <c r="O1235" s="61"/>
      <c r="P1235" s="62"/>
      <c r="Q1235" s="13"/>
      <c r="R1235" s="13"/>
      <c r="S1235" s="14"/>
      <c r="T1235" s="1"/>
      <c r="U1235" s="15"/>
      <c r="V1235" s="1"/>
      <c r="W1235" s="15"/>
      <c r="X1235" s="16"/>
      <c r="Y1235" s="17"/>
    </row>
    <row r="1236" spans="14:25" x14ac:dyDescent="0.25">
      <c r="N1236" s="61"/>
      <c r="O1236" s="61"/>
      <c r="P1236" s="62"/>
      <c r="Q1236" s="13"/>
      <c r="R1236" s="13"/>
      <c r="S1236" s="14"/>
      <c r="T1236" s="1"/>
      <c r="U1236" s="15"/>
      <c r="V1236" s="1"/>
      <c r="W1236" s="15"/>
      <c r="X1236" s="16"/>
      <c r="Y1236" s="17"/>
    </row>
    <row r="1237" spans="14:25" x14ac:dyDescent="0.25">
      <c r="N1237" s="61"/>
      <c r="O1237" s="61"/>
      <c r="P1237" s="62"/>
      <c r="Q1237" s="13"/>
      <c r="R1237" s="13"/>
      <c r="S1237" s="14"/>
      <c r="T1237" s="1"/>
      <c r="U1237" s="15"/>
      <c r="V1237" s="1"/>
      <c r="W1237" s="15"/>
      <c r="X1237" s="16"/>
      <c r="Y1237" s="17"/>
    </row>
    <row r="1238" spans="14:25" x14ac:dyDescent="0.25">
      <c r="N1238" s="61"/>
      <c r="O1238" s="61"/>
      <c r="P1238" s="62"/>
      <c r="Q1238" s="13"/>
      <c r="R1238" s="13"/>
      <c r="S1238" s="14"/>
      <c r="T1238" s="1"/>
      <c r="U1238" s="15"/>
      <c r="V1238" s="1"/>
      <c r="W1238" s="15"/>
      <c r="X1238" s="16"/>
      <c r="Y1238" s="17"/>
    </row>
    <row r="1239" spans="14:25" x14ac:dyDescent="0.25">
      <c r="N1239" s="61"/>
      <c r="O1239" s="61"/>
      <c r="P1239" s="62"/>
      <c r="Q1239" s="13"/>
      <c r="R1239" s="13"/>
      <c r="S1239" s="14"/>
      <c r="T1239" s="1"/>
      <c r="U1239" s="15"/>
      <c r="V1239" s="1"/>
      <c r="W1239" s="15"/>
      <c r="X1239" s="16"/>
      <c r="Y1239" s="17"/>
    </row>
    <row r="1240" spans="14:25" x14ac:dyDescent="0.25">
      <c r="N1240" s="61"/>
      <c r="O1240" s="61"/>
      <c r="P1240" s="62"/>
      <c r="Q1240" s="13"/>
      <c r="R1240" s="13"/>
      <c r="S1240" s="14"/>
      <c r="T1240" s="1"/>
      <c r="U1240" s="15"/>
      <c r="V1240" s="1"/>
      <c r="W1240" s="15"/>
      <c r="X1240" s="16"/>
      <c r="Y1240" s="17"/>
    </row>
    <row r="1241" spans="14:25" x14ac:dyDescent="0.25">
      <c r="N1241" s="61"/>
      <c r="O1241" s="61"/>
      <c r="P1241" s="62"/>
      <c r="Q1241" s="13"/>
      <c r="R1241" s="13"/>
      <c r="S1241" s="14"/>
      <c r="T1241" s="1"/>
      <c r="U1241" s="15"/>
      <c r="V1241" s="1"/>
      <c r="W1241" s="15"/>
      <c r="X1241" s="16"/>
      <c r="Y1241" s="17"/>
    </row>
    <row r="1242" spans="14:25" x14ac:dyDescent="0.25">
      <c r="N1242" s="61"/>
      <c r="O1242" s="61"/>
      <c r="P1242" s="62"/>
      <c r="Q1242" s="13"/>
      <c r="R1242" s="13"/>
      <c r="S1242" s="14"/>
      <c r="T1242" s="1"/>
      <c r="U1242" s="15"/>
      <c r="V1242" s="1"/>
      <c r="W1242" s="15"/>
      <c r="X1242" s="16"/>
      <c r="Y1242" s="17"/>
    </row>
    <row r="1243" spans="14:25" x14ac:dyDescent="0.25">
      <c r="N1243" s="61"/>
      <c r="O1243" s="61"/>
      <c r="P1243" s="62"/>
      <c r="Q1243" s="13"/>
      <c r="R1243" s="13"/>
      <c r="S1243" s="14"/>
      <c r="T1243" s="1"/>
      <c r="U1243" s="15"/>
      <c r="V1243" s="1"/>
      <c r="W1243" s="15"/>
      <c r="X1243" s="16"/>
      <c r="Y1243" s="17"/>
    </row>
    <row r="1244" spans="14:25" x14ac:dyDescent="0.25">
      <c r="N1244" s="61"/>
      <c r="O1244" s="61"/>
      <c r="P1244" s="62"/>
      <c r="Q1244" s="13"/>
      <c r="R1244" s="13"/>
      <c r="S1244" s="14"/>
      <c r="T1244" s="1"/>
      <c r="U1244" s="15"/>
      <c r="V1244" s="1"/>
      <c r="W1244" s="15"/>
      <c r="X1244" s="16"/>
      <c r="Y1244" s="17"/>
    </row>
    <row r="1245" spans="14:25" x14ac:dyDescent="0.25">
      <c r="N1245" s="61"/>
      <c r="O1245" s="61"/>
      <c r="P1245" s="62"/>
      <c r="Q1245" s="13"/>
      <c r="R1245" s="13"/>
      <c r="S1245" s="14"/>
      <c r="T1245" s="1"/>
      <c r="U1245" s="15"/>
      <c r="V1245" s="1"/>
      <c r="W1245" s="15"/>
      <c r="X1245" s="16"/>
      <c r="Y1245" s="17"/>
    </row>
    <row r="1246" spans="14:25" x14ac:dyDescent="0.25">
      <c r="N1246" s="61"/>
      <c r="O1246" s="61"/>
      <c r="P1246" s="62"/>
      <c r="Q1246" s="13"/>
      <c r="R1246" s="13"/>
      <c r="S1246" s="14"/>
      <c r="T1246" s="1"/>
      <c r="U1246" s="15"/>
      <c r="V1246" s="1"/>
      <c r="W1246" s="15"/>
      <c r="X1246" s="16"/>
      <c r="Y1246" s="17"/>
    </row>
    <row r="1247" spans="14:25" x14ac:dyDescent="0.25">
      <c r="N1247" s="61"/>
      <c r="O1247" s="61"/>
      <c r="P1247" s="62"/>
      <c r="Q1247" s="13"/>
      <c r="R1247" s="13"/>
      <c r="S1247" s="14"/>
      <c r="T1247" s="1"/>
      <c r="U1247" s="15"/>
      <c r="V1247" s="1"/>
      <c r="W1247" s="15"/>
      <c r="X1247" s="16"/>
      <c r="Y1247" s="17"/>
    </row>
    <row r="1248" spans="14:25" x14ac:dyDescent="0.25">
      <c r="N1248" s="61"/>
      <c r="O1248" s="61"/>
      <c r="P1248" s="62"/>
      <c r="Q1248" s="13"/>
      <c r="R1248" s="13"/>
      <c r="S1248" s="14"/>
      <c r="T1248" s="1"/>
      <c r="U1248" s="15"/>
      <c r="V1248" s="1"/>
      <c r="W1248" s="15"/>
      <c r="X1248" s="16"/>
      <c r="Y1248" s="17"/>
    </row>
    <row r="1249" spans="14:25" x14ac:dyDescent="0.25">
      <c r="N1249" s="61"/>
      <c r="O1249" s="61"/>
      <c r="P1249" s="62"/>
      <c r="Q1249" s="13"/>
      <c r="R1249" s="13"/>
      <c r="S1249" s="14"/>
      <c r="T1249" s="1"/>
      <c r="U1249" s="15"/>
      <c r="V1249" s="1"/>
      <c r="W1249" s="15"/>
      <c r="X1249" s="16"/>
      <c r="Y1249" s="17"/>
    </row>
    <row r="1250" spans="14:25" x14ac:dyDescent="0.25">
      <c r="N1250" s="61"/>
      <c r="O1250" s="61"/>
      <c r="P1250" s="62"/>
      <c r="Q1250" s="13"/>
      <c r="R1250" s="13"/>
      <c r="S1250" s="14"/>
      <c r="T1250" s="1"/>
      <c r="U1250" s="15"/>
      <c r="V1250" s="1"/>
      <c r="W1250" s="15"/>
      <c r="X1250" s="16"/>
      <c r="Y1250" s="17"/>
    </row>
    <row r="1251" spans="14:25" x14ac:dyDescent="0.25">
      <c r="N1251" s="61"/>
      <c r="O1251" s="61"/>
      <c r="P1251" s="62"/>
      <c r="Q1251" s="13"/>
      <c r="R1251" s="13"/>
      <c r="S1251" s="14"/>
      <c r="T1251" s="1"/>
      <c r="U1251" s="15"/>
      <c r="V1251" s="1"/>
      <c r="W1251" s="15"/>
      <c r="X1251" s="16"/>
      <c r="Y1251" s="17"/>
    </row>
    <row r="1252" spans="14:25" x14ac:dyDescent="0.25">
      <c r="N1252" s="61"/>
      <c r="O1252" s="61"/>
      <c r="P1252" s="62"/>
      <c r="Q1252" s="13"/>
      <c r="R1252" s="13"/>
      <c r="S1252" s="14"/>
      <c r="T1252" s="1"/>
      <c r="U1252" s="15"/>
      <c r="V1252" s="1"/>
      <c r="W1252" s="15"/>
      <c r="X1252" s="16"/>
      <c r="Y1252" s="17"/>
    </row>
    <row r="1253" spans="14:25" x14ac:dyDescent="0.25">
      <c r="N1253" s="61"/>
      <c r="O1253" s="61"/>
      <c r="P1253" s="62"/>
      <c r="Q1253" s="13"/>
      <c r="R1253" s="13"/>
      <c r="S1253" s="14"/>
      <c r="T1253" s="1"/>
      <c r="U1253" s="15"/>
      <c r="V1253" s="1"/>
      <c r="W1253" s="15"/>
      <c r="X1253" s="16"/>
      <c r="Y1253" s="17"/>
    </row>
    <row r="1254" spans="14:25" x14ac:dyDescent="0.25">
      <c r="N1254" s="61"/>
      <c r="O1254" s="61"/>
      <c r="P1254" s="62"/>
      <c r="Q1254" s="13"/>
      <c r="R1254" s="13"/>
      <c r="S1254" s="14"/>
      <c r="T1254" s="1"/>
      <c r="U1254" s="15"/>
      <c r="V1254" s="1"/>
      <c r="W1254" s="15"/>
      <c r="X1254" s="16"/>
      <c r="Y1254" s="17"/>
    </row>
    <row r="1255" spans="14:25" x14ac:dyDescent="0.25">
      <c r="N1255" s="61"/>
      <c r="O1255" s="61"/>
      <c r="P1255" s="62"/>
      <c r="Q1255" s="13"/>
      <c r="R1255" s="13"/>
      <c r="S1255" s="14"/>
      <c r="T1255" s="1"/>
      <c r="U1255" s="15"/>
      <c r="V1255" s="1"/>
      <c r="W1255" s="15"/>
      <c r="X1255" s="16"/>
      <c r="Y1255" s="17"/>
    </row>
    <row r="1256" spans="14:25" x14ac:dyDescent="0.25">
      <c r="N1256" s="61"/>
      <c r="O1256" s="61"/>
      <c r="P1256" s="62"/>
      <c r="Q1256" s="13"/>
      <c r="R1256" s="13"/>
      <c r="S1256" s="14"/>
      <c r="T1256" s="1"/>
      <c r="U1256" s="15"/>
      <c r="V1256" s="1"/>
      <c r="W1256" s="15"/>
      <c r="X1256" s="16"/>
      <c r="Y1256" s="17"/>
    </row>
    <row r="1257" spans="14:25" x14ac:dyDescent="0.25">
      <c r="N1257" s="61"/>
      <c r="O1257" s="61"/>
      <c r="P1257" s="62"/>
      <c r="Q1257" s="13"/>
      <c r="R1257" s="13"/>
      <c r="S1257" s="14"/>
      <c r="T1257" s="1"/>
      <c r="U1257" s="15"/>
      <c r="V1257" s="1"/>
      <c r="W1257" s="15"/>
      <c r="X1257" s="16"/>
      <c r="Y1257" s="17"/>
    </row>
    <row r="1258" spans="14:25" x14ac:dyDescent="0.25">
      <c r="N1258" s="61"/>
      <c r="O1258" s="61"/>
      <c r="P1258" s="62"/>
      <c r="Q1258" s="13"/>
      <c r="R1258" s="13"/>
      <c r="S1258" s="14"/>
      <c r="T1258" s="1"/>
      <c r="U1258" s="15"/>
      <c r="V1258" s="1"/>
      <c r="W1258" s="15"/>
      <c r="X1258" s="16"/>
      <c r="Y1258" s="17"/>
    </row>
    <row r="1259" spans="14:25" x14ac:dyDescent="0.25">
      <c r="N1259" s="61"/>
      <c r="O1259" s="61"/>
      <c r="P1259" s="62"/>
      <c r="Q1259" s="13"/>
      <c r="R1259" s="13"/>
      <c r="S1259" s="14"/>
      <c r="T1259" s="1"/>
      <c r="U1259" s="15"/>
      <c r="V1259" s="1"/>
      <c r="W1259" s="15"/>
      <c r="X1259" s="16"/>
      <c r="Y1259" s="17"/>
    </row>
    <row r="1260" spans="14:25" x14ac:dyDescent="0.25">
      <c r="N1260" s="61"/>
      <c r="O1260" s="61"/>
      <c r="P1260" s="62"/>
      <c r="Q1260" s="13"/>
      <c r="R1260" s="13"/>
      <c r="S1260" s="14"/>
      <c r="T1260" s="1"/>
      <c r="U1260" s="15"/>
      <c r="V1260" s="1"/>
      <c r="W1260" s="15"/>
      <c r="X1260" s="16"/>
      <c r="Y1260" s="17"/>
    </row>
    <row r="1261" spans="14:25" x14ac:dyDescent="0.25">
      <c r="N1261" s="61"/>
      <c r="O1261" s="61"/>
      <c r="P1261" s="62"/>
      <c r="Q1261" s="13"/>
      <c r="R1261" s="13"/>
      <c r="S1261" s="14"/>
      <c r="T1261" s="1"/>
      <c r="U1261" s="15"/>
      <c r="V1261" s="1"/>
      <c r="W1261" s="15"/>
      <c r="X1261" s="16"/>
      <c r="Y1261" s="17"/>
    </row>
    <row r="1262" spans="14:25" x14ac:dyDescent="0.25">
      <c r="N1262" s="61"/>
      <c r="O1262" s="61"/>
      <c r="P1262" s="62"/>
      <c r="Q1262" s="13"/>
      <c r="R1262" s="13"/>
      <c r="S1262" s="14"/>
      <c r="T1262" s="1"/>
      <c r="U1262" s="15"/>
      <c r="V1262" s="1"/>
      <c r="W1262" s="15"/>
      <c r="X1262" s="16"/>
      <c r="Y1262" s="17"/>
    </row>
    <row r="1263" spans="14:25" x14ac:dyDescent="0.25">
      <c r="N1263" s="61"/>
      <c r="O1263" s="61"/>
      <c r="P1263" s="62"/>
      <c r="Q1263" s="13"/>
      <c r="R1263" s="13"/>
      <c r="S1263" s="14"/>
      <c r="T1263" s="1"/>
      <c r="U1263" s="15"/>
      <c r="V1263" s="1"/>
      <c r="W1263" s="15"/>
      <c r="X1263" s="16"/>
      <c r="Y1263" s="17"/>
    </row>
    <row r="1264" spans="14:25" x14ac:dyDescent="0.25">
      <c r="N1264" s="61"/>
      <c r="O1264" s="61"/>
      <c r="P1264" s="62"/>
      <c r="Q1264" s="13"/>
      <c r="R1264" s="13"/>
      <c r="S1264" s="14"/>
      <c r="T1264" s="1"/>
      <c r="U1264" s="15"/>
      <c r="V1264" s="1"/>
      <c r="W1264" s="15"/>
      <c r="X1264" s="16"/>
      <c r="Y1264" s="17"/>
    </row>
    <row r="1265" spans="14:25" x14ac:dyDescent="0.25">
      <c r="N1265" s="61"/>
      <c r="O1265" s="61"/>
      <c r="P1265" s="62"/>
      <c r="Q1265" s="13"/>
      <c r="R1265" s="13"/>
      <c r="S1265" s="14"/>
      <c r="T1265" s="1"/>
      <c r="U1265" s="15"/>
      <c r="V1265" s="1"/>
      <c r="W1265" s="15"/>
      <c r="X1265" s="16"/>
      <c r="Y1265" s="17"/>
    </row>
    <row r="1266" spans="14:25" x14ac:dyDescent="0.25">
      <c r="N1266" s="61"/>
      <c r="O1266" s="61"/>
      <c r="P1266" s="62"/>
      <c r="Q1266" s="13"/>
      <c r="R1266" s="13"/>
      <c r="S1266" s="14"/>
      <c r="T1266" s="1"/>
      <c r="U1266" s="15"/>
      <c r="V1266" s="1"/>
      <c r="W1266" s="15"/>
      <c r="X1266" s="16"/>
      <c r="Y1266" s="17"/>
    </row>
    <row r="1267" spans="14:25" x14ac:dyDescent="0.25">
      <c r="N1267" s="61"/>
      <c r="O1267" s="61"/>
      <c r="P1267" s="62"/>
      <c r="Q1267" s="13"/>
      <c r="R1267" s="13"/>
      <c r="S1267" s="14"/>
      <c r="T1267" s="1"/>
      <c r="U1267" s="15"/>
      <c r="V1267" s="1"/>
      <c r="W1267" s="15"/>
      <c r="X1267" s="16"/>
      <c r="Y1267" s="17"/>
    </row>
    <row r="1268" spans="14:25" x14ac:dyDescent="0.25">
      <c r="N1268" s="61"/>
      <c r="O1268" s="61"/>
      <c r="P1268" s="62"/>
      <c r="Q1268" s="13"/>
      <c r="R1268" s="13"/>
      <c r="S1268" s="14"/>
      <c r="T1268" s="1"/>
      <c r="U1268" s="15"/>
      <c r="V1268" s="1"/>
      <c r="W1268" s="15"/>
      <c r="X1268" s="16"/>
      <c r="Y1268" s="17"/>
    </row>
    <row r="1269" spans="14:25" x14ac:dyDescent="0.25">
      <c r="N1269" s="61"/>
      <c r="O1269" s="61"/>
      <c r="P1269" s="62"/>
      <c r="Q1269" s="13"/>
      <c r="R1269" s="13"/>
      <c r="S1269" s="14"/>
      <c r="T1269" s="1"/>
      <c r="U1269" s="15"/>
      <c r="V1269" s="1"/>
      <c r="W1269" s="15"/>
      <c r="X1269" s="16"/>
      <c r="Y1269" s="17"/>
    </row>
    <row r="1270" spans="14:25" x14ac:dyDescent="0.25">
      <c r="N1270" s="61"/>
      <c r="O1270" s="61"/>
      <c r="P1270" s="62"/>
      <c r="Q1270" s="13"/>
      <c r="R1270" s="13"/>
      <c r="S1270" s="14"/>
      <c r="T1270" s="1"/>
      <c r="U1270" s="15"/>
      <c r="V1270" s="1"/>
      <c r="W1270" s="15"/>
      <c r="X1270" s="16"/>
      <c r="Y1270" s="17"/>
    </row>
    <row r="1271" spans="14:25" x14ac:dyDescent="0.25">
      <c r="N1271" s="61"/>
      <c r="O1271" s="61"/>
      <c r="P1271" s="62"/>
      <c r="Q1271" s="13"/>
      <c r="R1271" s="13"/>
      <c r="S1271" s="14"/>
      <c r="T1271" s="1"/>
      <c r="U1271" s="15"/>
      <c r="V1271" s="1"/>
      <c r="W1271" s="15"/>
      <c r="X1271" s="16"/>
      <c r="Y1271" s="17"/>
    </row>
    <row r="1272" spans="14:25" x14ac:dyDescent="0.25">
      <c r="N1272" s="61"/>
      <c r="O1272" s="61"/>
      <c r="P1272" s="62"/>
      <c r="Q1272" s="13"/>
      <c r="R1272" s="13"/>
      <c r="S1272" s="14"/>
      <c r="T1272" s="1"/>
      <c r="U1272" s="15"/>
      <c r="V1272" s="1"/>
      <c r="W1272" s="15"/>
      <c r="X1272" s="16"/>
      <c r="Y1272" s="17"/>
    </row>
    <row r="1273" spans="14:25" x14ac:dyDescent="0.25">
      <c r="N1273" s="61"/>
      <c r="O1273" s="61"/>
      <c r="P1273" s="62"/>
      <c r="Q1273" s="13"/>
      <c r="R1273" s="13"/>
      <c r="S1273" s="14"/>
      <c r="T1273" s="1"/>
      <c r="U1273" s="15"/>
      <c r="V1273" s="1"/>
      <c r="W1273" s="15"/>
      <c r="X1273" s="16"/>
      <c r="Y1273" s="17"/>
    </row>
    <row r="1274" spans="14:25" x14ac:dyDescent="0.25">
      <c r="N1274" s="61"/>
      <c r="O1274" s="61"/>
      <c r="P1274" s="62"/>
      <c r="Q1274" s="13"/>
      <c r="R1274" s="13"/>
      <c r="S1274" s="14"/>
      <c r="T1274" s="1"/>
      <c r="U1274" s="15"/>
      <c r="V1274" s="1"/>
      <c r="W1274" s="15"/>
      <c r="X1274" s="16"/>
      <c r="Y1274" s="17"/>
    </row>
    <row r="1275" spans="14:25" x14ac:dyDescent="0.25">
      <c r="N1275" s="61"/>
      <c r="O1275" s="61"/>
      <c r="P1275" s="62"/>
      <c r="Q1275" s="13"/>
      <c r="R1275" s="13"/>
      <c r="S1275" s="14"/>
      <c r="T1275" s="1"/>
      <c r="U1275" s="15"/>
      <c r="V1275" s="1"/>
      <c r="W1275" s="15"/>
      <c r="X1275" s="16"/>
      <c r="Y1275" s="17"/>
    </row>
    <row r="1276" spans="14:25" x14ac:dyDescent="0.25">
      <c r="N1276" s="61"/>
      <c r="O1276" s="61"/>
      <c r="P1276" s="62"/>
      <c r="Q1276" s="13"/>
      <c r="R1276" s="13"/>
      <c r="S1276" s="14"/>
      <c r="T1276" s="1"/>
      <c r="U1276" s="15"/>
      <c r="V1276" s="1"/>
      <c r="W1276" s="15"/>
      <c r="X1276" s="16"/>
      <c r="Y1276" s="17"/>
    </row>
    <row r="1277" spans="14:25" x14ac:dyDescent="0.25">
      <c r="N1277" s="61"/>
      <c r="O1277" s="61"/>
      <c r="P1277" s="62"/>
      <c r="Q1277" s="13"/>
      <c r="R1277" s="13"/>
      <c r="S1277" s="14"/>
      <c r="T1277" s="1"/>
      <c r="U1277" s="15"/>
      <c r="V1277" s="1"/>
      <c r="W1277" s="15"/>
      <c r="X1277" s="16"/>
      <c r="Y1277" s="17"/>
    </row>
    <row r="1278" spans="14:25" x14ac:dyDescent="0.25">
      <c r="N1278" s="61"/>
      <c r="O1278" s="61"/>
      <c r="P1278" s="62"/>
      <c r="Q1278" s="13"/>
      <c r="R1278" s="13"/>
      <c r="S1278" s="14"/>
      <c r="T1278" s="1"/>
      <c r="U1278" s="15"/>
      <c r="V1278" s="1"/>
      <c r="W1278" s="15"/>
      <c r="X1278" s="16"/>
      <c r="Y1278" s="17"/>
    </row>
    <row r="1279" spans="14:25" x14ac:dyDescent="0.25">
      <c r="N1279" s="61"/>
      <c r="O1279" s="61"/>
      <c r="P1279" s="62"/>
      <c r="Q1279" s="13"/>
      <c r="R1279" s="13"/>
      <c r="S1279" s="14"/>
      <c r="T1279" s="1"/>
      <c r="U1279" s="15"/>
      <c r="V1279" s="1"/>
      <c r="W1279" s="15"/>
      <c r="X1279" s="16"/>
      <c r="Y1279" s="17"/>
    </row>
    <row r="1280" spans="14:25" x14ac:dyDescent="0.25">
      <c r="N1280" s="61"/>
      <c r="O1280" s="61"/>
      <c r="P1280" s="62"/>
      <c r="Q1280" s="13"/>
      <c r="R1280" s="13"/>
      <c r="S1280" s="14"/>
      <c r="T1280" s="1"/>
      <c r="U1280" s="15"/>
      <c r="V1280" s="1"/>
      <c r="W1280" s="15"/>
      <c r="X1280" s="16"/>
      <c r="Y1280" s="17"/>
    </row>
    <row r="1281" spans="14:25" x14ac:dyDescent="0.25">
      <c r="N1281" s="61"/>
      <c r="O1281" s="61"/>
      <c r="P1281" s="62"/>
      <c r="Q1281" s="13"/>
      <c r="R1281" s="13"/>
      <c r="S1281" s="14"/>
      <c r="T1281" s="1"/>
      <c r="U1281" s="15"/>
      <c r="V1281" s="1"/>
      <c r="W1281" s="15"/>
      <c r="X1281" s="16"/>
      <c r="Y1281" s="17"/>
    </row>
    <row r="1282" spans="14:25" x14ac:dyDescent="0.25">
      <c r="N1282" s="61"/>
      <c r="O1282" s="61"/>
      <c r="P1282" s="62"/>
      <c r="Q1282" s="13"/>
      <c r="R1282" s="13"/>
      <c r="S1282" s="14"/>
      <c r="T1282" s="1"/>
      <c r="U1282" s="15"/>
      <c r="V1282" s="1"/>
      <c r="W1282" s="15"/>
      <c r="X1282" s="16"/>
      <c r="Y1282" s="17"/>
    </row>
    <row r="1283" spans="14:25" x14ac:dyDescent="0.25">
      <c r="N1283" s="61"/>
      <c r="O1283" s="61"/>
      <c r="P1283" s="62"/>
      <c r="Q1283" s="13"/>
      <c r="R1283" s="13"/>
      <c r="S1283" s="14"/>
      <c r="T1283" s="1"/>
      <c r="U1283" s="15"/>
      <c r="V1283" s="1"/>
      <c r="W1283" s="15"/>
      <c r="X1283" s="16"/>
      <c r="Y1283" s="17"/>
    </row>
    <row r="1284" spans="14:25" x14ac:dyDescent="0.25">
      <c r="N1284" s="61"/>
      <c r="O1284" s="61"/>
      <c r="P1284" s="62"/>
      <c r="Q1284" s="13"/>
      <c r="R1284" s="13"/>
      <c r="S1284" s="14"/>
      <c r="T1284" s="1"/>
      <c r="U1284" s="15"/>
      <c r="V1284" s="1"/>
      <c r="W1284" s="15"/>
      <c r="X1284" s="16"/>
      <c r="Y1284" s="17"/>
    </row>
    <row r="1285" spans="14:25" x14ac:dyDescent="0.25">
      <c r="N1285" s="61"/>
      <c r="O1285" s="61"/>
      <c r="P1285" s="62"/>
      <c r="Q1285" s="13"/>
      <c r="R1285" s="13"/>
      <c r="S1285" s="14"/>
      <c r="T1285" s="1"/>
      <c r="U1285" s="15"/>
      <c r="V1285" s="1"/>
      <c r="W1285" s="15"/>
      <c r="X1285" s="16"/>
      <c r="Y1285" s="17"/>
    </row>
    <row r="1286" spans="14:25" x14ac:dyDescent="0.25">
      <c r="N1286" s="61"/>
      <c r="O1286" s="61"/>
      <c r="P1286" s="62"/>
      <c r="Q1286" s="13"/>
      <c r="R1286" s="13"/>
      <c r="S1286" s="14"/>
      <c r="T1286" s="1"/>
      <c r="U1286" s="15"/>
      <c r="V1286" s="1"/>
      <c r="W1286" s="15"/>
      <c r="X1286" s="16"/>
      <c r="Y1286" s="17"/>
    </row>
    <row r="1287" spans="14:25" x14ac:dyDescent="0.25">
      <c r="N1287" s="61"/>
      <c r="O1287" s="61"/>
      <c r="P1287" s="62"/>
      <c r="Q1287" s="13"/>
      <c r="R1287" s="13"/>
      <c r="S1287" s="14"/>
      <c r="T1287" s="1"/>
      <c r="U1287" s="15"/>
      <c r="V1287" s="1"/>
      <c r="W1287" s="15"/>
      <c r="X1287" s="16"/>
      <c r="Y1287" s="17"/>
    </row>
    <row r="1288" spans="14:25" x14ac:dyDescent="0.25">
      <c r="N1288" s="61"/>
      <c r="O1288" s="61"/>
      <c r="P1288" s="62"/>
      <c r="Q1288" s="13"/>
      <c r="R1288" s="13"/>
      <c r="S1288" s="14"/>
      <c r="T1288" s="1"/>
      <c r="U1288" s="15"/>
      <c r="V1288" s="1"/>
      <c r="W1288" s="15"/>
      <c r="X1288" s="16"/>
      <c r="Y1288" s="17"/>
    </row>
    <row r="1289" spans="14:25" x14ac:dyDescent="0.25">
      <c r="N1289" s="61"/>
      <c r="O1289" s="61"/>
      <c r="P1289" s="62"/>
      <c r="Q1289" s="13"/>
      <c r="R1289" s="13"/>
      <c r="S1289" s="14"/>
      <c r="T1289" s="1"/>
      <c r="U1289" s="15"/>
      <c r="V1289" s="1"/>
      <c r="W1289" s="15"/>
      <c r="X1289" s="16"/>
      <c r="Y1289" s="17"/>
    </row>
    <row r="1290" spans="14:25" x14ac:dyDescent="0.25">
      <c r="N1290" s="61"/>
      <c r="O1290" s="61"/>
      <c r="P1290" s="62"/>
      <c r="Q1290" s="13"/>
      <c r="R1290" s="13"/>
      <c r="S1290" s="14"/>
      <c r="T1290" s="1"/>
      <c r="U1290" s="15"/>
      <c r="V1290" s="1"/>
      <c r="W1290" s="15"/>
      <c r="X1290" s="16"/>
      <c r="Y1290" s="17"/>
    </row>
    <row r="1291" spans="14:25" x14ac:dyDescent="0.25">
      <c r="N1291" s="61"/>
      <c r="O1291" s="61"/>
      <c r="P1291" s="62"/>
      <c r="Q1291" s="13"/>
      <c r="R1291" s="13"/>
      <c r="S1291" s="14"/>
      <c r="T1291" s="1"/>
      <c r="U1291" s="15"/>
      <c r="V1291" s="1"/>
      <c r="W1291" s="15"/>
      <c r="X1291" s="16"/>
      <c r="Y1291" s="17"/>
    </row>
    <row r="1292" spans="14:25" x14ac:dyDescent="0.25">
      <c r="N1292" s="61"/>
      <c r="O1292" s="61"/>
      <c r="P1292" s="62"/>
      <c r="Q1292" s="13"/>
      <c r="R1292" s="13"/>
      <c r="S1292" s="14"/>
      <c r="T1292" s="1"/>
      <c r="U1292" s="15"/>
      <c r="V1292" s="1"/>
      <c r="W1292" s="15"/>
      <c r="X1292" s="16"/>
      <c r="Y1292" s="17"/>
    </row>
    <row r="1293" spans="14:25" x14ac:dyDescent="0.25">
      <c r="N1293" s="61"/>
      <c r="O1293" s="61"/>
      <c r="P1293" s="62"/>
      <c r="Q1293" s="13"/>
      <c r="R1293" s="13"/>
      <c r="S1293" s="14"/>
      <c r="T1293" s="1"/>
      <c r="U1293" s="15"/>
      <c r="V1293" s="1"/>
      <c r="W1293" s="15"/>
      <c r="X1293" s="16"/>
      <c r="Y1293" s="17"/>
    </row>
    <row r="1294" spans="14:25" x14ac:dyDescent="0.25">
      <c r="N1294" s="61"/>
      <c r="O1294" s="61"/>
      <c r="P1294" s="62"/>
      <c r="Q1294" s="13"/>
      <c r="R1294" s="13"/>
      <c r="S1294" s="14"/>
      <c r="T1294" s="1"/>
      <c r="U1294" s="15"/>
      <c r="V1294" s="1"/>
      <c r="W1294" s="15"/>
      <c r="X1294" s="16"/>
      <c r="Y1294" s="17"/>
    </row>
    <row r="1295" spans="14:25" x14ac:dyDescent="0.25">
      <c r="N1295" s="61"/>
      <c r="O1295" s="61"/>
      <c r="P1295" s="62"/>
      <c r="Q1295" s="13"/>
      <c r="R1295" s="13"/>
      <c r="S1295" s="14"/>
      <c r="T1295" s="1"/>
      <c r="U1295" s="15"/>
      <c r="V1295" s="1"/>
      <c r="W1295" s="15"/>
      <c r="X1295" s="16"/>
      <c r="Y1295" s="17"/>
    </row>
    <row r="1296" spans="14:25" x14ac:dyDescent="0.25">
      <c r="N1296" s="61"/>
      <c r="O1296" s="61"/>
      <c r="P1296" s="62"/>
      <c r="Q1296" s="13"/>
      <c r="R1296" s="13"/>
      <c r="S1296" s="14"/>
      <c r="T1296" s="1"/>
      <c r="U1296" s="15"/>
      <c r="V1296" s="1"/>
      <c r="W1296" s="15"/>
      <c r="X1296" s="16"/>
      <c r="Y1296" s="17"/>
    </row>
    <row r="1297" spans="14:25" x14ac:dyDescent="0.25">
      <c r="N1297" s="61"/>
      <c r="O1297" s="61"/>
      <c r="P1297" s="62"/>
      <c r="Q1297" s="13"/>
      <c r="R1297" s="13"/>
      <c r="S1297" s="14"/>
      <c r="T1297" s="1"/>
      <c r="U1297" s="15"/>
      <c r="V1297" s="1"/>
      <c r="W1297" s="15"/>
      <c r="X1297" s="16"/>
      <c r="Y1297" s="17"/>
    </row>
    <row r="1298" spans="14:25" x14ac:dyDescent="0.25">
      <c r="N1298" s="61"/>
      <c r="O1298" s="61"/>
      <c r="P1298" s="62"/>
      <c r="Q1298" s="13"/>
      <c r="R1298" s="13"/>
      <c r="S1298" s="14"/>
      <c r="T1298" s="1"/>
      <c r="U1298" s="15"/>
      <c r="V1298" s="1"/>
      <c r="W1298" s="15"/>
      <c r="X1298" s="16"/>
      <c r="Y1298" s="17"/>
    </row>
    <row r="1299" spans="14:25" x14ac:dyDescent="0.25">
      <c r="N1299" s="61"/>
      <c r="O1299" s="61"/>
      <c r="P1299" s="62"/>
      <c r="Q1299" s="13"/>
      <c r="R1299" s="13"/>
      <c r="S1299" s="14"/>
      <c r="T1299" s="1"/>
      <c r="U1299" s="15"/>
      <c r="V1299" s="1"/>
      <c r="W1299" s="15"/>
      <c r="X1299" s="16"/>
      <c r="Y1299" s="17"/>
    </row>
    <row r="1300" spans="14:25" x14ac:dyDescent="0.25">
      <c r="N1300" s="61"/>
      <c r="O1300" s="61"/>
      <c r="P1300" s="62"/>
      <c r="Q1300" s="13"/>
      <c r="R1300" s="13"/>
      <c r="S1300" s="14"/>
      <c r="T1300" s="1"/>
      <c r="U1300" s="15"/>
      <c r="V1300" s="1"/>
      <c r="W1300" s="15"/>
      <c r="X1300" s="16"/>
      <c r="Y1300" s="17"/>
    </row>
    <row r="1301" spans="14:25" x14ac:dyDescent="0.25">
      <c r="N1301" s="61"/>
      <c r="O1301" s="61"/>
      <c r="P1301" s="62"/>
      <c r="Q1301" s="13"/>
      <c r="R1301" s="13"/>
      <c r="S1301" s="14"/>
      <c r="T1301" s="1"/>
      <c r="U1301" s="15"/>
      <c r="V1301" s="1"/>
      <c r="W1301" s="15"/>
      <c r="X1301" s="16"/>
      <c r="Y1301" s="17"/>
    </row>
    <row r="1302" spans="14:25" x14ac:dyDescent="0.25">
      <c r="N1302" s="61"/>
      <c r="O1302" s="61"/>
      <c r="P1302" s="62"/>
      <c r="Q1302" s="13"/>
      <c r="R1302" s="13"/>
      <c r="S1302" s="14"/>
      <c r="T1302" s="1"/>
      <c r="U1302" s="15"/>
      <c r="V1302" s="1"/>
      <c r="W1302" s="15"/>
      <c r="X1302" s="16"/>
      <c r="Y1302" s="17"/>
    </row>
    <row r="1303" spans="14:25" x14ac:dyDescent="0.25">
      <c r="N1303" s="61"/>
      <c r="O1303" s="61"/>
      <c r="P1303" s="62"/>
      <c r="Q1303" s="13"/>
      <c r="R1303" s="13"/>
      <c r="S1303" s="14"/>
      <c r="T1303" s="1"/>
      <c r="U1303" s="15"/>
      <c r="V1303" s="1"/>
      <c r="W1303" s="15"/>
      <c r="X1303" s="16"/>
      <c r="Y1303" s="17"/>
    </row>
    <row r="1304" spans="14:25" x14ac:dyDescent="0.25">
      <c r="N1304" s="61"/>
      <c r="O1304" s="61"/>
      <c r="P1304" s="62"/>
      <c r="Q1304" s="13"/>
      <c r="R1304" s="13"/>
      <c r="S1304" s="14"/>
      <c r="T1304" s="1"/>
      <c r="U1304" s="15"/>
      <c r="V1304" s="1"/>
      <c r="W1304" s="15"/>
      <c r="X1304" s="16"/>
      <c r="Y1304" s="17"/>
    </row>
    <row r="1305" spans="14:25" x14ac:dyDescent="0.25">
      <c r="N1305" s="61"/>
      <c r="O1305" s="61"/>
      <c r="P1305" s="62"/>
      <c r="Q1305" s="13"/>
      <c r="R1305" s="13"/>
      <c r="S1305" s="14"/>
      <c r="T1305" s="1"/>
      <c r="U1305" s="15"/>
      <c r="V1305" s="1"/>
      <c r="W1305" s="15"/>
      <c r="X1305" s="16"/>
      <c r="Y1305" s="17"/>
    </row>
    <row r="1306" spans="14:25" x14ac:dyDescent="0.25">
      <c r="N1306" s="61"/>
      <c r="O1306" s="61"/>
      <c r="P1306" s="62"/>
      <c r="Q1306" s="13"/>
      <c r="R1306" s="13"/>
      <c r="S1306" s="14"/>
      <c r="T1306" s="1"/>
      <c r="U1306" s="15"/>
      <c r="V1306" s="1"/>
      <c r="W1306" s="15"/>
      <c r="X1306" s="16"/>
      <c r="Y1306" s="17"/>
    </row>
    <row r="1307" spans="14:25" x14ac:dyDescent="0.25">
      <c r="N1307" s="61"/>
      <c r="O1307" s="61"/>
      <c r="P1307" s="62"/>
      <c r="Q1307" s="13"/>
      <c r="R1307" s="13"/>
      <c r="S1307" s="14"/>
      <c r="T1307" s="1"/>
      <c r="U1307" s="15"/>
      <c r="V1307" s="1"/>
      <c r="W1307" s="15"/>
      <c r="X1307" s="16"/>
      <c r="Y1307" s="17"/>
    </row>
    <row r="1308" spans="14:25" x14ac:dyDescent="0.25">
      <c r="N1308" s="61"/>
      <c r="O1308" s="61"/>
      <c r="P1308" s="62"/>
      <c r="Q1308" s="13"/>
      <c r="R1308" s="13"/>
      <c r="S1308" s="14"/>
      <c r="T1308" s="1"/>
      <c r="U1308" s="15"/>
      <c r="V1308" s="1"/>
      <c r="W1308" s="15"/>
      <c r="X1308" s="16"/>
      <c r="Y1308" s="17"/>
    </row>
    <row r="1309" spans="14:25" x14ac:dyDescent="0.25">
      <c r="N1309" s="61"/>
      <c r="O1309" s="61"/>
      <c r="P1309" s="62"/>
      <c r="Q1309" s="13"/>
      <c r="R1309" s="13"/>
      <c r="S1309" s="14"/>
      <c r="T1309" s="1"/>
      <c r="U1309" s="15"/>
      <c r="V1309" s="1"/>
      <c r="W1309" s="15"/>
      <c r="X1309" s="16"/>
      <c r="Y1309" s="17"/>
    </row>
    <row r="1310" spans="14:25" x14ac:dyDescent="0.25">
      <c r="N1310" s="61"/>
      <c r="O1310" s="61"/>
      <c r="P1310" s="62"/>
      <c r="Q1310" s="13"/>
      <c r="R1310" s="13"/>
      <c r="S1310" s="14"/>
      <c r="T1310" s="1"/>
      <c r="U1310" s="15"/>
      <c r="V1310" s="1"/>
      <c r="W1310" s="15"/>
      <c r="X1310" s="16"/>
      <c r="Y1310" s="17"/>
    </row>
    <row r="1311" spans="14:25" x14ac:dyDescent="0.25">
      <c r="N1311" s="61"/>
      <c r="O1311" s="61"/>
      <c r="P1311" s="62"/>
      <c r="Q1311" s="13"/>
      <c r="R1311" s="13"/>
      <c r="S1311" s="14"/>
      <c r="T1311" s="1"/>
      <c r="U1311" s="15"/>
      <c r="V1311" s="1"/>
      <c r="W1311" s="15"/>
      <c r="X1311" s="16"/>
      <c r="Y1311" s="17"/>
    </row>
    <row r="1312" spans="14:25" x14ac:dyDescent="0.25">
      <c r="N1312" s="61"/>
      <c r="O1312" s="61"/>
      <c r="P1312" s="62"/>
      <c r="Q1312" s="13"/>
      <c r="R1312" s="13"/>
      <c r="S1312" s="14"/>
      <c r="T1312" s="1"/>
      <c r="U1312" s="15"/>
      <c r="V1312" s="1"/>
      <c r="W1312" s="15"/>
      <c r="X1312" s="16"/>
      <c r="Y1312" s="17"/>
    </row>
    <row r="1313" spans="14:25" x14ac:dyDescent="0.25">
      <c r="N1313" s="61"/>
      <c r="O1313" s="61"/>
      <c r="P1313" s="62"/>
      <c r="Q1313" s="13"/>
      <c r="R1313" s="13"/>
      <c r="S1313" s="14"/>
      <c r="T1313" s="1"/>
      <c r="U1313" s="15"/>
      <c r="V1313" s="1"/>
      <c r="W1313" s="15"/>
      <c r="X1313" s="16"/>
      <c r="Y1313" s="17"/>
    </row>
    <row r="1314" spans="14:25" x14ac:dyDescent="0.25">
      <c r="N1314" s="61"/>
      <c r="O1314" s="61"/>
      <c r="P1314" s="62"/>
      <c r="Q1314" s="13"/>
      <c r="R1314" s="13"/>
      <c r="S1314" s="14"/>
      <c r="T1314" s="1"/>
      <c r="U1314" s="15"/>
      <c r="V1314" s="1"/>
      <c r="W1314" s="15"/>
      <c r="X1314" s="16"/>
      <c r="Y1314" s="17"/>
    </row>
    <row r="1315" spans="14:25" x14ac:dyDescent="0.25">
      <c r="N1315" s="61"/>
      <c r="O1315" s="61"/>
      <c r="P1315" s="62"/>
      <c r="Q1315" s="13"/>
      <c r="R1315" s="13"/>
      <c r="S1315" s="14"/>
      <c r="T1315" s="1"/>
      <c r="U1315" s="15"/>
      <c r="V1315" s="1"/>
      <c r="W1315" s="15"/>
      <c r="X1315" s="16"/>
      <c r="Y1315" s="17"/>
    </row>
    <row r="1316" spans="14:25" x14ac:dyDescent="0.25">
      <c r="N1316" s="61"/>
      <c r="O1316" s="61"/>
      <c r="P1316" s="62"/>
      <c r="Q1316" s="13"/>
      <c r="R1316" s="13"/>
      <c r="S1316" s="14"/>
      <c r="T1316" s="1"/>
      <c r="U1316" s="15"/>
      <c r="V1316" s="1"/>
      <c r="W1316" s="15"/>
      <c r="X1316" s="16"/>
      <c r="Y1316" s="17"/>
    </row>
    <row r="1317" spans="14:25" x14ac:dyDescent="0.25">
      <c r="N1317" s="61"/>
      <c r="O1317" s="61"/>
      <c r="P1317" s="62"/>
      <c r="Q1317" s="13"/>
      <c r="R1317" s="13"/>
      <c r="S1317" s="14"/>
      <c r="T1317" s="1"/>
      <c r="U1317" s="15"/>
      <c r="V1317" s="1"/>
      <c r="W1317" s="15"/>
      <c r="X1317" s="16"/>
      <c r="Y1317" s="17"/>
    </row>
    <row r="1318" spans="14:25" x14ac:dyDescent="0.25">
      <c r="N1318" s="61"/>
      <c r="O1318" s="61"/>
      <c r="P1318" s="62"/>
      <c r="Q1318" s="13"/>
      <c r="R1318" s="13"/>
      <c r="S1318" s="14"/>
      <c r="T1318" s="1"/>
      <c r="U1318" s="15"/>
      <c r="V1318" s="1"/>
      <c r="W1318" s="15"/>
      <c r="X1318" s="16"/>
      <c r="Y1318" s="17"/>
    </row>
    <row r="1319" spans="14:25" x14ac:dyDescent="0.25">
      <c r="N1319" s="61"/>
      <c r="O1319" s="61"/>
      <c r="P1319" s="62"/>
      <c r="Q1319" s="13"/>
      <c r="R1319" s="13"/>
      <c r="S1319" s="14"/>
      <c r="T1319" s="1"/>
      <c r="U1319" s="15"/>
      <c r="V1319" s="1"/>
      <c r="W1319" s="15"/>
      <c r="X1319" s="16"/>
      <c r="Y1319" s="17"/>
    </row>
    <row r="1320" spans="14:25" x14ac:dyDescent="0.25">
      <c r="N1320" s="61"/>
      <c r="O1320" s="61"/>
      <c r="P1320" s="62"/>
      <c r="Q1320" s="13"/>
      <c r="R1320" s="13"/>
      <c r="S1320" s="14"/>
      <c r="T1320" s="1"/>
      <c r="U1320" s="15"/>
      <c r="V1320" s="1"/>
      <c r="W1320" s="15"/>
      <c r="X1320" s="16"/>
      <c r="Y1320" s="17"/>
    </row>
    <row r="1321" spans="14:25" x14ac:dyDescent="0.25">
      <c r="N1321" s="61"/>
      <c r="O1321" s="61"/>
      <c r="P1321" s="62"/>
      <c r="Q1321" s="13"/>
      <c r="R1321" s="13"/>
      <c r="S1321" s="14"/>
      <c r="T1321" s="1"/>
      <c r="U1321" s="15"/>
      <c r="V1321" s="1"/>
      <c r="W1321" s="15"/>
      <c r="X1321" s="16"/>
      <c r="Y1321" s="17"/>
    </row>
    <row r="1322" spans="14:25" x14ac:dyDescent="0.25">
      <c r="N1322" s="61"/>
      <c r="O1322" s="61"/>
      <c r="P1322" s="62"/>
      <c r="Q1322" s="13"/>
      <c r="R1322" s="13"/>
      <c r="S1322" s="14"/>
      <c r="T1322" s="1"/>
      <c r="U1322" s="15"/>
      <c r="V1322" s="1"/>
      <c r="W1322" s="15"/>
      <c r="X1322" s="16"/>
      <c r="Y1322" s="17"/>
    </row>
    <row r="1323" spans="14:25" x14ac:dyDescent="0.25">
      <c r="N1323" s="61"/>
      <c r="O1323" s="61"/>
      <c r="P1323" s="62"/>
      <c r="Q1323" s="13"/>
      <c r="R1323" s="13"/>
      <c r="S1323" s="14"/>
      <c r="T1323" s="1"/>
      <c r="U1323" s="15"/>
      <c r="V1323" s="1"/>
      <c r="W1323" s="15"/>
      <c r="X1323" s="16"/>
      <c r="Y1323" s="17"/>
    </row>
    <row r="1324" spans="14:25" x14ac:dyDescent="0.25">
      <c r="N1324" s="61"/>
      <c r="O1324" s="61"/>
      <c r="P1324" s="62"/>
      <c r="Q1324" s="13"/>
      <c r="R1324" s="13"/>
      <c r="S1324" s="14"/>
      <c r="T1324" s="1"/>
      <c r="U1324" s="15"/>
      <c r="V1324" s="1"/>
      <c r="W1324" s="15"/>
      <c r="X1324" s="16"/>
      <c r="Y1324" s="17"/>
    </row>
    <row r="1325" spans="14:25" x14ac:dyDescent="0.25">
      <c r="N1325" s="61"/>
      <c r="O1325" s="61"/>
      <c r="P1325" s="62"/>
      <c r="Q1325" s="13"/>
      <c r="R1325" s="13"/>
      <c r="S1325" s="14"/>
      <c r="T1325" s="1"/>
      <c r="U1325" s="15"/>
      <c r="V1325" s="1"/>
      <c r="W1325" s="15"/>
      <c r="X1325" s="16"/>
      <c r="Y1325" s="17"/>
    </row>
    <row r="1326" spans="14:25" x14ac:dyDescent="0.25">
      <c r="N1326" s="61"/>
      <c r="O1326" s="61"/>
      <c r="P1326" s="62"/>
      <c r="Q1326" s="13"/>
      <c r="R1326" s="13"/>
      <c r="S1326" s="14"/>
      <c r="T1326" s="1"/>
      <c r="U1326" s="15"/>
      <c r="V1326" s="1"/>
      <c r="W1326" s="15"/>
      <c r="X1326" s="16"/>
      <c r="Y1326" s="17"/>
    </row>
    <row r="1327" spans="14:25" x14ac:dyDescent="0.25">
      <c r="N1327" s="61"/>
      <c r="O1327" s="61"/>
      <c r="P1327" s="62"/>
      <c r="Q1327" s="13"/>
      <c r="R1327" s="13"/>
      <c r="S1327" s="14"/>
      <c r="T1327" s="1"/>
      <c r="U1327" s="15"/>
      <c r="V1327" s="1"/>
      <c r="W1327" s="15"/>
      <c r="X1327" s="16"/>
      <c r="Y1327" s="17"/>
    </row>
    <row r="1328" spans="14:25" x14ac:dyDescent="0.25">
      <c r="N1328" s="61"/>
      <c r="O1328" s="61"/>
      <c r="P1328" s="62"/>
      <c r="Q1328" s="13"/>
      <c r="R1328" s="13"/>
      <c r="S1328" s="14"/>
      <c r="T1328" s="1"/>
      <c r="U1328" s="15"/>
      <c r="V1328" s="1"/>
      <c r="W1328" s="15"/>
      <c r="X1328" s="16"/>
      <c r="Y1328" s="17"/>
    </row>
    <row r="1329" spans="14:25" x14ac:dyDescent="0.25">
      <c r="N1329" s="61"/>
      <c r="O1329" s="61"/>
      <c r="P1329" s="62"/>
      <c r="Q1329" s="13"/>
      <c r="R1329" s="13"/>
      <c r="S1329" s="14"/>
      <c r="T1329" s="1"/>
      <c r="U1329" s="15"/>
      <c r="V1329" s="1"/>
      <c r="W1329" s="15"/>
      <c r="X1329" s="16"/>
      <c r="Y1329" s="17"/>
    </row>
    <row r="1330" spans="14:25" x14ac:dyDescent="0.25">
      <c r="N1330" s="61"/>
      <c r="O1330" s="61"/>
      <c r="P1330" s="62"/>
      <c r="Q1330" s="13"/>
      <c r="R1330" s="13"/>
      <c r="S1330" s="14"/>
      <c r="T1330" s="1"/>
      <c r="U1330" s="15"/>
      <c r="V1330" s="1"/>
      <c r="W1330" s="15"/>
      <c r="X1330" s="16"/>
      <c r="Y1330" s="17"/>
    </row>
    <row r="1331" spans="14:25" x14ac:dyDescent="0.25">
      <c r="N1331" s="61"/>
      <c r="O1331" s="61"/>
      <c r="P1331" s="62"/>
      <c r="Q1331" s="13"/>
      <c r="R1331" s="13"/>
      <c r="S1331" s="14"/>
      <c r="T1331" s="1"/>
      <c r="U1331" s="15"/>
      <c r="V1331" s="1"/>
      <c r="W1331" s="15"/>
      <c r="X1331" s="16"/>
      <c r="Y1331" s="17"/>
    </row>
    <row r="1332" spans="14:25" x14ac:dyDescent="0.25">
      <c r="N1332" s="61"/>
      <c r="O1332" s="61"/>
      <c r="P1332" s="62"/>
      <c r="Q1332" s="13"/>
      <c r="R1332" s="13"/>
      <c r="S1332" s="14"/>
      <c r="T1332" s="1"/>
      <c r="U1332" s="15"/>
      <c r="V1332" s="1"/>
      <c r="W1332" s="15"/>
      <c r="X1332" s="16"/>
      <c r="Y1332" s="17"/>
    </row>
    <row r="1333" spans="14:25" x14ac:dyDescent="0.25">
      <c r="N1333" s="61"/>
      <c r="O1333" s="61"/>
      <c r="P1333" s="62"/>
      <c r="Q1333" s="13"/>
      <c r="R1333" s="13"/>
      <c r="S1333" s="14"/>
      <c r="T1333" s="1"/>
      <c r="U1333" s="15"/>
      <c r="V1333" s="1"/>
      <c r="W1333" s="15"/>
      <c r="X1333" s="16"/>
      <c r="Y1333" s="17"/>
    </row>
    <row r="1334" spans="14:25" x14ac:dyDescent="0.25">
      <c r="N1334" s="61"/>
      <c r="O1334" s="61"/>
      <c r="P1334" s="62"/>
      <c r="Q1334" s="13"/>
      <c r="R1334" s="13"/>
      <c r="S1334" s="14"/>
      <c r="T1334" s="1"/>
      <c r="U1334" s="15"/>
      <c r="V1334" s="1"/>
      <c r="W1334" s="15"/>
      <c r="X1334" s="16"/>
      <c r="Y1334" s="17"/>
    </row>
    <row r="1335" spans="14:25" x14ac:dyDescent="0.25">
      <c r="N1335" s="61"/>
      <c r="O1335" s="61"/>
      <c r="P1335" s="62"/>
      <c r="Q1335" s="13"/>
      <c r="R1335" s="13"/>
      <c r="S1335" s="14"/>
      <c r="T1335" s="1"/>
      <c r="U1335" s="15"/>
      <c r="V1335" s="1"/>
      <c r="W1335" s="15"/>
      <c r="X1335" s="16"/>
      <c r="Y1335" s="17"/>
    </row>
    <row r="1336" spans="14:25" x14ac:dyDescent="0.25">
      <c r="N1336" s="61"/>
      <c r="O1336" s="61"/>
      <c r="P1336" s="62"/>
      <c r="Q1336" s="13"/>
      <c r="R1336" s="13"/>
      <c r="S1336" s="14"/>
      <c r="T1336" s="1"/>
      <c r="U1336" s="15"/>
      <c r="V1336" s="1"/>
      <c r="W1336" s="15"/>
      <c r="X1336" s="16"/>
      <c r="Y1336" s="17"/>
    </row>
    <row r="1337" spans="14:25" x14ac:dyDescent="0.25">
      <c r="N1337" s="61"/>
      <c r="O1337" s="61"/>
      <c r="P1337" s="62"/>
      <c r="Q1337" s="13"/>
      <c r="R1337" s="13"/>
      <c r="S1337" s="14"/>
      <c r="T1337" s="1"/>
      <c r="U1337" s="15"/>
      <c r="V1337" s="1"/>
      <c r="W1337" s="15"/>
      <c r="X1337" s="16"/>
      <c r="Y1337" s="17"/>
    </row>
    <row r="1338" spans="14:25" x14ac:dyDescent="0.25">
      <c r="N1338" s="61"/>
      <c r="O1338" s="61"/>
      <c r="P1338" s="62"/>
      <c r="Q1338" s="13"/>
      <c r="R1338" s="13"/>
      <c r="S1338" s="14"/>
      <c r="T1338" s="1"/>
      <c r="U1338" s="15"/>
      <c r="V1338" s="1"/>
      <c r="W1338" s="15"/>
      <c r="X1338" s="16"/>
      <c r="Y1338" s="17"/>
    </row>
    <row r="1339" spans="14:25" x14ac:dyDescent="0.25">
      <c r="N1339" s="61"/>
      <c r="O1339" s="61"/>
      <c r="P1339" s="62"/>
      <c r="Q1339" s="13"/>
      <c r="R1339" s="13"/>
      <c r="S1339" s="14"/>
      <c r="T1339" s="1"/>
      <c r="U1339" s="15"/>
      <c r="V1339" s="1"/>
      <c r="W1339" s="15"/>
      <c r="X1339" s="16"/>
      <c r="Y1339" s="17"/>
    </row>
    <row r="1340" spans="14:25" x14ac:dyDescent="0.25">
      <c r="N1340" s="61"/>
      <c r="O1340" s="61"/>
      <c r="P1340" s="62"/>
      <c r="Q1340" s="13"/>
      <c r="R1340" s="13"/>
      <c r="S1340" s="14"/>
      <c r="T1340" s="1"/>
      <c r="U1340" s="15"/>
      <c r="V1340" s="1"/>
      <c r="W1340" s="15"/>
      <c r="X1340" s="16"/>
      <c r="Y1340" s="17"/>
    </row>
    <row r="1341" spans="14:25" x14ac:dyDescent="0.25">
      <c r="N1341" s="61"/>
      <c r="O1341" s="61"/>
      <c r="P1341" s="62"/>
      <c r="Q1341" s="13"/>
      <c r="R1341" s="13"/>
      <c r="S1341" s="14"/>
      <c r="T1341" s="1"/>
      <c r="U1341" s="15"/>
      <c r="V1341" s="1"/>
      <c r="W1341" s="15"/>
      <c r="X1341" s="16"/>
      <c r="Y1341" s="17"/>
    </row>
    <row r="1342" spans="14:25" x14ac:dyDescent="0.25">
      <c r="N1342" s="61"/>
      <c r="O1342" s="61"/>
      <c r="P1342" s="62"/>
      <c r="Q1342" s="13"/>
      <c r="R1342" s="13"/>
      <c r="S1342" s="14"/>
      <c r="T1342" s="1"/>
      <c r="U1342" s="15"/>
      <c r="V1342" s="1"/>
      <c r="W1342" s="15"/>
      <c r="X1342" s="16"/>
      <c r="Y1342" s="17"/>
    </row>
    <row r="1343" spans="14:25" x14ac:dyDescent="0.25">
      <c r="N1343" s="61"/>
      <c r="O1343" s="61"/>
      <c r="P1343" s="62"/>
      <c r="Q1343" s="13"/>
      <c r="R1343" s="13"/>
      <c r="S1343" s="14"/>
      <c r="T1343" s="1"/>
      <c r="U1343" s="15"/>
      <c r="V1343" s="1"/>
      <c r="W1343" s="15"/>
      <c r="X1343" s="16"/>
      <c r="Y1343" s="17"/>
    </row>
    <row r="1344" spans="14:25" x14ac:dyDescent="0.25">
      <c r="N1344" s="61"/>
      <c r="O1344" s="61"/>
      <c r="P1344" s="62"/>
      <c r="Q1344" s="13"/>
      <c r="R1344" s="13"/>
      <c r="S1344" s="14"/>
      <c r="T1344" s="1"/>
      <c r="U1344" s="15"/>
      <c r="V1344" s="1"/>
      <c r="W1344" s="15"/>
      <c r="X1344" s="16"/>
      <c r="Y1344" s="17"/>
    </row>
    <row r="1345" spans="14:25" x14ac:dyDescent="0.25">
      <c r="N1345" s="61"/>
      <c r="O1345" s="61"/>
      <c r="P1345" s="62"/>
      <c r="Q1345" s="13"/>
      <c r="R1345" s="13"/>
      <c r="S1345" s="14"/>
      <c r="T1345" s="1"/>
      <c r="U1345" s="15"/>
      <c r="V1345" s="1"/>
      <c r="W1345" s="15"/>
      <c r="X1345" s="16"/>
      <c r="Y1345" s="17"/>
    </row>
    <row r="1346" spans="14:25" x14ac:dyDescent="0.25">
      <c r="N1346" s="61"/>
      <c r="O1346" s="61"/>
      <c r="P1346" s="62"/>
      <c r="Q1346" s="13"/>
      <c r="R1346" s="13"/>
      <c r="S1346" s="14"/>
      <c r="T1346" s="1"/>
      <c r="U1346" s="15"/>
      <c r="V1346" s="1"/>
      <c r="W1346" s="15"/>
      <c r="X1346" s="16"/>
      <c r="Y1346" s="17"/>
    </row>
    <row r="1347" spans="14:25" x14ac:dyDescent="0.25">
      <c r="N1347" s="61"/>
      <c r="O1347" s="61"/>
      <c r="P1347" s="62"/>
      <c r="Q1347" s="13"/>
      <c r="R1347" s="13"/>
      <c r="S1347" s="14"/>
      <c r="T1347" s="1"/>
      <c r="U1347" s="15"/>
      <c r="V1347" s="1"/>
      <c r="W1347" s="15"/>
      <c r="X1347" s="16"/>
      <c r="Y1347" s="17"/>
    </row>
    <row r="1348" spans="14:25" x14ac:dyDescent="0.25">
      <c r="N1348" s="61"/>
      <c r="O1348" s="61"/>
      <c r="P1348" s="62"/>
      <c r="Q1348" s="13"/>
      <c r="R1348" s="13"/>
      <c r="S1348" s="14"/>
      <c r="T1348" s="1"/>
      <c r="U1348" s="15"/>
      <c r="V1348" s="1"/>
      <c r="W1348" s="15"/>
      <c r="X1348" s="16"/>
      <c r="Y1348" s="17"/>
    </row>
    <row r="1349" spans="14:25" x14ac:dyDescent="0.25">
      <c r="N1349" s="61"/>
      <c r="O1349" s="61"/>
      <c r="P1349" s="62"/>
      <c r="Q1349" s="13"/>
      <c r="R1349" s="13"/>
      <c r="S1349" s="14"/>
      <c r="T1349" s="1"/>
      <c r="U1349" s="15"/>
      <c r="V1349" s="1"/>
      <c r="W1349" s="15"/>
      <c r="X1349" s="16"/>
      <c r="Y1349" s="17"/>
    </row>
    <row r="1350" spans="14:25" x14ac:dyDescent="0.25">
      <c r="N1350" s="61"/>
      <c r="O1350" s="61"/>
      <c r="P1350" s="62"/>
      <c r="Q1350" s="13"/>
      <c r="R1350" s="13"/>
      <c r="S1350" s="14"/>
      <c r="T1350" s="1"/>
      <c r="U1350" s="15"/>
      <c r="V1350" s="1"/>
      <c r="W1350" s="15"/>
      <c r="X1350" s="16"/>
      <c r="Y1350" s="17"/>
    </row>
    <row r="1351" spans="14:25" x14ac:dyDescent="0.25">
      <c r="N1351" s="61"/>
      <c r="O1351" s="61"/>
      <c r="P1351" s="62"/>
      <c r="Q1351" s="13"/>
      <c r="R1351" s="13"/>
      <c r="S1351" s="14"/>
      <c r="T1351" s="1"/>
      <c r="U1351" s="15"/>
      <c r="V1351" s="1"/>
      <c r="W1351" s="15"/>
      <c r="X1351" s="16"/>
      <c r="Y1351" s="17"/>
    </row>
    <row r="1352" spans="14:25" x14ac:dyDescent="0.25">
      <c r="N1352" s="61"/>
      <c r="O1352" s="61"/>
      <c r="P1352" s="62"/>
      <c r="Q1352" s="13"/>
      <c r="R1352" s="13"/>
      <c r="S1352" s="14"/>
      <c r="T1352" s="1"/>
      <c r="U1352" s="15"/>
      <c r="V1352" s="1"/>
      <c r="W1352" s="15"/>
      <c r="X1352" s="16"/>
      <c r="Y1352" s="17"/>
    </row>
    <row r="1353" spans="14:25" x14ac:dyDescent="0.25">
      <c r="N1353" s="61"/>
      <c r="O1353" s="61"/>
      <c r="P1353" s="62"/>
      <c r="Q1353" s="13"/>
      <c r="R1353" s="13"/>
      <c r="S1353" s="14"/>
      <c r="T1353" s="1"/>
      <c r="U1353" s="15"/>
      <c r="V1353" s="1"/>
      <c r="W1353" s="15"/>
      <c r="X1353" s="16"/>
      <c r="Y1353" s="17"/>
    </row>
    <row r="1354" spans="14:25" x14ac:dyDescent="0.25">
      <c r="N1354" s="61"/>
      <c r="O1354" s="61"/>
      <c r="P1354" s="62"/>
      <c r="Q1354" s="13"/>
      <c r="R1354" s="13"/>
      <c r="S1354" s="14"/>
      <c r="T1354" s="1"/>
      <c r="U1354" s="15"/>
      <c r="V1354" s="1"/>
      <c r="W1354" s="15"/>
      <c r="X1354" s="16"/>
      <c r="Y1354" s="17"/>
    </row>
    <row r="1355" spans="14:25" x14ac:dyDescent="0.25">
      <c r="N1355" s="61"/>
      <c r="O1355" s="61"/>
      <c r="P1355" s="62"/>
      <c r="Q1355" s="13"/>
      <c r="R1355" s="13"/>
      <c r="S1355" s="14"/>
      <c r="T1355" s="1"/>
      <c r="U1355" s="15"/>
      <c r="V1355" s="1"/>
      <c r="W1355" s="15"/>
      <c r="X1355" s="16"/>
      <c r="Y1355" s="17"/>
    </row>
    <row r="1356" spans="14:25" x14ac:dyDescent="0.25">
      <c r="N1356" s="61"/>
      <c r="O1356" s="61"/>
      <c r="P1356" s="62"/>
      <c r="Q1356" s="13"/>
      <c r="R1356" s="13"/>
      <c r="S1356" s="14"/>
      <c r="T1356" s="1"/>
      <c r="U1356" s="15"/>
      <c r="V1356" s="1"/>
      <c r="W1356" s="15"/>
      <c r="X1356" s="16"/>
      <c r="Y1356" s="17"/>
    </row>
    <row r="1357" spans="14:25" x14ac:dyDescent="0.25">
      <c r="N1357" s="61"/>
      <c r="O1357" s="61"/>
      <c r="P1357" s="62"/>
      <c r="Q1357" s="13"/>
      <c r="R1357" s="13"/>
      <c r="S1357" s="14"/>
      <c r="T1357" s="1"/>
      <c r="U1357" s="15"/>
      <c r="V1357" s="1"/>
      <c r="W1357" s="15"/>
      <c r="X1357" s="16"/>
      <c r="Y1357" s="17"/>
    </row>
    <row r="1358" spans="14:25" x14ac:dyDescent="0.25">
      <c r="N1358" s="61"/>
      <c r="O1358" s="61"/>
      <c r="P1358" s="62"/>
      <c r="Q1358" s="13"/>
      <c r="R1358" s="13"/>
      <c r="S1358" s="14"/>
      <c r="T1358" s="1"/>
      <c r="U1358" s="15"/>
      <c r="V1358" s="1"/>
      <c r="W1358" s="15"/>
      <c r="X1358" s="16"/>
      <c r="Y1358" s="17"/>
    </row>
    <row r="1359" spans="14:25" x14ac:dyDescent="0.25">
      <c r="N1359" s="61"/>
      <c r="O1359" s="61"/>
      <c r="P1359" s="62"/>
      <c r="Q1359" s="13"/>
      <c r="R1359" s="13"/>
      <c r="S1359" s="14"/>
      <c r="T1359" s="1"/>
      <c r="U1359" s="15"/>
      <c r="V1359" s="1"/>
      <c r="W1359" s="15"/>
      <c r="X1359" s="16"/>
      <c r="Y1359" s="17"/>
    </row>
    <row r="1360" spans="14:25" x14ac:dyDescent="0.25">
      <c r="N1360" s="61"/>
      <c r="O1360" s="61"/>
      <c r="P1360" s="62"/>
      <c r="Q1360" s="13"/>
      <c r="R1360" s="13"/>
      <c r="S1360" s="14"/>
      <c r="T1360" s="1"/>
      <c r="U1360" s="15"/>
      <c r="V1360" s="1"/>
      <c r="W1360" s="15"/>
      <c r="X1360" s="16"/>
      <c r="Y1360" s="17"/>
    </row>
    <row r="1361" spans="14:25" x14ac:dyDescent="0.25">
      <c r="N1361" s="61"/>
      <c r="O1361" s="61"/>
      <c r="P1361" s="62"/>
      <c r="Q1361" s="13"/>
      <c r="R1361" s="13"/>
      <c r="S1361" s="14"/>
      <c r="T1361" s="1"/>
      <c r="U1361" s="15"/>
      <c r="V1361" s="1"/>
      <c r="W1361" s="15"/>
      <c r="X1361" s="16"/>
      <c r="Y1361" s="17"/>
    </row>
    <row r="1362" spans="14:25" x14ac:dyDescent="0.25">
      <c r="N1362" s="61"/>
      <c r="O1362" s="61"/>
      <c r="P1362" s="62"/>
      <c r="Q1362" s="13"/>
      <c r="R1362" s="13"/>
      <c r="S1362" s="14"/>
      <c r="T1362" s="1"/>
      <c r="U1362" s="15"/>
      <c r="V1362" s="1"/>
      <c r="W1362" s="15"/>
      <c r="X1362" s="16"/>
      <c r="Y1362" s="17"/>
    </row>
    <row r="1363" spans="14:25" x14ac:dyDescent="0.25">
      <c r="N1363" s="61"/>
      <c r="O1363" s="61"/>
      <c r="P1363" s="62"/>
      <c r="Q1363" s="13"/>
      <c r="R1363" s="13"/>
      <c r="S1363" s="14"/>
      <c r="T1363" s="1"/>
      <c r="U1363" s="15"/>
      <c r="V1363" s="1"/>
      <c r="W1363" s="15"/>
      <c r="X1363" s="16"/>
      <c r="Y1363" s="17"/>
    </row>
    <row r="1364" spans="14:25" x14ac:dyDescent="0.25">
      <c r="N1364" s="61"/>
      <c r="O1364" s="61"/>
      <c r="P1364" s="62"/>
      <c r="Q1364" s="13"/>
      <c r="R1364" s="13"/>
      <c r="S1364" s="14"/>
      <c r="T1364" s="1"/>
      <c r="U1364" s="15"/>
      <c r="V1364" s="1"/>
      <c r="W1364" s="15"/>
      <c r="X1364" s="16"/>
      <c r="Y1364" s="17"/>
    </row>
    <row r="1365" spans="14:25" x14ac:dyDescent="0.25">
      <c r="N1365" s="61"/>
      <c r="O1365" s="61"/>
      <c r="P1365" s="62"/>
      <c r="Q1365" s="13"/>
      <c r="R1365" s="13"/>
      <c r="S1365" s="14"/>
      <c r="T1365" s="1"/>
      <c r="U1365" s="15"/>
      <c r="V1365" s="1"/>
      <c r="W1365" s="15"/>
      <c r="X1365" s="16"/>
      <c r="Y1365" s="17"/>
    </row>
    <row r="1366" spans="14:25" x14ac:dyDescent="0.25">
      <c r="N1366" s="61"/>
      <c r="O1366" s="61"/>
      <c r="P1366" s="62"/>
      <c r="Q1366" s="13"/>
      <c r="R1366" s="13"/>
      <c r="S1366" s="14"/>
      <c r="T1366" s="1"/>
      <c r="U1366" s="15"/>
      <c r="V1366" s="1"/>
      <c r="W1366" s="15"/>
      <c r="X1366" s="16"/>
      <c r="Y1366" s="17"/>
    </row>
    <row r="1367" spans="14:25" x14ac:dyDescent="0.25">
      <c r="N1367" s="61"/>
      <c r="O1367" s="61"/>
      <c r="P1367" s="62"/>
      <c r="Q1367" s="13"/>
      <c r="R1367" s="13"/>
      <c r="S1367" s="14"/>
      <c r="T1367" s="1"/>
      <c r="U1367" s="15"/>
      <c r="V1367" s="1"/>
      <c r="W1367" s="15"/>
      <c r="X1367" s="16"/>
      <c r="Y1367" s="17"/>
    </row>
    <row r="1368" spans="14:25" x14ac:dyDescent="0.25">
      <c r="N1368" s="61"/>
      <c r="O1368" s="61"/>
      <c r="P1368" s="62"/>
      <c r="Q1368" s="13"/>
      <c r="R1368" s="13"/>
      <c r="S1368" s="14"/>
      <c r="T1368" s="1"/>
      <c r="U1368" s="15"/>
      <c r="V1368" s="1"/>
      <c r="W1368" s="15"/>
      <c r="X1368" s="16"/>
      <c r="Y1368" s="17"/>
    </row>
    <row r="1369" spans="14:25" x14ac:dyDescent="0.25">
      <c r="N1369" s="61"/>
      <c r="O1369" s="61"/>
      <c r="P1369" s="62"/>
      <c r="Q1369" s="13"/>
      <c r="R1369" s="13"/>
      <c r="S1369" s="14"/>
      <c r="T1369" s="1"/>
      <c r="U1369" s="15"/>
      <c r="V1369" s="1"/>
      <c r="W1369" s="15"/>
      <c r="X1369" s="16"/>
      <c r="Y1369" s="17"/>
    </row>
    <row r="1370" spans="14:25" x14ac:dyDescent="0.25">
      <c r="N1370" s="61"/>
      <c r="O1370" s="61"/>
      <c r="P1370" s="62"/>
      <c r="Q1370" s="13"/>
      <c r="R1370" s="13"/>
      <c r="S1370" s="14"/>
      <c r="T1370" s="1"/>
      <c r="U1370" s="15"/>
      <c r="V1370" s="1"/>
      <c r="W1370" s="15"/>
      <c r="X1370" s="16"/>
      <c r="Y1370" s="17"/>
    </row>
    <row r="1371" spans="14:25" x14ac:dyDescent="0.25">
      <c r="N1371" s="61"/>
      <c r="O1371" s="61"/>
      <c r="P1371" s="62"/>
      <c r="Q1371" s="13"/>
      <c r="R1371" s="13"/>
      <c r="S1371" s="14"/>
      <c r="T1371" s="1"/>
      <c r="U1371" s="15"/>
      <c r="V1371" s="1"/>
      <c r="W1371" s="15"/>
      <c r="X1371" s="16"/>
      <c r="Y1371" s="17"/>
    </row>
    <row r="1372" spans="14:25" x14ac:dyDescent="0.25">
      <c r="N1372" s="61"/>
      <c r="O1372" s="61"/>
      <c r="P1372" s="62"/>
      <c r="Q1372" s="13"/>
      <c r="R1372" s="13"/>
      <c r="S1372" s="14"/>
      <c r="T1372" s="1"/>
      <c r="U1372" s="15"/>
      <c r="V1372" s="1"/>
      <c r="W1372" s="15"/>
      <c r="X1372" s="16"/>
      <c r="Y1372" s="17"/>
    </row>
    <row r="1373" spans="14:25" x14ac:dyDescent="0.25">
      <c r="N1373" s="61"/>
      <c r="O1373" s="61"/>
      <c r="P1373" s="62"/>
      <c r="Q1373" s="13"/>
      <c r="R1373" s="13"/>
      <c r="S1373" s="14"/>
      <c r="T1373" s="1"/>
      <c r="U1373" s="15"/>
      <c r="V1373" s="1"/>
      <c r="W1373" s="15"/>
      <c r="X1373" s="16"/>
      <c r="Y1373" s="17"/>
    </row>
    <row r="1374" spans="14:25" x14ac:dyDescent="0.25">
      <c r="N1374" s="61"/>
      <c r="O1374" s="61"/>
      <c r="P1374" s="62"/>
      <c r="Q1374" s="13"/>
      <c r="R1374" s="13"/>
      <c r="S1374" s="14"/>
      <c r="T1374" s="1"/>
      <c r="U1374" s="15"/>
      <c r="V1374" s="1"/>
      <c r="W1374" s="15"/>
      <c r="X1374" s="16"/>
      <c r="Y1374" s="17"/>
    </row>
    <row r="1375" spans="14:25" x14ac:dyDescent="0.25">
      <c r="N1375" s="61"/>
      <c r="O1375" s="61"/>
      <c r="P1375" s="62"/>
      <c r="Q1375" s="13"/>
      <c r="R1375" s="13"/>
      <c r="S1375" s="14"/>
      <c r="T1375" s="1"/>
      <c r="U1375" s="15"/>
      <c r="V1375" s="1"/>
      <c r="W1375" s="15"/>
      <c r="X1375" s="16"/>
      <c r="Y1375" s="17"/>
    </row>
    <row r="1376" spans="14:25" x14ac:dyDescent="0.25">
      <c r="N1376" s="61"/>
      <c r="O1376" s="61"/>
      <c r="P1376" s="62"/>
      <c r="Q1376" s="13"/>
      <c r="R1376" s="13"/>
      <c r="S1376" s="14"/>
      <c r="T1376" s="1"/>
      <c r="U1376" s="15"/>
      <c r="V1376" s="1"/>
      <c r="W1376" s="15"/>
      <c r="X1376" s="16"/>
      <c r="Y1376" s="17"/>
    </row>
    <row r="1377" spans="14:25" x14ac:dyDescent="0.25">
      <c r="N1377" s="61"/>
      <c r="O1377" s="61"/>
      <c r="P1377" s="62"/>
      <c r="Q1377" s="13"/>
      <c r="R1377" s="13"/>
      <c r="S1377" s="14"/>
      <c r="T1377" s="1"/>
      <c r="U1377" s="15"/>
      <c r="V1377" s="1"/>
      <c r="W1377" s="15"/>
      <c r="X1377" s="16"/>
      <c r="Y1377" s="17"/>
    </row>
    <row r="1378" spans="14:25" x14ac:dyDescent="0.25">
      <c r="N1378" s="61"/>
      <c r="O1378" s="61"/>
      <c r="P1378" s="62"/>
      <c r="Q1378" s="13"/>
      <c r="R1378" s="13"/>
      <c r="S1378" s="14"/>
      <c r="T1378" s="1"/>
      <c r="U1378" s="15"/>
      <c r="V1378" s="1"/>
      <c r="W1378" s="15"/>
      <c r="X1378" s="16"/>
      <c r="Y1378" s="17"/>
    </row>
    <row r="1379" spans="14:25" x14ac:dyDescent="0.25">
      <c r="N1379" s="61"/>
      <c r="O1379" s="61"/>
      <c r="P1379" s="62"/>
      <c r="Q1379" s="13"/>
      <c r="R1379" s="13"/>
      <c r="S1379" s="14"/>
      <c r="T1379" s="1"/>
      <c r="U1379" s="15"/>
      <c r="V1379" s="1"/>
      <c r="W1379" s="15"/>
      <c r="X1379" s="16"/>
      <c r="Y1379" s="17"/>
    </row>
    <row r="1380" spans="14:25" x14ac:dyDescent="0.25">
      <c r="N1380" s="61"/>
      <c r="O1380" s="61"/>
      <c r="P1380" s="62"/>
      <c r="Q1380" s="13"/>
      <c r="R1380" s="13"/>
      <c r="S1380" s="14"/>
      <c r="T1380" s="1"/>
      <c r="U1380" s="15"/>
      <c r="V1380" s="1"/>
      <c r="W1380" s="15"/>
      <c r="X1380" s="16"/>
      <c r="Y1380" s="17"/>
    </row>
    <row r="1381" spans="14:25" x14ac:dyDescent="0.25">
      <c r="N1381" s="61"/>
      <c r="O1381" s="61"/>
      <c r="P1381" s="62"/>
      <c r="Q1381" s="13"/>
      <c r="R1381" s="13"/>
      <c r="S1381" s="14"/>
      <c r="T1381" s="1"/>
      <c r="U1381" s="15"/>
      <c r="V1381" s="1"/>
      <c r="W1381" s="15"/>
      <c r="X1381" s="16"/>
      <c r="Y1381" s="17"/>
    </row>
    <row r="1382" spans="14:25" x14ac:dyDescent="0.25">
      <c r="N1382" s="61"/>
      <c r="O1382" s="61"/>
      <c r="P1382" s="62"/>
      <c r="Q1382" s="13"/>
      <c r="R1382" s="13"/>
      <c r="S1382" s="14"/>
      <c r="T1382" s="1"/>
      <c r="U1382" s="15"/>
      <c r="V1382" s="1"/>
      <c r="W1382" s="15"/>
      <c r="X1382" s="16"/>
      <c r="Y1382" s="17"/>
    </row>
    <row r="1383" spans="14:25" x14ac:dyDescent="0.25">
      <c r="N1383" s="61"/>
      <c r="O1383" s="61"/>
      <c r="P1383" s="62"/>
      <c r="Q1383" s="13"/>
      <c r="R1383" s="13"/>
      <c r="S1383" s="14"/>
      <c r="T1383" s="1"/>
      <c r="U1383" s="15"/>
      <c r="V1383" s="1"/>
      <c r="W1383" s="15"/>
      <c r="X1383" s="16"/>
      <c r="Y1383" s="17"/>
    </row>
    <row r="1384" spans="14:25" x14ac:dyDescent="0.25">
      <c r="N1384" s="61"/>
      <c r="O1384" s="61"/>
      <c r="P1384" s="62"/>
      <c r="Q1384" s="13"/>
      <c r="R1384" s="13"/>
      <c r="S1384" s="14"/>
      <c r="T1384" s="1"/>
      <c r="U1384" s="15"/>
      <c r="V1384" s="1"/>
      <c r="W1384" s="15"/>
      <c r="X1384" s="16"/>
      <c r="Y1384" s="17"/>
    </row>
    <row r="1385" spans="14:25" x14ac:dyDescent="0.25">
      <c r="N1385" s="61"/>
      <c r="O1385" s="61"/>
      <c r="P1385" s="62"/>
      <c r="Q1385" s="13"/>
      <c r="R1385" s="13"/>
      <c r="S1385" s="14"/>
      <c r="T1385" s="1"/>
      <c r="U1385" s="15"/>
      <c r="V1385" s="1"/>
      <c r="W1385" s="15"/>
      <c r="X1385" s="16"/>
      <c r="Y1385" s="17"/>
    </row>
    <row r="1386" spans="14:25" x14ac:dyDescent="0.25">
      <c r="N1386" s="61"/>
      <c r="O1386" s="61"/>
      <c r="P1386" s="62"/>
      <c r="Q1386" s="13"/>
      <c r="R1386" s="13"/>
      <c r="S1386" s="14"/>
      <c r="T1386" s="1"/>
      <c r="U1386" s="15"/>
      <c r="V1386" s="1"/>
      <c r="W1386" s="15"/>
      <c r="X1386" s="16"/>
      <c r="Y1386" s="17"/>
    </row>
    <row r="1387" spans="14:25" x14ac:dyDescent="0.25">
      <c r="N1387" s="61"/>
      <c r="O1387" s="61"/>
      <c r="P1387" s="62"/>
      <c r="Q1387" s="13"/>
      <c r="R1387" s="13"/>
      <c r="S1387" s="14"/>
      <c r="T1387" s="1"/>
      <c r="U1387" s="15"/>
      <c r="V1387" s="1"/>
      <c r="W1387" s="15"/>
      <c r="X1387" s="16"/>
      <c r="Y1387" s="17"/>
    </row>
    <row r="1388" spans="14:25" x14ac:dyDescent="0.25">
      <c r="N1388" s="61"/>
      <c r="O1388" s="61"/>
      <c r="P1388" s="62"/>
      <c r="Q1388" s="13"/>
      <c r="R1388" s="13"/>
      <c r="S1388" s="14"/>
      <c r="T1388" s="1"/>
      <c r="U1388" s="15"/>
      <c r="V1388" s="1"/>
      <c r="W1388" s="15"/>
      <c r="X1388" s="16"/>
      <c r="Y1388" s="17"/>
    </row>
    <row r="1389" spans="14:25" x14ac:dyDescent="0.25">
      <c r="N1389" s="61"/>
      <c r="O1389" s="61"/>
      <c r="P1389" s="62"/>
      <c r="Q1389" s="13"/>
      <c r="R1389" s="13"/>
      <c r="S1389" s="14"/>
      <c r="T1389" s="1"/>
      <c r="U1389" s="15"/>
      <c r="V1389" s="1"/>
      <c r="W1389" s="15"/>
      <c r="X1389" s="16"/>
      <c r="Y1389" s="17"/>
    </row>
    <row r="1390" spans="14:25" x14ac:dyDescent="0.25">
      <c r="N1390" s="61"/>
      <c r="O1390" s="61"/>
      <c r="P1390" s="62"/>
      <c r="Q1390" s="13"/>
      <c r="R1390" s="13"/>
      <c r="S1390" s="14"/>
      <c r="T1390" s="1"/>
      <c r="U1390" s="15"/>
      <c r="V1390" s="1"/>
      <c r="W1390" s="15"/>
      <c r="X1390" s="16"/>
      <c r="Y1390" s="17"/>
    </row>
    <row r="1391" spans="14:25" x14ac:dyDescent="0.25">
      <c r="N1391" s="61"/>
      <c r="O1391" s="61"/>
      <c r="P1391" s="62"/>
      <c r="Q1391" s="13"/>
      <c r="R1391" s="13"/>
      <c r="S1391" s="14"/>
      <c r="T1391" s="1"/>
      <c r="U1391" s="15"/>
      <c r="V1391" s="1"/>
      <c r="W1391" s="15"/>
      <c r="X1391" s="16"/>
      <c r="Y1391" s="17"/>
    </row>
    <row r="1392" spans="14:25" x14ac:dyDescent="0.25">
      <c r="N1392" s="61"/>
      <c r="O1392" s="61"/>
      <c r="P1392" s="62"/>
      <c r="Q1392" s="13"/>
      <c r="R1392" s="13"/>
      <c r="S1392" s="14"/>
      <c r="T1392" s="1"/>
      <c r="U1392" s="15"/>
      <c r="V1392" s="1"/>
      <c r="W1392" s="15"/>
      <c r="X1392" s="16"/>
      <c r="Y1392" s="17"/>
    </row>
    <row r="1393" spans="14:25" x14ac:dyDescent="0.25">
      <c r="N1393" s="61"/>
      <c r="O1393" s="61"/>
      <c r="P1393" s="62"/>
      <c r="Q1393" s="13"/>
      <c r="R1393" s="13"/>
      <c r="S1393" s="14"/>
      <c r="T1393" s="1"/>
      <c r="U1393" s="15"/>
      <c r="V1393" s="1"/>
      <c r="W1393" s="15"/>
      <c r="X1393" s="16"/>
      <c r="Y1393" s="17"/>
    </row>
    <row r="1394" spans="14:25" x14ac:dyDescent="0.25">
      <c r="N1394" s="61"/>
      <c r="O1394" s="61"/>
      <c r="P1394" s="62"/>
      <c r="Q1394" s="13"/>
      <c r="R1394" s="13"/>
      <c r="S1394" s="14"/>
      <c r="T1394" s="1"/>
      <c r="U1394" s="15"/>
      <c r="V1394" s="1"/>
      <c r="W1394" s="15"/>
      <c r="X1394" s="16"/>
      <c r="Y1394" s="17"/>
    </row>
    <row r="1395" spans="14:25" x14ac:dyDescent="0.25">
      <c r="N1395" s="61"/>
      <c r="O1395" s="61"/>
      <c r="P1395" s="62"/>
      <c r="Q1395" s="13"/>
      <c r="R1395" s="13"/>
      <c r="S1395" s="14"/>
      <c r="T1395" s="1"/>
      <c r="U1395" s="15"/>
      <c r="V1395" s="1"/>
      <c r="W1395" s="15"/>
      <c r="X1395" s="16"/>
      <c r="Y1395" s="17"/>
    </row>
    <row r="1396" spans="14:25" x14ac:dyDescent="0.25">
      <c r="N1396" s="61"/>
      <c r="O1396" s="61"/>
      <c r="P1396" s="62"/>
      <c r="Q1396" s="13"/>
      <c r="R1396" s="13"/>
      <c r="S1396" s="14"/>
      <c r="T1396" s="1"/>
      <c r="U1396" s="15"/>
      <c r="V1396" s="1"/>
      <c r="W1396" s="15"/>
      <c r="X1396" s="16"/>
      <c r="Y1396" s="17"/>
    </row>
    <row r="1397" spans="14:25" x14ac:dyDescent="0.25">
      <c r="N1397" s="61"/>
      <c r="O1397" s="61"/>
      <c r="P1397" s="62"/>
      <c r="Q1397" s="13"/>
      <c r="R1397" s="13"/>
      <c r="S1397" s="14"/>
      <c r="T1397" s="1"/>
      <c r="U1397" s="15"/>
      <c r="V1397" s="1"/>
      <c r="W1397" s="15"/>
      <c r="X1397" s="16"/>
      <c r="Y1397" s="17"/>
    </row>
    <row r="1398" spans="14:25" x14ac:dyDescent="0.25">
      <c r="N1398" s="61"/>
      <c r="O1398" s="61"/>
      <c r="P1398" s="62"/>
      <c r="Q1398" s="13"/>
      <c r="R1398" s="13"/>
      <c r="S1398" s="14"/>
      <c r="T1398" s="1"/>
      <c r="U1398" s="15"/>
      <c r="V1398" s="1"/>
      <c r="W1398" s="15"/>
      <c r="X1398" s="16"/>
      <c r="Y1398" s="17"/>
    </row>
    <row r="1399" spans="14:25" x14ac:dyDescent="0.25">
      <c r="N1399" s="61"/>
      <c r="O1399" s="61"/>
      <c r="P1399" s="62"/>
      <c r="Q1399" s="13"/>
      <c r="R1399" s="13"/>
      <c r="S1399" s="14"/>
      <c r="T1399" s="1"/>
      <c r="U1399" s="15"/>
      <c r="V1399" s="1"/>
      <c r="W1399" s="15"/>
      <c r="X1399" s="16"/>
      <c r="Y1399" s="17"/>
    </row>
    <row r="1400" spans="14:25" x14ac:dyDescent="0.25">
      <c r="N1400" s="61"/>
      <c r="O1400" s="61"/>
      <c r="P1400" s="62"/>
      <c r="Q1400" s="13"/>
      <c r="R1400" s="13"/>
      <c r="S1400" s="14"/>
      <c r="T1400" s="1"/>
      <c r="U1400" s="15"/>
      <c r="V1400" s="1"/>
      <c r="W1400" s="15"/>
      <c r="X1400" s="16"/>
      <c r="Y1400" s="17"/>
    </row>
    <row r="1401" spans="14:25" x14ac:dyDescent="0.25">
      <c r="N1401" s="61"/>
      <c r="O1401" s="61"/>
      <c r="P1401" s="62"/>
      <c r="Q1401" s="13"/>
      <c r="R1401" s="13"/>
      <c r="S1401" s="14"/>
      <c r="T1401" s="1"/>
      <c r="U1401" s="15"/>
      <c r="V1401" s="1"/>
      <c r="W1401" s="15"/>
      <c r="X1401" s="16"/>
      <c r="Y1401" s="17"/>
    </row>
    <row r="1402" spans="14:25" x14ac:dyDescent="0.25">
      <c r="N1402" s="61"/>
      <c r="O1402" s="61"/>
      <c r="P1402" s="62"/>
      <c r="Q1402" s="13"/>
      <c r="R1402" s="13"/>
      <c r="S1402" s="14"/>
      <c r="T1402" s="1"/>
      <c r="U1402" s="15"/>
      <c r="V1402" s="1"/>
      <c r="W1402" s="15"/>
      <c r="X1402" s="16"/>
      <c r="Y1402" s="17"/>
    </row>
    <row r="1403" spans="14:25" x14ac:dyDescent="0.25">
      <c r="N1403" s="61"/>
      <c r="O1403" s="61"/>
      <c r="P1403" s="62"/>
      <c r="Q1403" s="13"/>
      <c r="R1403" s="13"/>
      <c r="S1403" s="14"/>
      <c r="T1403" s="1"/>
      <c r="U1403" s="15"/>
      <c r="V1403" s="1"/>
      <c r="W1403" s="15"/>
      <c r="X1403" s="16"/>
      <c r="Y1403" s="17"/>
    </row>
    <row r="1404" spans="14:25" x14ac:dyDescent="0.25">
      <c r="N1404" s="61"/>
      <c r="O1404" s="61"/>
      <c r="P1404" s="62"/>
      <c r="Q1404" s="13"/>
      <c r="R1404" s="13"/>
      <c r="S1404" s="14"/>
      <c r="T1404" s="1"/>
      <c r="U1404" s="15"/>
      <c r="V1404" s="1"/>
      <c r="W1404" s="15"/>
      <c r="X1404" s="16"/>
      <c r="Y1404" s="17"/>
    </row>
    <row r="1405" spans="14:25" x14ac:dyDescent="0.25">
      <c r="N1405" s="61"/>
      <c r="O1405" s="61"/>
      <c r="P1405" s="62"/>
      <c r="Q1405" s="13"/>
      <c r="R1405" s="13"/>
      <c r="S1405" s="14"/>
      <c r="T1405" s="1"/>
      <c r="U1405" s="15"/>
      <c r="V1405" s="1"/>
      <c r="W1405" s="15"/>
      <c r="X1405" s="16"/>
      <c r="Y1405" s="17"/>
    </row>
    <row r="1406" spans="14:25" x14ac:dyDescent="0.25">
      <c r="N1406" s="61"/>
      <c r="O1406" s="61"/>
      <c r="P1406" s="62"/>
      <c r="Q1406" s="13"/>
      <c r="R1406" s="13"/>
      <c r="S1406" s="14"/>
      <c r="T1406" s="1"/>
      <c r="U1406" s="15"/>
      <c r="V1406" s="1"/>
      <c r="W1406" s="15"/>
      <c r="X1406" s="16"/>
      <c r="Y1406" s="17"/>
    </row>
    <row r="1407" spans="14:25" x14ac:dyDescent="0.25">
      <c r="N1407" s="61"/>
      <c r="O1407" s="61"/>
      <c r="P1407" s="62"/>
      <c r="Q1407" s="13"/>
      <c r="R1407" s="13"/>
      <c r="S1407" s="14"/>
      <c r="T1407" s="1"/>
      <c r="U1407" s="15"/>
      <c r="V1407" s="1"/>
      <c r="W1407" s="15"/>
      <c r="X1407" s="16"/>
      <c r="Y1407" s="17"/>
    </row>
    <row r="1408" spans="14:25" x14ac:dyDescent="0.25">
      <c r="N1408" s="61"/>
      <c r="O1408" s="61"/>
      <c r="P1408" s="62"/>
      <c r="Q1408" s="13"/>
      <c r="R1408" s="13"/>
      <c r="S1408" s="14"/>
      <c r="T1408" s="1"/>
      <c r="U1408" s="15"/>
      <c r="V1408" s="1"/>
      <c r="W1408" s="15"/>
      <c r="X1408" s="16"/>
      <c r="Y1408" s="17"/>
    </row>
    <row r="1409" spans="14:25" x14ac:dyDescent="0.25">
      <c r="N1409" s="61"/>
      <c r="O1409" s="61"/>
      <c r="P1409" s="62"/>
      <c r="Q1409" s="13"/>
      <c r="R1409" s="13"/>
      <c r="S1409" s="14"/>
      <c r="T1409" s="1"/>
      <c r="U1409" s="15"/>
      <c r="V1409" s="1"/>
      <c r="W1409" s="15"/>
      <c r="X1409" s="16"/>
      <c r="Y1409" s="17"/>
    </row>
    <row r="1410" spans="14:25" x14ac:dyDescent="0.25">
      <c r="N1410" s="61"/>
      <c r="O1410" s="61"/>
      <c r="P1410" s="62"/>
      <c r="Q1410" s="13"/>
      <c r="R1410" s="13"/>
      <c r="S1410" s="14"/>
      <c r="T1410" s="1"/>
      <c r="U1410" s="15"/>
      <c r="V1410" s="1"/>
      <c r="W1410" s="15"/>
      <c r="X1410" s="16"/>
      <c r="Y1410" s="17"/>
    </row>
    <row r="1411" spans="14:25" x14ac:dyDescent="0.25">
      <c r="N1411" s="61"/>
      <c r="O1411" s="61"/>
      <c r="P1411" s="62"/>
      <c r="Q1411" s="13"/>
      <c r="R1411" s="13"/>
      <c r="S1411" s="14"/>
      <c r="T1411" s="1"/>
      <c r="U1411" s="15"/>
      <c r="V1411" s="1"/>
      <c r="W1411" s="15"/>
      <c r="X1411" s="16"/>
      <c r="Y1411" s="17"/>
    </row>
    <row r="1412" spans="14:25" x14ac:dyDescent="0.25">
      <c r="N1412" s="61"/>
      <c r="O1412" s="61"/>
      <c r="P1412" s="62"/>
      <c r="Q1412" s="13"/>
      <c r="R1412" s="13"/>
      <c r="S1412" s="14"/>
      <c r="T1412" s="1"/>
      <c r="U1412" s="15"/>
      <c r="V1412" s="1"/>
      <c r="W1412" s="15"/>
      <c r="X1412" s="16"/>
      <c r="Y1412" s="17"/>
    </row>
    <row r="1413" spans="14:25" x14ac:dyDescent="0.25">
      <c r="N1413" s="61"/>
      <c r="O1413" s="61"/>
      <c r="P1413" s="62"/>
      <c r="Q1413" s="13"/>
      <c r="R1413" s="13"/>
      <c r="S1413" s="14"/>
      <c r="T1413" s="1"/>
      <c r="U1413" s="15"/>
      <c r="V1413" s="1"/>
      <c r="W1413" s="15"/>
      <c r="X1413" s="16"/>
      <c r="Y1413" s="17"/>
    </row>
    <row r="1414" spans="14:25" x14ac:dyDescent="0.25">
      <c r="N1414" s="61"/>
      <c r="O1414" s="61"/>
      <c r="P1414" s="62"/>
      <c r="Q1414" s="13"/>
      <c r="R1414" s="13"/>
      <c r="S1414" s="14"/>
      <c r="T1414" s="1"/>
      <c r="U1414" s="15"/>
      <c r="V1414" s="1"/>
      <c r="W1414" s="15"/>
      <c r="X1414" s="16"/>
      <c r="Y1414" s="17"/>
    </row>
    <row r="1415" spans="14:25" x14ac:dyDescent="0.25">
      <c r="N1415" s="61"/>
      <c r="O1415" s="61"/>
      <c r="P1415" s="62"/>
      <c r="Q1415" s="13"/>
      <c r="R1415" s="13"/>
      <c r="S1415" s="14"/>
      <c r="T1415" s="1"/>
      <c r="U1415" s="15"/>
      <c r="V1415" s="1"/>
      <c r="W1415" s="15"/>
      <c r="X1415" s="16"/>
      <c r="Y1415" s="17"/>
    </row>
    <row r="1416" spans="14:25" x14ac:dyDescent="0.25">
      <c r="N1416" s="61"/>
      <c r="O1416" s="61"/>
      <c r="P1416" s="62"/>
      <c r="Q1416" s="13"/>
      <c r="R1416" s="13"/>
      <c r="S1416" s="14"/>
      <c r="T1416" s="1"/>
      <c r="U1416" s="15"/>
      <c r="V1416" s="1"/>
      <c r="W1416" s="15"/>
      <c r="X1416" s="16"/>
      <c r="Y1416" s="17"/>
    </row>
    <row r="1417" spans="14:25" x14ac:dyDescent="0.25">
      <c r="N1417" s="61"/>
      <c r="O1417" s="61"/>
      <c r="P1417" s="62"/>
      <c r="Q1417" s="13"/>
      <c r="R1417" s="13"/>
      <c r="S1417" s="14"/>
      <c r="T1417" s="1"/>
      <c r="U1417" s="15"/>
      <c r="V1417" s="1"/>
      <c r="W1417" s="15"/>
      <c r="X1417" s="16"/>
      <c r="Y1417" s="17"/>
    </row>
    <row r="1418" spans="14:25" x14ac:dyDescent="0.25">
      <c r="N1418" s="61"/>
      <c r="O1418" s="61"/>
      <c r="P1418" s="62"/>
      <c r="Q1418" s="13"/>
      <c r="R1418" s="13"/>
      <c r="S1418" s="14"/>
      <c r="T1418" s="1"/>
      <c r="U1418" s="15"/>
      <c r="V1418" s="1"/>
      <c r="W1418" s="15"/>
      <c r="X1418" s="16"/>
      <c r="Y1418" s="17"/>
    </row>
    <row r="1419" spans="14:25" x14ac:dyDescent="0.25">
      <c r="N1419" s="61"/>
      <c r="O1419" s="61"/>
      <c r="P1419" s="62"/>
      <c r="Q1419" s="13"/>
      <c r="R1419" s="13"/>
      <c r="S1419" s="14"/>
      <c r="T1419" s="1"/>
      <c r="U1419" s="15"/>
      <c r="V1419" s="1"/>
      <c r="W1419" s="15"/>
      <c r="X1419" s="16"/>
      <c r="Y1419" s="17"/>
    </row>
    <row r="1420" spans="14:25" x14ac:dyDescent="0.25">
      <c r="N1420" s="61"/>
      <c r="O1420" s="61"/>
      <c r="P1420" s="62"/>
      <c r="Q1420" s="13"/>
      <c r="R1420" s="13"/>
      <c r="S1420" s="14"/>
      <c r="T1420" s="1"/>
      <c r="U1420" s="15"/>
      <c r="V1420" s="1"/>
      <c r="W1420" s="15"/>
      <c r="X1420" s="16"/>
      <c r="Y1420" s="17"/>
    </row>
    <row r="1421" spans="14:25" x14ac:dyDescent="0.25">
      <c r="N1421" s="61"/>
      <c r="O1421" s="61"/>
      <c r="P1421" s="62"/>
      <c r="Q1421" s="13"/>
      <c r="R1421" s="13"/>
      <c r="S1421" s="14"/>
      <c r="T1421" s="1"/>
      <c r="U1421" s="15"/>
      <c r="V1421" s="1"/>
      <c r="W1421" s="15"/>
      <c r="X1421" s="16"/>
      <c r="Y1421" s="17"/>
    </row>
    <row r="1422" spans="14:25" x14ac:dyDescent="0.25">
      <c r="N1422" s="61"/>
      <c r="O1422" s="61"/>
      <c r="P1422" s="62"/>
      <c r="Q1422" s="13"/>
      <c r="R1422" s="13"/>
      <c r="S1422" s="14"/>
      <c r="T1422" s="1"/>
      <c r="U1422" s="15"/>
      <c r="V1422" s="1"/>
      <c r="W1422" s="15"/>
      <c r="X1422" s="16"/>
      <c r="Y1422" s="17"/>
    </row>
    <row r="1423" spans="14:25" x14ac:dyDescent="0.25">
      <c r="N1423" s="61"/>
      <c r="O1423" s="61"/>
      <c r="P1423" s="62"/>
      <c r="Q1423" s="13"/>
      <c r="R1423" s="13"/>
      <c r="S1423" s="14"/>
      <c r="T1423" s="1"/>
      <c r="U1423" s="15"/>
      <c r="V1423" s="1"/>
      <c r="W1423" s="15"/>
      <c r="X1423" s="16"/>
      <c r="Y1423" s="17"/>
    </row>
    <row r="1424" spans="14:25" x14ac:dyDescent="0.25">
      <c r="N1424" s="61"/>
      <c r="O1424" s="61"/>
      <c r="P1424" s="62"/>
      <c r="Q1424" s="13"/>
      <c r="R1424" s="13"/>
      <c r="S1424" s="14"/>
      <c r="T1424" s="1"/>
      <c r="U1424" s="15"/>
      <c r="V1424" s="1"/>
      <c r="W1424" s="15"/>
      <c r="X1424" s="16"/>
      <c r="Y1424" s="17"/>
    </row>
    <row r="1425" spans="14:25" x14ac:dyDescent="0.25">
      <c r="N1425" s="61"/>
      <c r="O1425" s="61"/>
      <c r="P1425" s="62"/>
      <c r="Q1425" s="13"/>
      <c r="R1425" s="13"/>
      <c r="S1425" s="14"/>
      <c r="T1425" s="1"/>
      <c r="U1425" s="15"/>
      <c r="V1425" s="1"/>
      <c r="W1425" s="15"/>
      <c r="X1425" s="16"/>
      <c r="Y1425" s="17"/>
    </row>
    <row r="1426" spans="14:25" x14ac:dyDescent="0.25">
      <c r="N1426" s="61"/>
      <c r="O1426" s="61"/>
      <c r="P1426" s="62"/>
      <c r="Q1426" s="13"/>
      <c r="R1426" s="13"/>
      <c r="S1426" s="14"/>
      <c r="T1426" s="1"/>
      <c r="U1426" s="15"/>
      <c r="V1426" s="1"/>
      <c r="W1426" s="15"/>
      <c r="X1426" s="16"/>
      <c r="Y1426" s="17"/>
    </row>
    <row r="1427" spans="14:25" x14ac:dyDescent="0.25">
      <c r="N1427" s="61"/>
      <c r="O1427" s="61"/>
      <c r="P1427" s="62"/>
      <c r="Q1427" s="13"/>
      <c r="R1427" s="13"/>
      <c r="S1427" s="14"/>
      <c r="T1427" s="1"/>
      <c r="U1427" s="15"/>
      <c r="V1427" s="1"/>
      <c r="W1427" s="15"/>
      <c r="X1427" s="16"/>
      <c r="Y1427" s="17"/>
    </row>
    <row r="1428" spans="14:25" x14ac:dyDescent="0.25">
      <c r="N1428" s="61"/>
      <c r="O1428" s="61"/>
      <c r="P1428" s="62"/>
      <c r="Q1428" s="13"/>
      <c r="R1428" s="13"/>
      <c r="S1428" s="14"/>
      <c r="T1428" s="1"/>
      <c r="U1428" s="15"/>
      <c r="V1428" s="1"/>
      <c r="W1428" s="15"/>
      <c r="X1428" s="16"/>
      <c r="Y1428" s="17"/>
    </row>
    <row r="1429" spans="14:25" x14ac:dyDescent="0.25">
      <c r="N1429" s="61"/>
      <c r="O1429" s="61"/>
      <c r="P1429" s="62"/>
      <c r="Q1429" s="13"/>
      <c r="R1429" s="13"/>
      <c r="S1429" s="14"/>
      <c r="T1429" s="1"/>
      <c r="U1429" s="15"/>
      <c r="V1429" s="1"/>
      <c r="W1429" s="15"/>
      <c r="X1429" s="16"/>
      <c r="Y1429" s="17"/>
    </row>
    <row r="1430" spans="14:25" x14ac:dyDescent="0.25">
      <c r="N1430" s="61"/>
      <c r="O1430" s="61"/>
      <c r="P1430" s="62"/>
      <c r="Q1430" s="13"/>
      <c r="R1430" s="13"/>
      <c r="S1430" s="14"/>
      <c r="T1430" s="1"/>
      <c r="U1430" s="15"/>
      <c r="V1430" s="1"/>
      <c r="W1430" s="15"/>
      <c r="X1430" s="16"/>
      <c r="Y1430" s="17"/>
    </row>
    <row r="1431" spans="14:25" x14ac:dyDescent="0.25">
      <c r="N1431" s="61"/>
      <c r="O1431" s="61"/>
      <c r="P1431" s="62"/>
      <c r="Q1431" s="13"/>
      <c r="R1431" s="13"/>
      <c r="S1431" s="14"/>
      <c r="T1431" s="1"/>
      <c r="U1431" s="15"/>
      <c r="V1431" s="1"/>
      <c r="W1431" s="15"/>
      <c r="X1431" s="16"/>
      <c r="Y1431" s="17"/>
    </row>
    <row r="1432" spans="14:25" x14ac:dyDescent="0.25">
      <c r="N1432" s="61"/>
      <c r="O1432" s="61"/>
      <c r="P1432" s="62"/>
      <c r="Q1432" s="13"/>
      <c r="R1432" s="13"/>
      <c r="S1432" s="14"/>
      <c r="T1432" s="1"/>
      <c r="U1432" s="15"/>
      <c r="V1432" s="1"/>
      <c r="W1432" s="15"/>
      <c r="X1432" s="16"/>
      <c r="Y1432" s="17"/>
    </row>
    <row r="1433" spans="14:25" x14ac:dyDescent="0.25">
      <c r="N1433" s="61"/>
      <c r="O1433" s="61"/>
      <c r="P1433" s="62"/>
      <c r="Q1433" s="13"/>
      <c r="R1433" s="13"/>
      <c r="S1433" s="14"/>
      <c r="T1433" s="1"/>
      <c r="U1433" s="15"/>
      <c r="V1433" s="1"/>
      <c r="W1433" s="15"/>
      <c r="X1433" s="16"/>
      <c r="Y1433" s="17"/>
    </row>
    <row r="1434" spans="14:25" x14ac:dyDescent="0.25">
      <c r="N1434" s="61"/>
      <c r="O1434" s="61"/>
      <c r="P1434" s="62"/>
      <c r="Q1434" s="13"/>
      <c r="R1434" s="13"/>
      <c r="S1434" s="14"/>
      <c r="T1434" s="1"/>
      <c r="U1434" s="15"/>
      <c r="V1434" s="1"/>
      <c r="W1434" s="15"/>
      <c r="X1434" s="16"/>
      <c r="Y1434" s="17"/>
    </row>
    <row r="1435" spans="14:25" x14ac:dyDescent="0.25">
      <c r="N1435" s="61"/>
      <c r="O1435" s="61"/>
      <c r="P1435" s="62"/>
      <c r="Q1435" s="13"/>
      <c r="R1435" s="13"/>
      <c r="S1435" s="14"/>
      <c r="T1435" s="1"/>
      <c r="U1435" s="15"/>
      <c r="V1435" s="1"/>
      <c r="W1435" s="15"/>
      <c r="X1435" s="16"/>
      <c r="Y1435" s="17"/>
    </row>
    <row r="1436" spans="14:25" x14ac:dyDescent="0.25">
      <c r="N1436" s="61"/>
      <c r="O1436" s="61"/>
      <c r="P1436" s="62"/>
      <c r="Q1436" s="13"/>
      <c r="R1436" s="13"/>
      <c r="S1436" s="14"/>
      <c r="T1436" s="1"/>
      <c r="U1436" s="15"/>
      <c r="V1436" s="1"/>
      <c r="W1436" s="15"/>
      <c r="X1436" s="16"/>
      <c r="Y1436" s="17"/>
    </row>
    <row r="1437" spans="14:25" x14ac:dyDescent="0.25">
      <c r="N1437" s="61"/>
      <c r="O1437" s="61"/>
      <c r="P1437" s="62"/>
      <c r="Q1437" s="13"/>
      <c r="R1437" s="13"/>
      <c r="S1437" s="14"/>
      <c r="T1437" s="1"/>
      <c r="U1437" s="15"/>
      <c r="V1437" s="1"/>
      <c r="W1437" s="15"/>
      <c r="X1437" s="16"/>
      <c r="Y1437" s="17"/>
    </row>
    <row r="1438" spans="14:25" x14ac:dyDescent="0.25">
      <c r="N1438" s="61"/>
      <c r="O1438" s="61"/>
      <c r="P1438" s="62"/>
      <c r="Q1438" s="13"/>
      <c r="R1438" s="13"/>
      <c r="S1438" s="14"/>
      <c r="T1438" s="1"/>
      <c r="U1438" s="15"/>
      <c r="V1438" s="1"/>
      <c r="W1438" s="15"/>
      <c r="X1438" s="16"/>
      <c r="Y1438" s="17"/>
    </row>
    <row r="1439" spans="14:25" x14ac:dyDescent="0.25">
      <c r="N1439" s="61"/>
      <c r="O1439" s="61"/>
      <c r="P1439" s="62"/>
      <c r="Q1439" s="13"/>
      <c r="R1439" s="13"/>
      <c r="S1439" s="14"/>
      <c r="T1439" s="1"/>
      <c r="U1439" s="15"/>
      <c r="V1439" s="1"/>
      <c r="W1439" s="15"/>
      <c r="X1439" s="16"/>
      <c r="Y1439" s="17"/>
    </row>
    <row r="1440" spans="14:25" x14ac:dyDescent="0.25">
      <c r="N1440" s="61"/>
      <c r="O1440" s="61"/>
      <c r="P1440" s="62"/>
      <c r="Q1440" s="13"/>
      <c r="R1440" s="13"/>
      <c r="S1440" s="14"/>
      <c r="T1440" s="1"/>
      <c r="U1440" s="15"/>
      <c r="V1440" s="1"/>
      <c r="W1440" s="15"/>
      <c r="X1440" s="16"/>
      <c r="Y1440" s="17"/>
    </row>
    <row r="1441" spans="14:25" x14ac:dyDescent="0.25">
      <c r="N1441" s="61"/>
      <c r="O1441" s="61"/>
      <c r="P1441" s="62"/>
      <c r="Q1441" s="13"/>
      <c r="R1441" s="13"/>
      <c r="S1441" s="14"/>
      <c r="T1441" s="1"/>
      <c r="U1441" s="15"/>
      <c r="V1441" s="1"/>
      <c r="W1441" s="15"/>
      <c r="X1441" s="16"/>
      <c r="Y1441" s="17"/>
    </row>
    <row r="1442" spans="14:25" x14ac:dyDescent="0.25">
      <c r="N1442" s="61"/>
      <c r="O1442" s="61"/>
      <c r="P1442" s="62"/>
      <c r="Q1442" s="13"/>
      <c r="R1442" s="13"/>
      <c r="S1442" s="14"/>
      <c r="T1442" s="1"/>
      <c r="U1442" s="15"/>
      <c r="V1442" s="1"/>
      <c r="W1442" s="15"/>
      <c r="X1442" s="16"/>
      <c r="Y1442" s="17"/>
    </row>
    <row r="1443" spans="14:25" x14ac:dyDescent="0.25">
      <c r="N1443" s="61"/>
      <c r="O1443" s="61"/>
      <c r="P1443" s="62"/>
      <c r="Q1443" s="13"/>
      <c r="R1443" s="13"/>
      <c r="S1443" s="14"/>
      <c r="T1443" s="1"/>
      <c r="U1443" s="15"/>
      <c r="V1443" s="1"/>
      <c r="W1443" s="15"/>
      <c r="X1443" s="16"/>
      <c r="Y1443" s="17"/>
    </row>
    <row r="1444" spans="14:25" x14ac:dyDescent="0.25">
      <c r="N1444" s="61"/>
      <c r="O1444" s="61"/>
      <c r="P1444" s="62"/>
      <c r="Q1444" s="13"/>
      <c r="R1444" s="13"/>
      <c r="S1444" s="14"/>
      <c r="T1444" s="1"/>
      <c r="U1444" s="15"/>
      <c r="V1444" s="1"/>
      <c r="W1444" s="15"/>
      <c r="X1444" s="16"/>
      <c r="Y1444" s="17"/>
    </row>
    <row r="1445" spans="14:25" x14ac:dyDescent="0.25">
      <c r="N1445" s="61"/>
      <c r="O1445" s="61"/>
      <c r="P1445" s="62"/>
      <c r="Q1445" s="13"/>
      <c r="R1445" s="13"/>
      <c r="S1445" s="14"/>
      <c r="T1445" s="1"/>
      <c r="U1445" s="15"/>
      <c r="V1445" s="1"/>
      <c r="W1445" s="15"/>
      <c r="X1445" s="16"/>
      <c r="Y1445" s="17"/>
    </row>
    <row r="1446" spans="14:25" x14ac:dyDescent="0.25">
      <c r="N1446" s="61"/>
      <c r="O1446" s="61"/>
      <c r="P1446" s="62"/>
      <c r="Q1446" s="13"/>
      <c r="R1446" s="13"/>
      <c r="S1446" s="14"/>
      <c r="T1446" s="1"/>
      <c r="U1446" s="15"/>
      <c r="V1446" s="1"/>
      <c r="W1446" s="15"/>
      <c r="X1446" s="16"/>
      <c r="Y1446" s="17"/>
    </row>
    <row r="1447" spans="14:25" x14ac:dyDescent="0.25">
      <c r="N1447" s="61"/>
      <c r="O1447" s="61"/>
      <c r="P1447" s="62"/>
      <c r="Q1447" s="13"/>
      <c r="R1447" s="13"/>
      <c r="S1447" s="14"/>
      <c r="T1447" s="1"/>
      <c r="U1447" s="15"/>
      <c r="V1447" s="1"/>
      <c r="W1447" s="15"/>
      <c r="X1447" s="16"/>
      <c r="Y1447" s="17"/>
    </row>
    <row r="1448" spans="14:25" x14ac:dyDescent="0.25">
      <c r="N1448" s="61"/>
      <c r="O1448" s="61"/>
      <c r="P1448" s="62"/>
      <c r="Q1448" s="13"/>
      <c r="R1448" s="13"/>
      <c r="S1448" s="14"/>
      <c r="T1448" s="1"/>
      <c r="U1448" s="15"/>
      <c r="V1448" s="1"/>
      <c r="W1448" s="15"/>
      <c r="X1448" s="16"/>
      <c r="Y1448" s="17"/>
    </row>
    <row r="1449" spans="14:25" x14ac:dyDescent="0.25">
      <c r="N1449" s="61"/>
      <c r="O1449" s="61"/>
      <c r="P1449" s="62"/>
      <c r="Q1449" s="13"/>
      <c r="R1449" s="13"/>
      <c r="S1449" s="14"/>
      <c r="T1449" s="1"/>
      <c r="U1449" s="15"/>
      <c r="V1449" s="1"/>
      <c r="W1449" s="15"/>
      <c r="X1449" s="16"/>
      <c r="Y1449" s="17"/>
    </row>
    <row r="1450" spans="14:25" x14ac:dyDescent="0.25">
      <c r="N1450" s="61"/>
      <c r="O1450" s="61"/>
      <c r="P1450" s="62"/>
      <c r="Q1450" s="13"/>
      <c r="R1450" s="13"/>
      <c r="S1450" s="14"/>
      <c r="T1450" s="1"/>
      <c r="U1450" s="15"/>
      <c r="V1450" s="1"/>
      <c r="W1450" s="15"/>
      <c r="X1450" s="16"/>
      <c r="Y1450" s="17"/>
    </row>
    <row r="1451" spans="14:25" x14ac:dyDescent="0.25">
      <c r="N1451" s="61"/>
      <c r="O1451" s="61"/>
      <c r="P1451" s="62"/>
      <c r="Q1451" s="13"/>
      <c r="R1451" s="13"/>
      <c r="S1451" s="14"/>
      <c r="T1451" s="1"/>
      <c r="U1451" s="15"/>
      <c r="V1451" s="1"/>
      <c r="W1451" s="15"/>
      <c r="X1451" s="16"/>
      <c r="Y1451" s="17"/>
    </row>
    <row r="1452" spans="14:25" x14ac:dyDescent="0.25">
      <c r="N1452" s="61"/>
      <c r="O1452" s="61"/>
      <c r="P1452" s="62"/>
      <c r="Q1452" s="13"/>
      <c r="R1452" s="13"/>
      <c r="S1452" s="14"/>
      <c r="T1452" s="1"/>
      <c r="U1452" s="15"/>
      <c r="V1452" s="1"/>
      <c r="W1452" s="15"/>
      <c r="X1452" s="16"/>
      <c r="Y1452" s="17"/>
    </row>
    <row r="1453" spans="14:25" x14ac:dyDescent="0.25">
      <c r="N1453" s="61"/>
      <c r="O1453" s="61"/>
      <c r="P1453" s="62"/>
      <c r="Q1453" s="13"/>
      <c r="R1453" s="13"/>
      <c r="S1453" s="14"/>
      <c r="T1453" s="1"/>
      <c r="U1453" s="15"/>
      <c r="V1453" s="1"/>
      <c r="W1453" s="15"/>
      <c r="X1453" s="16"/>
      <c r="Y1453" s="17"/>
    </row>
    <row r="1454" spans="14:25" x14ac:dyDescent="0.25">
      <c r="N1454" s="61"/>
      <c r="O1454" s="61"/>
      <c r="P1454" s="62"/>
      <c r="Q1454" s="13"/>
      <c r="R1454" s="13"/>
      <c r="S1454" s="14"/>
      <c r="T1454" s="1"/>
      <c r="U1454" s="15"/>
      <c r="V1454" s="1"/>
      <c r="W1454" s="15"/>
      <c r="X1454" s="16"/>
      <c r="Y1454" s="17"/>
    </row>
    <row r="1455" spans="14:25" x14ac:dyDescent="0.25">
      <c r="N1455" s="61"/>
      <c r="O1455" s="61"/>
      <c r="P1455" s="62"/>
      <c r="Q1455" s="13"/>
      <c r="R1455" s="13"/>
      <c r="S1455" s="14"/>
      <c r="T1455" s="1"/>
      <c r="U1455" s="15"/>
      <c r="V1455" s="1"/>
      <c r="W1455" s="15"/>
      <c r="X1455" s="16"/>
      <c r="Y1455" s="17"/>
    </row>
    <row r="1456" spans="14:25" x14ac:dyDescent="0.25">
      <c r="N1456" s="61"/>
      <c r="O1456" s="61"/>
      <c r="P1456" s="62"/>
      <c r="Q1456" s="13"/>
      <c r="R1456" s="13"/>
      <c r="S1456" s="14"/>
      <c r="T1456" s="1"/>
      <c r="U1456" s="15"/>
      <c r="V1456" s="1"/>
      <c r="W1456" s="15"/>
      <c r="X1456" s="16"/>
      <c r="Y1456" s="17"/>
    </row>
    <row r="1457" spans="14:25" x14ac:dyDescent="0.25">
      <c r="N1457" s="61"/>
      <c r="O1457" s="61"/>
      <c r="P1457" s="62"/>
      <c r="Q1457" s="13"/>
      <c r="R1457" s="13"/>
      <c r="S1457" s="14"/>
      <c r="T1457" s="1"/>
      <c r="U1457" s="15"/>
      <c r="V1457" s="1"/>
      <c r="W1457" s="15"/>
      <c r="X1457" s="16"/>
      <c r="Y1457" s="17"/>
    </row>
    <row r="1458" spans="14:25" x14ac:dyDescent="0.25">
      <c r="N1458" s="61"/>
      <c r="O1458" s="61"/>
      <c r="P1458" s="62"/>
      <c r="Q1458" s="13"/>
      <c r="R1458" s="13"/>
      <c r="S1458" s="14"/>
      <c r="T1458" s="1"/>
      <c r="U1458" s="15"/>
      <c r="V1458" s="1"/>
      <c r="W1458" s="15"/>
      <c r="X1458" s="16"/>
      <c r="Y1458" s="17"/>
    </row>
    <row r="1459" spans="14:25" x14ac:dyDescent="0.25">
      <c r="N1459" s="61"/>
      <c r="O1459" s="61"/>
      <c r="P1459" s="62"/>
      <c r="Q1459" s="13"/>
      <c r="R1459" s="13"/>
      <c r="S1459" s="14"/>
      <c r="T1459" s="1"/>
      <c r="U1459" s="15"/>
      <c r="V1459" s="1"/>
      <c r="W1459" s="15"/>
      <c r="X1459" s="16"/>
      <c r="Y1459" s="17"/>
    </row>
    <row r="1460" spans="14:25" x14ac:dyDescent="0.25">
      <c r="N1460" s="61"/>
      <c r="O1460" s="61"/>
      <c r="P1460" s="62"/>
      <c r="Q1460" s="13"/>
      <c r="R1460" s="13"/>
      <c r="S1460" s="14"/>
      <c r="T1460" s="1"/>
      <c r="U1460" s="15"/>
      <c r="V1460" s="1"/>
      <c r="W1460" s="15"/>
      <c r="X1460" s="16"/>
      <c r="Y1460" s="17"/>
    </row>
    <row r="1461" spans="14:25" x14ac:dyDescent="0.25">
      <c r="N1461" s="61"/>
      <c r="O1461" s="61"/>
      <c r="P1461" s="62"/>
      <c r="Q1461" s="13"/>
      <c r="R1461" s="13"/>
      <c r="S1461" s="14"/>
      <c r="T1461" s="1"/>
      <c r="U1461" s="15"/>
      <c r="V1461" s="1"/>
      <c r="W1461" s="15"/>
      <c r="X1461" s="16"/>
      <c r="Y1461" s="17"/>
    </row>
    <row r="1462" spans="14:25" x14ac:dyDescent="0.25">
      <c r="N1462" s="61"/>
      <c r="O1462" s="61"/>
      <c r="P1462" s="62"/>
      <c r="Q1462" s="13"/>
      <c r="R1462" s="13"/>
      <c r="S1462" s="14"/>
      <c r="T1462" s="1"/>
      <c r="U1462" s="15"/>
      <c r="V1462" s="1"/>
      <c r="W1462" s="15"/>
      <c r="X1462" s="16"/>
      <c r="Y1462" s="17"/>
    </row>
    <row r="1463" spans="14:25" x14ac:dyDescent="0.25">
      <c r="N1463" s="61"/>
      <c r="O1463" s="61"/>
      <c r="P1463" s="62"/>
      <c r="Q1463" s="13"/>
      <c r="R1463" s="13"/>
      <c r="S1463" s="14"/>
      <c r="T1463" s="1"/>
      <c r="U1463" s="15"/>
      <c r="V1463" s="1"/>
      <c r="W1463" s="15"/>
      <c r="X1463" s="16"/>
      <c r="Y1463" s="17"/>
    </row>
    <row r="1464" spans="14:25" x14ac:dyDescent="0.25">
      <c r="N1464" s="61"/>
      <c r="O1464" s="61"/>
      <c r="P1464" s="62"/>
      <c r="Q1464" s="13"/>
      <c r="R1464" s="13"/>
      <c r="S1464" s="14"/>
      <c r="T1464" s="1"/>
      <c r="U1464" s="15"/>
      <c r="V1464" s="1"/>
      <c r="W1464" s="15"/>
      <c r="X1464" s="16"/>
      <c r="Y1464" s="17"/>
    </row>
    <row r="1465" spans="14:25" x14ac:dyDescent="0.25">
      <c r="N1465" s="61"/>
      <c r="O1465" s="61"/>
      <c r="P1465" s="62"/>
      <c r="Q1465" s="13"/>
      <c r="R1465" s="13"/>
      <c r="S1465" s="14"/>
      <c r="T1465" s="1"/>
      <c r="U1465" s="15"/>
      <c r="V1465" s="1"/>
      <c r="W1465" s="15"/>
      <c r="X1465" s="16"/>
      <c r="Y1465" s="17"/>
    </row>
    <row r="1466" spans="14:25" x14ac:dyDescent="0.25">
      <c r="N1466" s="61"/>
      <c r="O1466" s="61"/>
      <c r="P1466" s="62"/>
      <c r="Q1466" s="13"/>
      <c r="R1466" s="13"/>
      <c r="S1466" s="14"/>
      <c r="T1466" s="1"/>
      <c r="U1466" s="15"/>
      <c r="V1466" s="1"/>
      <c r="W1466" s="15"/>
      <c r="X1466" s="16"/>
      <c r="Y1466" s="17"/>
    </row>
    <row r="1467" spans="14:25" x14ac:dyDescent="0.25">
      <c r="N1467" s="61"/>
      <c r="O1467" s="61"/>
      <c r="P1467" s="62"/>
      <c r="Q1467" s="13"/>
      <c r="R1467" s="13"/>
      <c r="S1467" s="14"/>
      <c r="T1467" s="1"/>
      <c r="U1467" s="15"/>
      <c r="V1467" s="1"/>
      <c r="W1467" s="15"/>
      <c r="X1467" s="16"/>
      <c r="Y1467" s="17"/>
    </row>
    <row r="1468" spans="14:25" x14ac:dyDescent="0.25">
      <c r="N1468" s="61"/>
      <c r="O1468" s="61"/>
      <c r="P1468" s="62"/>
      <c r="Q1468" s="13"/>
      <c r="R1468" s="13"/>
      <c r="S1468" s="14"/>
      <c r="T1468" s="1"/>
      <c r="U1468" s="15"/>
      <c r="V1468" s="1"/>
      <c r="W1468" s="15"/>
      <c r="X1468" s="16"/>
      <c r="Y1468" s="17"/>
    </row>
    <row r="1469" spans="14:25" x14ac:dyDescent="0.25">
      <c r="N1469" s="61"/>
      <c r="O1469" s="61"/>
      <c r="P1469" s="62"/>
      <c r="Q1469" s="13"/>
      <c r="R1469" s="13"/>
      <c r="S1469" s="14"/>
      <c r="T1469" s="1"/>
      <c r="U1469" s="15"/>
      <c r="V1469" s="1"/>
      <c r="W1469" s="15"/>
      <c r="X1469" s="16"/>
      <c r="Y1469" s="17"/>
    </row>
    <row r="1470" spans="14:25" x14ac:dyDescent="0.25">
      <c r="N1470" s="61"/>
      <c r="O1470" s="61"/>
      <c r="P1470" s="62"/>
      <c r="Q1470" s="13"/>
      <c r="R1470" s="13"/>
      <c r="S1470" s="14"/>
      <c r="T1470" s="1"/>
      <c r="U1470" s="15"/>
      <c r="V1470" s="1"/>
      <c r="W1470" s="15"/>
      <c r="X1470" s="16"/>
      <c r="Y1470" s="17"/>
    </row>
    <row r="1471" spans="14:25" x14ac:dyDescent="0.25">
      <c r="N1471" s="61"/>
      <c r="O1471" s="61"/>
      <c r="P1471" s="62"/>
      <c r="Q1471" s="13"/>
      <c r="R1471" s="13"/>
      <c r="S1471" s="14"/>
      <c r="T1471" s="1"/>
      <c r="U1471" s="15"/>
      <c r="V1471" s="1"/>
      <c r="W1471" s="15"/>
      <c r="X1471" s="16"/>
      <c r="Y1471" s="17"/>
    </row>
    <row r="1472" spans="14:25" x14ac:dyDescent="0.25">
      <c r="N1472" s="61"/>
      <c r="O1472" s="61"/>
      <c r="P1472" s="62"/>
      <c r="Q1472" s="13"/>
      <c r="R1472" s="13"/>
      <c r="S1472" s="14"/>
      <c r="T1472" s="1"/>
      <c r="U1472" s="15"/>
      <c r="V1472" s="1"/>
      <c r="W1472" s="15"/>
      <c r="X1472" s="16"/>
      <c r="Y1472" s="17"/>
    </row>
    <row r="1473" spans="14:25" x14ac:dyDescent="0.25">
      <c r="N1473" s="61"/>
      <c r="O1473" s="61"/>
      <c r="P1473" s="62"/>
      <c r="Q1473" s="13"/>
      <c r="R1473" s="13"/>
      <c r="S1473" s="14"/>
      <c r="T1473" s="1"/>
      <c r="U1473" s="15"/>
      <c r="V1473" s="1"/>
      <c r="W1473" s="15"/>
      <c r="X1473" s="16"/>
      <c r="Y1473" s="17"/>
    </row>
    <row r="1474" spans="14:25" x14ac:dyDescent="0.25">
      <c r="N1474" s="61"/>
      <c r="O1474" s="61"/>
      <c r="P1474" s="62"/>
      <c r="Q1474" s="13"/>
      <c r="R1474" s="13"/>
      <c r="S1474" s="14"/>
      <c r="T1474" s="1"/>
      <c r="U1474" s="15"/>
      <c r="V1474" s="1"/>
      <c r="W1474" s="15"/>
      <c r="X1474" s="16"/>
      <c r="Y1474" s="17"/>
    </row>
    <row r="1475" spans="14:25" x14ac:dyDescent="0.25">
      <c r="N1475" s="61"/>
      <c r="O1475" s="61"/>
      <c r="P1475" s="62"/>
      <c r="Q1475" s="13"/>
      <c r="R1475" s="13"/>
      <c r="S1475" s="14"/>
      <c r="T1475" s="1"/>
      <c r="U1475" s="15"/>
      <c r="V1475" s="1"/>
      <c r="W1475" s="15"/>
      <c r="X1475" s="16"/>
      <c r="Y1475" s="17"/>
    </row>
    <row r="1476" spans="14:25" x14ac:dyDescent="0.25">
      <c r="N1476" s="61"/>
      <c r="O1476" s="61"/>
      <c r="P1476" s="62"/>
      <c r="Q1476" s="13"/>
      <c r="R1476" s="13"/>
      <c r="S1476" s="14"/>
      <c r="T1476" s="1"/>
      <c r="U1476" s="15"/>
      <c r="V1476" s="1"/>
      <c r="W1476" s="15"/>
      <c r="X1476" s="16"/>
      <c r="Y1476" s="17"/>
    </row>
    <row r="1477" spans="14:25" x14ac:dyDescent="0.25">
      <c r="N1477" s="61"/>
      <c r="O1477" s="61"/>
      <c r="P1477" s="62"/>
      <c r="Q1477" s="13"/>
      <c r="R1477" s="13"/>
      <c r="S1477" s="14"/>
      <c r="T1477" s="1"/>
      <c r="U1477" s="15"/>
      <c r="V1477" s="1"/>
      <c r="W1477" s="15"/>
      <c r="X1477" s="16"/>
      <c r="Y1477" s="17"/>
    </row>
    <row r="1478" spans="14:25" x14ac:dyDescent="0.25">
      <c r="N1478" s="61"/>
      <c r="O1478" s="61"/>
      <c r="P1478" s="62"/>
      <c r="Q1478" s="13"/>
      <c r="R1478" s="13"/>
      <c r="S1478" s="14"/>
      <c r="T1478" s="1"/>
      <c r="U1478" s="15"/>
      <c r="V1478" s="1"/>
      <c r="W1478" s="15"/>
      <c r="X1478" s="16"/>
      <c r="Y1478" s="17"/>
    </row>
    <row r="1479" spans="14:25" x14ac:dyDescent="0.25">
      <c r="N1479" s="61"/>
      <c r="O1479" s="61"/>
      <c r="P1479" s="62"/>
      <c r="Q1479" s="13"/>
      <c r="R1479" s="13"/>
      <c r="S1479" s="14"/>
      <c r="T1479" s="1"/>
      <c r="U1479" s="15"/>
      <c r="V1479" s="1"/>
      <c r="W1479" s="15"/>
      <c r="X1479" s="16"/>
      <c r="Y1479" s="17"/>
    </row>
    <row r="1480" spans="14:25" x14ac:dyDescent="0.25">
      <c r="N1480" s="61"/>
      <c r="O1480" s="61"/>
      <c r="P1480" s="62"/>
      <c r="Q1480" s="13"/>
      <c r="R1480" s="13"/>
      <c r="S1480" s="14"/>
      <c r="T1480" s="1"/>
      <c r="U1480" s="15"/>
      <c r="V1480" s="1"/>
      <c r="W1480" s="15"/>
      <c r="X1480" s="16"/>
      <c r="Y1480" s="17"/>
    </row>
    <row r="1481" spans="14:25" x14ac:dyDescent="0.25">
      <c r="N1481" s="61"/>
      <c r="O1481" s="61"/>
      <c r="P1481" s="62"/>
      <c r="Q1481" s="13"/>
      <c r="R1481" s="13"/>
      <c r="S1481" s="14"/>
      <c r="T1481" s="1"/>
      <c r="U1481" s="15"/>
      <c r="V1481" s="1"/>
      <c r="W1481" s="15"/>
      <c r="X1481" s="16"/>
      <c r="Y1481" s="17"/>
    </row>
    <row r="1482" spans="14:25" x14ac:dyDescent="0.25">
      <c r="N1482" s="61"/>
      <c r="O1482" s="61"/>
      <c r="P1482" s="62"/>
      <c r="Q1482" s="13"/>
      <c r="R1482" s="13"/>
      <c r="S1482" s="14"/>
      <c r="T1482" s="1"/>
      <c r="U1482" s="15"/>
      <c r="V1482" s="1"/>
      <c r="W1482" s="15"/>
      <c r="X1482" s="16"/>
      <c r="Y1482" s="17"/>
    </row>
    <row r="1483" spans="14:25" x14ac:dyDescent="0.25">
      <c r="N1483" s="61"/>
      <c r="O1483" s="61"/>
      <c r="P1483" s="62"/>
      <c r="Q1483" s="13"/>
      <c r="R1483" s="13"/>
      <c r="S1483" s="14"/>
      <c r="T1483" s="1"/>
      <c r="U1483" s="15"/>
      <c r="V1483" s="1"/>
      <c r="W1483" s="15"/>
      <c r="X1483" s="16"/>
      <c r="Y1483" s="17"/>
    </row>
    <row r="1484" spans="14:25" x14ac:dyDescent="0.25">
      <c r="N1484" s="61"/>
      <c r="O1484" s="61"/>
      <c r="P1484" s="62"/>
      <c r="Q1484" s="13"/>
      <c r="R1484" s="13"/>
      <c r="S1484" s="14"/>
      <c r="T1484" s="1"/>
      <c r="U1484" s="15"/>
      <c r="V1484" s="1"/>
      <c r="W1484" s="15"/>
      <c r="X1484" s="16"/>
      <c r="Y1484" s="17"/>
    </row>
    <row r="1485" spans="14:25" x14ac:dyDescent="0.25">
      <c r="N1485" s="61"/>
      <c r="O1485" s="61"/>
      <c r="P1485" s="62"/>
      <c r="Q1485" s="13"/>
      <c r="R1485" s="13"/>
      <c r="S1485" s="14"/>
      <c r="T1485" s="1"/>
      <c r="U1485" s="15"/>
      <c r="V1485" s="1"/>
      <c r="W1485" s="15"/>
      <c r="X1485" s="16"/>
      <c r="Y1485" s="17"/>
    </row>
    <row r="1486" spans="14:25" x14ac:dyDescent="0.25">
      <c r="N1486" s="61"/>
      <c r="O1486" s="61"/>
      <c r="P1486" s="62"/>
      <c r="Q1486" s="13"/>
      <c r="R1486" s="13"/>
      <c r="S1486" s="14"/>
      <c r="T1486" s="1"/>
      <c r="U1486" s="15"/>
      <c r="V1486" s="1"/>
      <c r="W1486" s="15"/>
      <c r="X1486" s="16"/>
      <c r="Y1486" s="17"/>
    </row>
    <row r="1487" spans="14:25" x14ac:dyDescent="0.25">
      <c r="N1487" s="61"/>
      <c r="O1487" s="61"/>
      <c r="P1487" s="62"/>
      <c r="Q1487" s="13"/>
      <c r="R1487" s="13"/>
      <c r="S1487" s="14"/>
      <c r="T1487" s="1"/>
      <c r="U1487" s="15"/>
      <c r="V1487" s="1"/>
      <c r="W1487" s="15"/>
      <c r="X1487" s="16"/>
      <c r="Y1487" s="17"/>
    </row>
    <row r="1488" spans="14:25" x14ac:dyDescent="0.25">
      <c r="N1488" s="61"/>
      <c r="O1488" s="61"/>
      <c r="P1488" s="62"/>
      <c r="Q1488" s="13"/>
      <c r="R1488" s="13"/>
      <c r="S1488" s="14"/>
      <c r="T1488" s="1"/>
      <c r="U1488" s="15"/>
      <c r="V1488" s="1"/>
      <c r="W1488" s="15"/>
      <c r="X1488" s="16"/>
      <c r="Y1488" s="17"/>
    </row>
    <row r="1489" spans="14:25" x14ac:dyDescent="0.25">
      <c r="N1489" s="61"/>
      <c r="O1489" s="61"/>
      <c r="P1489" s="62"/>
      <c r="Q1489" s="13"/>
      <c r="R1489" s="13"/>
      <c r="S1489" s="14"/>
      <c r="T1489" s="1"/>
      <c r="U1489" s="15"/>
      <c r="V1489" s="1"/>
      <c r="W1489" s="15"/>
      <c r="X1489" s="16"/>
      <c r="Y1489" s="17"/>
    </row>
    <row r="1490" spans="14:25" x14ac:dyDescent="0.25">
      <c r="N1490" s="61"/>
      <c r="O1490" s="61"/>
      <c r="P1490" s="62"/>
      <c r="Q1490" s="13"/>
      <c r="R1490" s="13"/>
      <c r="S1490" s="14"/>
      <c r="T1490" s="1"/>
      <c r="U1490" s="15"/>
      <c r="V1490" s="1"/>
      <c r="W1490" s="15"/>
      <c r="X1490" s="16"/>
      <c r="Y1490" s="17"/>
    </row>
    <row r="1491" spans="14:25" x14ac:dyDescent="0.25">
      <c r="N1491" s="61"/>
      <c r="O1491" s="61"/>
      <c r="P1491" s="62"/>
      <c r="Q1491" s="13"/>
      <c r="R1491" s="13"/>
      <c r="S1491" s="14"/>
      <c r="T1491" s="1"/>
      <c r="U1491" s="15"/>
      <c r="V1491" s="1"/>
      <c r="W1491" s="15"/>
      <c r="X1491" s="16"/>
      <c r="Y1491" s="17"/>
    </row>
    <row r="1492" spans="14:25" x14ac:dyDescent="0.25">
      <c r="N1492" s="61"/>
      <c r="O1492" s="61"/>
      <c r="P1492" s="62"/>
      <c r="Q1492" s="13"/>
      <c r="R1492" s="13"/>
      <c r="S1492" s="14"/>
      <c r="T1492" s="1"/>
      <c r="U1492" s="15"/>
      <c r="V1492" s="1"/>
      <c r="W1492" s="15"/>
      <c r="X1492" s="16"/>
      <c r="Y1492" s="17"/>
    </row>
    <row r="1493" spans="14:25" x14ac:dyDescent="0.25">
      <c r="N1493" s="61"/>
      <c r="O1493" s="61"/>
      <c r="P1493" s="62"/>
      <c r="Q1493" s="13"/>
      <c r="R1493" s="13"/>
      <c r="S1493" s="14"/>
      <c r="T1493" s="1"/>
      <c r="U1493" s="15"/>
      <c r="V1493" s="1"/>
      <c r="W1493" s="15"/>
      <c r="X1493" s="16"/>
      <c r="Y1493" s="17"/>
    </row>
    <row r="1494" spans="14:25" x14ac:dyDescent="0.25">
      <c r="N1494" s="61"/>
      <c r="O1494" s="61"/>
      <c r="P1494" s="62"/>
      <c r="Q1494" s="13"/>
      <c r="R1494" s="13"/>
      <c r="S1494" s="14"/>
      <c r="T1494" s="1"/>
      <c r="U1494" s="15"/>
      <c r="V1494" s="1"/>
      <c r="W1494" s="15"/>
      <c r="X1494" s="16"/>
      <c r="Y1494" s="17"/>
    </row>
    <row r="1495" spans="14:25" x14ac:dyDescent="0.25">
      <c r="N1495" s="61"/>
      <c r="O1495" s="61"/>
      <c r="P1495" s="62"/>
      <c r="Q1495" s="13"/>
      <c r="R1495" s="13"/>
      <c r="S1495" s="14"/>
      <c r="T1495" s="1"/>
      <c r="U1495" s="15"/>
      <c r="V1495" s="1"/>
      <c r="W1495" s="15"/>
      <c r="X1495" s="16"/>
      <c r="Y1495" s="17"/>
    </row>
    <row r="1496" spans="14:25" x14ac:dyDescent="0.25">
      <c r="N1496" s="61"/>
      <c r="O1496" s="61"/>
      <c r="P1496" s="62"/>
      <c r="Q1496" s="13"/>
      <c r="R1496" s="13"/>
      <c r="S1496" s="14"/>
      <c r="T1496" s="1"/>
      <c r="U1496" s="15"/>
      <c r="V1496" s="1"/>
      <c r="W1496" s="15"/>
      <c r="X1496" s="16"/>
      <c r="Y1496" s="17"/>
    </row>
    <row r="1497" spans="14:25" x14ac:dyDescent="0.25">
      <c r="N1497" s="61"/>
      <c r="O1497" s="61"/>
      <c r="P1497" s="62"/>
      <c r="Q1497" s="13"/>
      <c r="R1497" s="13"/>
      <c r="S1497" s="14"/>
      <c r="T1497" s="1"/>
      <c r="U1497" s="15"/>
      <c r="V1497" s="1"/>
      <c r="W1497" s="15"/>
      <c r="X1497" s="16"/>
      <c r="Y1497" s="17"/>
    </row>
    <row r="1498" spans="14:25" x14ac:dyDescent="0.25">
      <c r="N1498" s="61"/>
      <c r="O1498" s="61"/>
      <c r="P1498" s="62"/>
      <c r="Q1498" s="13"/>
      <c r="R1498" s="13"/>
      <c r="S1498" s="14"/>
      <c r="T1498" s="1"/>
      <c r="U1498" s="15"/>
      <c r="V1498" s="1"/>
      <c r="W1498" s="15"/>
      <c r="X1498" s="16"/>
      <c r="Y1498" s="17"/>
    </row>
    <row r="1499" spans="14:25" x14ac:dyDescent="0.25">
      <c r="N1499" s="61"/>
      <c r="O1499" s="61"/>
      <c r="P1499" s="62"/>
      <c r="Q1499" s="13"/>
      <c r="R1499" s="13"/>
      <c r="S1499" s="14"/>
      <c r="T1499" s="1"/>
      <c r="U1499" s="15"/>
      <c r="V1499" s="1"/>
      <c r="W1499" s="15"/>
      <c r="X1499" s="16"/>
      <c r="Y1499" s="17"/>
    </row>
    <row r="1500" spans="14:25" x14ac:dyDescent="0.25">
      <c r="N1500" s="61"/>
      <c r="O1500" s="61"/>
      <c r="P1500" s="62"/>
      <c r="Q1500" s="13"/>
      <c r="R1500" s="13"/>
      <c r="S1500" s="14"/>
      <c r="T1500" s="1"/>
      <c r="U1500" s="15"/>
      <c r="V1500" s="1"/>
      <c r="W1500" s="15"/>
      <c r="X1500" s="16"/>
      <c r="Y1500" s="17"/>
    </row>
    <row r="1501" spans="14:25" x14ac:dyDescent="0.25">
      <c r="N1501" s="61"/>
      <c r="O1501" s="61"/>
      <c r="P1501" s="62"/>
      <c r="Q1501" s="13"/>
      <c r="R1501" s="13"/>
      <c r="S1501" s="14"/>
      <c r="T1501" s="1"/>
      <c r="U1501" s="15"/>
      <c r="V1501" s="1"/>
      <c r="W1501" s="15"/>
      <c r="X1501" s="16"/>
      <c r="Y1501" s="17"/>
    </row>
    <row r="1502" spans="14:25" x14ac:dyDescent="0.25">
      <c r="N1502" s="61"/>
      <c r="O1502" s="61"/>
      <c r="P1502" s="62"/>
      <c r="Q1502" s="13"/>
      <c r="R1502" s="13"/>
      <c r="S1502" s="14"/>
      <c r="T1502" s="1"/>
      <c r="U1502" s="15"/>
      <c r="V1502" s="1"/>
      <c r="W1502" s="15"/>
      <c r="X1502" s="16"/>
      <c r="Y1502" s="17"/>
    </row>
    <row r="1503" spans="14:25" x14ac:dyDescent="0.25">
      <c r="N1503" s="61"/>
      <c r="O1503" s="61"/>
      <c r="P1503" s="62"/>
      <c r="Q1503" s="13"/>
      <c r="R1503" s="13"/>
      <c r="S1503" s="14"/>
      <c r="T1503" s="1"/>
      <c r="U1503" s="15"/>
      <c r="V1503" s="1"/>
      <c r="W1503" s="15"/>
      <c r="X1503" s="16"/>
      <c r="Y1503" s="17"/>
    </row>
    <row r="1504" spans="14:25" x14ac:dyDescent="0.25">
      <c r="N1504" s="61"/>
      <c r="O1504" s="61"/>
      <c r="P1504" s="62"/>
      <c r="Q1504" s="13"/>
      <c r="R1504" s="13"/>
      <c r="S1504" s="14"/>
      <c r="T1504" s="1"/>
      <c r="U1504" s="15"/>
      <c r="V1504" s="1"/>
      <c r="W1504" s="15"/>
      <c r="X1504" s="16"/>
      <c r="Y1504" s="17"/>
    </row>
    <row r="1505" spans="14:25" x14ac:dyDescent="0.25">
      <c r="N1505" s="61"/>
      <c r="O1505" s="61"/>
      <c r="P1505" s="62"/>
      <c r="Q1505" s="13"/>
      <c r="R1505" s="13"/>
      <c r="S1505" s="14"/>
      <c r="T1505" s="1"/>
      <c r="U1505" s="15"/>
      <c r="V1505" s="1"/>
      <c r="W1505" s="15"/>
      <c r="X1505" s="16"/>
      <c r="Y1505" s="17"/>
    </row>
    <row r="1506" spans="14:25" x14ac:dyDescent="0.25">
      <c r="N1506" s="61"/>
      <c r="O1506" s="61"/>
      <c r="P1506" s="62"/>
      <c r="Q1506" s="13"/>
      <c r="R1506" s="13"/>
      <c r="S1506" s="14"/>
      <c r="T1506" s="1"/>
      <c r="U1506" s="15"/>
      <c r="V1506" s="1"/>
      <c r="W1506" s="15"/>
      <c r="X1506" s="16"/>
      <c r="Y1506" s="17"/>
    </row>
    <row r="1507" spans="14:25" x14ac:dyDescent="0.25">
      <c r="N1507" s="61"/>
      <c r="O1507" s="61"/>
      <c r="P1507" s="62"/>
      <c r="Q1507" s="13"/>
      <c r="R1507" s="13"/>
      <c r="S1507" s="14"/>
      <c r="T1507" s="1"/>
      <c r="U1507" s="15"/>
      <c r="V1507" s="1"/>
      <c r="W1507" s="15"/>
      <c r="X1507" s="16"/>
      <c r="Y1507" s="17"/>
    </row>
    <row r="1508" spans="14:25" x14ac:dyDescent="0.25">
      <c r="N1508" s="61"/>
      <c r="O1508" s="61"/>
      <c r="P1508" s="62"/>
      <c r="Q1508" s="13"/>
      <c r="R1508" s="13"/>
      <c r="S1508" s="14"/>
      <c r="T1508" s="1"/>
      <c r="U1508" s="15"/>
      <c r="V1508" s="1"/>
      <c r="W1508" s="15"/>
      <c r="X1508" s="16"/>
      <c r="Y1508" s="17"/>
    </row>
    <row r="1509" spans="14:25" x14ac:dyDescent="0.25">
      <c r="N1509" s="61"/>
      <c r="O1509" s="61"/>
      <c r="P1509" s="62"/>
      <c r="Q1509" s="13"/>
      <c r="R1509" s="13"/>
      <c r="S1509" s="14"/>
      <c r="T1509" s="1"/>
      <c r="U1509" s="15"/>
      <c r="V1509" s="1"/>
      <c r="W1509" s="15"/>
      <c r="X1509" s="16"/>
      <c r="Y1509" s="17"/>
    </row>
    <row r="1510" spans="14:25" x14ac:dyDescent="0.25">
      <c r="N1510" s="61"/>
      <c r="O1510" s="61"/>
      <c r="P1510" s="62"/>
      <c r="Q1510" s="13"/>
      <c r="R1510" s="13"/>
      <c r="S1510" s="14"/>
      <c r="T1510" s="1"/>
      <c r="U1510" s="15"/>
      <c r="V1510" s="1"/>
      <c r="W1510" s="15"/>
      <c r="X1510" s="16"/>
      <c r="Y1510" s="17"/>
    </row>
    <row r="1511" spans="14:25" x14ac:dyDescent="0.25">
      <c r="N1511" s="61"/>
      <c r="O1511" s="61"/>
      <c r="P1511" s="62"/>
      <c r="Q1511" s="13"/>
      <c r="R1511" s="13"/>
      <c r="S1511" s="14"/>
      <c r="T1511" s="1"/>
      <c r="U1511" s="15"/>
      <c r="V1511" s="1"/>
      <c r="W1511" s="15"/>
      <c r="X1511" s="16"/>
      <c r="Y1511" s="17"/>
    </row>
    <row r="1512" spans="14:25" x14ac:dyDescent="0.25">
      <c r="N1512" s="61"/>
      <c r="O1512" s="61"/>
      <c r="P1512" s="62"/>
      <c r="Q1512" s="13"/>
      <c r="R1512" s="13"/>
      <c r="S1512" s="14"/>
      <c r="T1512" s="1"/>
      <c r="U1512" s="15"/>
      <c r="V1512" s="1"/>
      <c r="W1512" s="15"/>
      <c r="X1512" s="16"/>
      <c r="Y1512" s="17"/>
    </row>
    <row r="1513" spans="14:25" x14ac:dyDescent="0.25">
      <c r="N1513" s="61"/>
      <c r="O1513" s="61"/>
      <c r="P1513" s="62"/>
      <c r="Q1513" s="13"/>
      <c r="R1513" s="13"/>
      <c r="S1513" s="14"/>
      <c r="T1513" s="1"/>
      <c r="U1513" s="15"/>
      <c r="V1513" s="1"/>
      <c r="W1513" s="15"/>
      <c r="X1513" s="16"/>
      <c r="Y1513" s="17"/>
    </row>
    <row r="1514" spans="14:25" x14ac:dyDescent="0.25">
      <c r="N1514" s="61"/>
      <c r="O1514" s="61"/>
      <c r="P1514" s="62"/>
      <c r="Q1514" s="13"/>
      <c r="R1514" s="13"/>
      <c r="S1514" s="14"/>
      <c r="T1514" s="1"/>
      <c r="U1514" s="15"/>
      <c r="V1514" s="1"/>
      <c r="W1514" s="15"/>
      <c r="X1514" s="16"/>
      <c r="Y1514" s="17"/>
    </row>
    <row r="1515" spans="14:25" x14ac:dyDescent="0.25">
      <c r="N1515" s="61"/>
      <c r="O1515" s="61"/>
      <c r="P1515" s="62"/>
      <c r="Q1515" s="13"/>
      <c r="R1515" s="13"/>
      <c r="S1515" s="14"/>
      <c r="T1515" s="1"/>
      <c r="U1515" s="15"/>
      <c r="V1515" s="1"/>
      <c r="W1515" s="15"/>
      <c r="X1515" s="16"/>
      <c r="Y1515" s="17"/>
    </row>
    <row r="1516" spans="14:25" x14ac:dyDescent="0.25">
      <c r="N1516" s="61"/>
      <c r="O1516" s="61"/>
      <c r="P1516" s="62"/>
      <c r="Q1516" s="13"/>
      <c r="R1516" s="13"/>
      <c r="S1516" s="14"/>
      <c r="T1516" s="1"/>
      <c r="U1516" s="15"/>
      <c r="V1516" s="1"/>
      <c r="W1516" s="15"/>
      <c r="X1516" s="16"/>
      <c r="Y1516" s="17"/>
    </row>
    <row r="1517" spans="14:25" x14ac:dyDescent="0.25">
      <c r="N1517" s="61"/>
      <c r="O1517" s="61"/>
      <c r="P1517" s="62"/>
      <c r="Q1517" s="13"/>
      <c r="R1517" s="13"/>
      <c r="S1517" s="14"/>
      <c r="T1517" s="1"/>
      <c r="U1517" s="15"/>
      <c r="V1517" s="1"/>
      <c r="W1517" s="15"/>
      <c r="X1517" s="16"/>
      <c r="Y1517" s="17"/>
    </row>
    <row r="1518" spans="14:25" x14ac:dyDescent="0.25">
      <c r="N1518" s="61"/>
      <c r="O1518" s="61"/>
      <c r="P1518" s="62"/>
      <c r="Q1518" s="13"/>
      <c r="R1518" s="13"/>
      <c r="S1518" s="14"/>
      <c r="T1518" s="1"/>
      <c r="U1518" s="15"/>
      <c r="V1518" s="1"/>
      <c r="W1518" s="15"/>
      <c r="X1518" s="16"/>
      <c r="Y1518" s="17"/>
    </row>
    <row r="1519" spans="14:25" x14ac:dyDescent="0.25">
      <c r="N1519" s="61"/>
      <c r="O1519" s="61"/>
      <c r="P1519" s="62"/>
      <c r="Q1519" s="13"/>
      <c r="R1519" s="13"/>
      <c r="S1519" s="14"/>
      <c r="T1519" s="1"/>
      <c r="U1519" s="15"/>
      <c r="V1519" s="1"/>
      <c r="W1519" s="15"/>
      <c r="X1519" s="16"/>
      <c r="Y1519" s="17"/>
    </row>
    <row r="1520" spans="14:25" x14ac:dyDescent="0.25">
      <c r="N1520" s="61"/>
      <c r="O1520" s="61"/>
      <c r="P1520" s="62"/>
      <c r="Q1520" s="13"/>
      <c r="R1520" s="13"/>
      <c r="S1520" s="14"/>
      <c r="T1520" s="1"/>
      <c r="U1520" s="15"/>
      <c r="V1520" s="1"/>
      <c r="W1520" s="15"/>
      <c r="X1520" s="16"/>
      <c r="Y1520" s="17"/>
    </row>
    <row r="1521" spans="14:25" x14ac:dyDescent="0.25">
      <c r="N1521" s="61"/>
      <c r="O1521" s="61"/>
      <c r="P1521" s="62"/>
      <c r="Q1521" s="13"/>
      <c r="R1521" s="13"/>
      <c r="S1521" s="14"/>
      <c r="T1521" s="1"/>
      <c r="U1521" s="15"/>
      <c r="V1521" s="1"/>
      <c r="W1521" s="15"/>
      <c r="X1521" s="16"/>
      <c r="Y1521" s="17"/>
    </row>
    <row r="1522" spans="14:25" x14ac:dyDescent="0.25">
      <c r="N1522" s="61"/>
      <c r="O1522" s="61"/>
      <c r="P1522" s="62"/>
      <c r="Q1522" s="13"/>
      <c r="R1522" s="13"/>
      <c r="S1522" s="14"/>
      <c r="T1522" s="1"/>
      <c r="U1522" s="15"/>
      <c r="V1522" s="1"/>
      <c r="W1522" s="15"/>
      <c r="X1522" s="16"/>
      <c r="Y1522" s="17"/>
    </row>
    <row r="1523" spans="14:25" x14ac:dyDescent="0.25">
      <c r="N1523" s="61"/>
      <c r="O1523" s="61"/>
      <c r="P1523" s="62"/>
      <c r="Q1523" s="13"/>
      <c r="R1523" s="13"/>
      <c r="S1523" s="14"/>
      <c r="T1523" s="1"/>
      <c r="U1523" s="15"/>
      <c r="V1523" s="1"/>
      <c r="W1523" s="15"/>
      <c r="X1523" s="16"/>
      <c r="Y1523" s="17"/>
    </row>
    <row r="1524" spans="14:25" x14ac:dyDescent="0.25">
      <c r="N1524" s="61"/>
      <c r="O1524" s="61"/>
      <c r="P1524" s="62"/>
      <c r="Q1524" s="13"/>
      <c r="R1524" s="13"/>
      <c r="S1524" s="14"/>
      <c r="T1524" s="1"/>
      <c r="U1524" s="15"/>
      <c r="V1524" s="1"/>
      <c r="W1524" s="15"/>
      <c r="X1524" s="16"/>
      <c r="Y1524" s="17"/>
    </row>
    <row r="1525" spans="14:25" x14ac:dyDescent="0.25">
      <c r="N1525" s="61"/>
      <c r="O1525" s="61"/>
      <c r="P1525" s="62"/>
      <c r="Q1525" s="13"/>
      <c r="R1525" s="13"/>
      <c r="S1525" s="14"/>
      <c r="T1525" s="1"/>
      <c r="U1525" s="15"/>
      <c r="V1525" s="1"/>
      <c r="W1525" s="15"/>
      <c r="X1525" s="16"/>
      <c r="Y1525" s="17"/>
    </row>
    <row r="1526" spans="14:25" x14ac:dyDescent="0.25">
      <c r="N1526" s="61"/>
      <c r="O1526" s="61"/>
      <c r="P1526" s="62"/>
      <c r="Q1526" s="13"/>
      <c r="R1526" s="13"/>
      <c r="S1526" s="14"/>
      <c r="T1526" s="1"/>
      <c r="U1526" s="15"/>
      <c r="V1526" s="1"/>
      <c r="W1526" s="15"/>
      <c r="X1526" s="16"/>
      <c r="Y1526" s="17"/>
    </row>
    <row r="1527" spans="14:25" x14ac:dyDescent="0.25">
      <c r="N1527" s="61"/>
      <c r="O1527" s="61"/>
      <c r="P1527" s="62"/>
      <c r="Q1527" s="13"/>
      <c r="R1527" s="13"/>
      <c r="S1527" s="14"/>
      <c r="T1527" s="1"/>
      <c r="U1527" s="15"/>
      <c r="V1527" s="1"/>
      <c r="W1527" s="15"/>
      <c r="X1527" s="16"/>
      <c r="Y1527" s="17"/>
    </row>
    <row r="1528" spans="14:25" x14ac:dyDescent="0.25">
      <c r="N1528" s="61"/>
      <c r="O1528" s="61"/>
      <c r="P1528" s="62"/>
      <c r="Q1528" s="13"/>
      <c r="R1528" s="13"/>
      <c r="S1528" s="14"/>
      <c r="T1528" s="1"/>
      <c r="U1528" s="15"/>
      <c r="V1528" s="1"/>
      <c r="W1528" s="15"/>
      <c r="X1528" s="16"/>
      <c r="Y1528" s="17"/>
    </row>
    <row r="1529" spans="14:25" x14ac:dyDescent="0.25">
      <c r="N1529" s="61"/>
      <c r="O1529" s="61"/>
      <c r="P1529" s="62"/>
      <c r="Q1529" s="13"/>
      <c r="R1529" s="13"/>
      <c r="S1529" s="14"/>
      <c r="T1529" s="1"/>
      <c r="U1529" s="15"/>
      <c r="V1529" s="1"/>
      <c r="W1529" s="15"/>
      <c r="X1529" s="16"/>
      <c r="Y1529" s="17"/>
    </row>
    <row r="1530" spans="14:25" x14ac:dyDescent="0.25">
      <c r="N1530" s="61"/>
      <c r="O1530" s="61"/>
      <c r="P1530" s="62"/>
      <c r="Q1530" s="13"/>
      <c r="R1530" s="13"/>
      <c r="S1530" s="14"/>
      <c r="T1530" s="1"/>
      <c r="U1530" s="15"/>
      <c r="V1530" s="1"/>
      <c r="W1530" s="15"/>
      <c r="X1530" s="16"/>
      <c r="Y1530" s="17"/>
    </row>
    <row r="1531" spans="14:25" x14ac:dyDescent="0.25">
      <c r="N1531" s="61"/>
      <c r="O1531" s="61"/>
      <c r="P1531" s="62"/>
      <c r="Q1531" s="13"/>
      <c r="R1531" s="13"/>
      <c r="S1531" s="14"/>
      <c r="T1531" s="1"/>
      <c r="U1531" s="15"/>
      <c r="V1531" s="1"/>
      <c r="W1531" s="15"/>
      <c r="X1531" s="16"/>
      <c r="Y1531" s="17"/>
    </row>
    <row r="1532" spans="14:25" x14ac:dyDescent="0.25">
      <c r="N1532" s="61"/>
      <c r="O1532" s="61"/>
      <c r="P1532" s="62"/>
      <c r="Q1532" s="13"/>
      <c r="R1532" s="13"/>
      <c r="S1532" s="14"/>
      <c r="T1532" s="1"/>
      <c r="U1532" s="15"/>
      <c r="V1532" s="1"/>
      <c r="W1532" s="15"/>
      <c r="X1532" s="16"/>
      <c r="Y1532" s="17"/>
    </row>
    <row r="1533" spans="14:25" x14ac:dyDescent="0.25">
      <c r="N1533" s="61"/>
      <c r="O1533" s="61"/>
      <c r="P1533" s="62"/>
      <c r="Q1533" s="13"/>
      <c r="R1533" s="13"/>
      <c r="S1533" s="14"/>
      <c r="T1533" s="1"/>
      <c r="U1533" s="15"/>
      <c r="V1533" s="1"/>
      <c r="W1533" s="15"/>
      <c r="X1533" s="16"/>
      <c r="Y1533" s="17"/>
    </row>
    <row r="1534" spans="14:25" x14ac:dyDescent="0.25">
      <c r="N1534" s="61"/>
      <c r="O1534" s="61"/>
      <c r="P1534" s="62"/>
      <c r="Q1534" s="13"/>
      <c r="R1534" s="13"/>
      <c r="S1534" s="14"/>
      <c r="T1534" s="1"/>
      <c r="U1534" s="15"/>
      <c r="V1534" s="1"/>
      <c r="W1534" s="15"/>
      <c r="X1534" s="16"/>
      <c r="Y1534" s="17"/>
    </row>
    <row r="1535" spans="14:25" x14ac:dyDescent="0.25">
      <c r="N1535" s="61"/>
      <c r="O1535" s="61"/>
      <c r="P1535" s="62"/>
      <c r="Q1535" s="13"/>
      <c r="R1535" s="13"/>
      <c r="S1535" s="14"/>
      <c r="T1535" s="1"/>
      <c r="U1535" s="15"/>
      <c r="V1535" s="1"/>
      <c r="W1535" s="15"/>
      <c r="X1535" s="16"/>
      <c r="Y1535" s="17"/>
    </row>
    <row r="1536" spans="14:25" x14ac:dyDescent="0.25">
      <c r="N1536" s="61"/>
      <c r="O1536" s="61"/>
      <c r="P1536" s="62"/>
      <c r="Q1536" s="13"/>
      <c r="R1536" s="13"/>
      <c r="S1536" s="14"/>
      <c r="T1536" s="1"/>
      <c r="U1536" s="15"/>
      <c r="V1536" s="1"/>
      <c r="W1536" s="15"/>
      <c r="X1536" s="16"/>
      <c r="Y1536" s="17"/>
    </row>
    <row r="1537" spans="14:25" x14ac:dyDescent="0.25">
      <c r="N1537" s="61"/>
      <c r="O1537" s="61"/>
      <c r="P1537" s="62"/>
      <c r="Q1537" s="13"/>
      <c r="R1537" s="13"/>
      <c r="S1537" s="14"/>
      <c r="T1537" s="1"/>
      <c r="U1537" s="15"/>
      <c r="V1537" s="1"/>
      <c r="W1537" s="15"/>
      <c r="X1537" s="16"/>
      <c r="Y1537" s="17"/>
    </row>
    <row r="1538" spans="14:25" x14ac:dyDescent="0.25">
      <c r="N1538" s="61"/>
      <c r="O1538" s="61"/>
      <c r="P1538" s="62"/>
      <c r="Q1538" s="13"/>
      <c r="R1538" s="13"/>
      <c r="S1538" s="14"/>
      <c r="T1538" s="1"/>
      <c r="U1538" s="15"/>
      <c r="V1538" s="1"/>
      <c r="W1538" s="15"/>
      <c r="X1538" s="16"/>
      <c r="Y1538" s="17"/>
    </row>
    <row r="1539" spans="14:25" x14ac:dyDescent="0.25">
      <c r="N1539" s="61"/>
      <c r="O1539" s="61"/>
      <c r="P1539" s="62"/>
      <c r="Q1539" s="13"/>
      <c r="R1539" s="13"/>
      <c r="S1539" s="14"/>
      <c r="T1539" s="1"/>
      <c r="U1539" s="15"/>
      <c r="V1539" s="1"/>
      <c r="W1539" s="15"/>
      <c r="X1539" s="16"/>
      <c r="Y1539" s="17"/>
    </row>
    <row r="1540" spans="14:25" x14ac:dyDescent="0.25">
      <c r="N1540" s="61"/>
      <c r="O1540" s="61"/>
      <c r="P1540" s="62"/>
      <c r="Q1540" s="13"/>
      <c r="R1540" s="13"/>
      <c r="S1540" s="14"/>
      <c r="T1540" s="1"/>
      <c r="U1540" s="15"/>
      <c r="V1540" s="1"/>
      <c r="W1540" s="15"/>
      <c r="X1540" s="16"/>
      <c r="Y1540" s="17"/>
    </row>
    <row r="1541" spans="14:25" x14ac:dyDescent="0.25">
      <c r="N1541" s="61"/>
      <c r="O1541" s="61"/>
      <c r="P1541" s="62"/>
      <c r="Q1541" s="13"/>
      <c r="R1541" s="13"/>
      <c r="S1541" s="14"/>
      <c r="T1541" s="1"/>
      <c r="U1541" s="15"/>
      <c r="V1541" s="1"/>
      <c r="W1541" s="15"/>
      <c r="X1541" s="16"/>
      <c r="Y1541" s="17"/>
    </row>
    <row r="1542" spans="14:25" x14ac:dyDescent="0.25">
      <c r="N1542" s="61"/>
      <c r="O1542" s="61"/>
      <c r="P1542" s="62"/>
      <c r="Q1542" s="13"/>
      <c r="R1542" s="13"/>
      <c r="S1542" s="14"/>
      <c r="T1542" s="1"/>
      <c r="U1542" s="15"/>
      <c r="V1542" s="1"/>
      <c r="W1542" s="15"/>
      <c r="X1542" s="16"/>
      <c r="Y1542" s="17"/>
    </row>
    <row r="1543" spans="14:25" x14ac:dyDescent="0.25">
      <c r="N1543" s="61"/>
      <c r="O1543" s="61"/>
      <c r="P1543" s="62"/>
      <c r="Q1543" s="13"/>
      <c r="R1543" s="13"/>
      <c r="S1543" s="14"/>
      <c r="T1543" s="1"/>
      <c r="U1543" s="15"/>
      <c r="V1543" s="1"/>
      <c r="W1543" s="15"/>
      <c r="X1543" s="16"/>
      <c r="Y1543" s="17"/>
    </row>
    <row r="1544" spans="14:25" x14ac:dyDescent="0.25">
      <c r="N1544" s="61"/>
      <c r="O1544" s="61"/>
      <c r="P1544" s="62"/>
      <c r="Q1544" s="13"/>
      <c r="R1544" s="13"/>
      <c r="S1544" s="14"/>
      <c r="T1544" s="1"/>
      <c r="U1544" s="15"/>
      <c r="V1544" s="1"/>
      <c r="W1544" s="15"/>
      <c r="X1544" s="16"/>
      <c r="Y1544" s="17"/>
    </row>
    <row r="1545" spans="14:25" x14ac:dyDescent="0.25">
      <c r="N1545" s="61"/>
      <c r="O1545" s="61"/>
      <c r="P1545" s="62"/>
      <c r="Q1545" s="13"/>
      <c r="R1545" s="13"/>
      <c r="S1545" s="14"/>
      <c r="T1545" s="1"/>
      <c r="U1545" s="15"/>
      <c r="V1545" s="1"/>
      <c r="W1545" s="15"/>
      <c r="X1545" s="16"/>
      <c r="Y1545" s="17"/>
    </row>
    <row r="1546" spans="14:25" x14ac:dyDescent="0.25">
      <c r="N1546" s="61"/>
      <c r="O1546" s="61"/>
      <c r="P1546" s="62"/>
      <c r="Q1546" s="13"/>
      <c r="R1546" s="13"/>
      <c r="S1546" s="14"/>
      <c r="T1546" s="1"/>
      <c r="U1546" s="15"/>
      <c r="V1546" s="1"/>
      <c r="W1546" s="15"/>
      <c r="X1546" s="16"/>
      <c r="Y1546" s="17"/>
    </row>
    <row r="1547" spans="14:25" x14ac:dyDescent="0.25">
      <c r="N1547" s="61"/>
      <c r="O1547" s="61"/>
      <c r="P1547" s="62"/>
      <c r="Q1547" s="13"/>
      <c r="R1547" s="13"/>
      <c r="S1547" s="14"/>
      <c r="T1547" s="1"/>
      <c r="U1547" s="15"/>
      <c r="V1547" s="1"/>
      <c r="W1547" s="15"/>
      <c r="X1547" s="16"/>
      <c r="Y1547" s="17"/>
    </row>
    <row r="1548" spans="14:25" x14ac:dyDescent="0.25">
      <c r="N1548" s="61"/>
      <c r="O1548" s="61"/>
      <c r="P1548" s="62"/>
      <c r="Q1548" s="13"/>
      <c r="R1548" s="13"/>
      <c r="S1548" s="14"/>
      <c r="T1548" s="1"/>
      <c r="U1548" s="15"/>
      <c r="V1548" s="1"/>
      <c r="W1548" s="15"/>
      <c r="X1548" s="16"/>
      <c r="Y1548" s="17"/>
    </row>
    <row r="1549" spans="14:25" x14ac:dyDescent="0.25">
      <c r="N1549" s="61"/>
      <c r="O1549" s="61"/>
      <c r="P1549" s="62"/>
      <c r="Q1549" s="13"/>
      <c r="R1549" s="13"/>
      <c r="S1549" s="14"/>
      <c r="T1549" s="1"/>
      <c r="U1549" s="15"/>
      <c r="V1549" s="1"/>
      <c r="W1549" s="15"/>
      <c r="X1549" s="16"/>
      <c r="Y1549" s="17"/>
    </row>
    <row r="1550" spans="14:25" x14ac:dyDescent="0.25">
      <c r="N1550" s="61"/>
      <c r="O1550" s="61"/>
      <c r="P1550" s="62"/>
      <c r="Q1550" s="13"/>
      <c r="R1550" s="13"/>
      <c r="S1550" s="14"/>
      <c r="T1550" s="1"/>
      <c r="U1550" s="15"/>
      <c r="V1550" s="1"/>
      <c r="W1550" s="15"/>
      <c r="X1550" s="16"/>
      <c r="Y1550" s="17"/>
    </row>
    <row r="1551" spans="14:25" x14ac:dyDescent="0.25">
      <c r="N1551" s="61"/>
      <c r="O1551" s="61"/>
      <c r="P1551" s="62"/>
      <c r="Q1551" s="13"/>
      <c r="R1551" s="13"/>
      <c r="S1551" s="14"/>
      <c r="T1551" s="1"/>
      <c r="U1551" s="15"/>
      <c r="V1551" s="1"/>
      <c r="W1551" s="15"/>
      <c r="X1551" s="16"/>
      <c r="Y1551" s="17"/>
    </row>
    <row r="1552" spans="14:25" x14ac:dyDescent="0.25">
      <c r="N1552" s="61"/>
      <c r="O1552" s="61"/>
      <c r="P1552" s="62"/>
      <c r="Q1552" s="13"/>
      <c r="R1552" s="13"/>
      <c r="S1552" s="14"/>
      <c r="T1552" s="1"/>
      <c r="U1552" s="15"/>
      <c r="V1552" s="1"/>
      <c r="W1552" s="15"/>
      <c r="X1552" s="16"/>
      <c r="Y1552" s="17"/>
    </row>
    <row r="1553" spans="14:25" x14ac:dyDescent="0.25">
      <c r="N1553" s="61"/>
      <c r="O1553" s="61"/>
      <c r="P1553" s="62"/>
      <c r="Q1553" s="13"/>
      <c r="R1553" s="13"/>
      <c r="S1553" s="14"/>
      <c r="T1553" s="1"/>
      <c r="U1553" s="15"/>
      <c r="V1553" s="1"/>
      <c r="W1553" s="15"/>
      <c r="X1553" s="16"/>
      <c r="Y1553" s="17"/>
    </row>
    <row r="1554" spans="14:25" x14ac:dyDescent="0.25">
      <c r="N1554" s="61"/>
      <c r="O1554" s="61"/>
      <c r="P1554" s="62"/>
      <c r="Q1554" s="13"/>
      <c r="R1554" s="13"/>
      <c r="S1554" s="14"/>
      <c r="T1554" s="1"/>
      <c r="U1554" s="15"/>
      <c r="V1554" s="1"/>
      <c r="W1554" s="15"/>
      <c r="X1554" s="16"/>
      <c r="Y1554" s="17"/>
    </row>
    <row r="1555" spans="14:25" x14ac:dyDescent="0.25">
      <c r="N1555" s="61"/>
      <c r="O1555" s="61"/>
      <c r="P1555" s="62"/>
      <c r="Q1555" s="13"/>
      <c r="R1555" s="13"/>
      <c r="S1555" s="14"/>
      <c r="T1555" s="1"/>
      <c r="U1555" s="15"/>
      <c r="V1555" s="1"/>
      <c r="W1555" s="15"/>
      <c r="X1555" s="16"/>
      <c r="Y1555" s="17"/>
    </row>
    <row r="1556" spans="14:25" x14ac:dyDescent="0.25">
      <c r="N1556" s="61"/>
      <c r="O1556" s="61"/>
      <c r="P1556" s="62"/>
      <c r="Q1556" s="13"/>
      <c r="R1556" s="13"/>
      <c r="S1556" s="14"/>
      <c r="T1556" s="1"/>
      <c r="U1556" s="15"/>
      <c r="V1556" s="1"/>
      <c r="W1556" s="15"/>
      <c r="X1556" s="16"/>
      <c r="Y1556" s="17"/>
    </row>
    <row r="1557" spans="14:25" x14ac:dyDescent="0.25">
      <c r="N1557" s="61"/>
      <c r="O1557" s="61"/>
      <c r="P1557" s="62"/>
      <c r="Q1557" s="13"/>
      <c r="R1557" s="13"/>
      <c r="S1557" s="14"/>
      <c r="T1557" s="1"/>
      <c r="U1557" s="15"/>
      <c r="V1557" s="1"/>
      <c r="W1557" s="15"/>
      <c r="X1557" s="16"/>
      <c r="Y1557" s="17"/>
    </row>
    <row r="1558" spans="14:25" x14ac:dyDescent="0.25">
      <c r="N1558" s="61"/>
      <c r="O1558" s="61"/>
      <c r="P1558" s="62"/>
      <c r="Q1558" s="13"/>
      <c r="R1558" s="13"/>
      <c r="S1558" s="14"/>
      <c r="T1558" s="1"/>
      <c r="U1558" s="15"/>
      <c r="V1558" s="1"/>
      <c r="W1558" s="15"/>
      <c r="X1558" s="16"/>
      <c r="Y1558" s="17"/>
    </row>
    <row r="1559" spans="14:25" x14ac:dyDescent="0.25">
      <c r="N1559" s="61"/>
      <c r="O1559" s="61"/>
      <c r="P1559" s="62"/>
      <c r="Q1559" s="13"/>
      <c r="R1559" s="13"/>
      <c r="S1559" s="14"/>
      <c r="T1559" s="1"/>
      <c r="U1559" s="15"/>
      <c r="V1559" s="1"/>
      <c r="W1559" s="15"/>
      <c r="X1559" s="16"/>
      <c r="Y1559" s="17"/>
    </row>
    <row r="1560" spans="14:25" x14ac:dyDescent="0.25">
      <c r="N1560" s="61"/>
      <c r="O1560" s="61"/>
      <c r="P1560" s="62"/>
      <c r="Q1560" s="13"/>
      <c r="R1560" s="13"/>
      <c r="S1560" s="14"/>
      <c r="T1560" s="1"/>
      <c r="U1560" s="15"/>
      <c r="V1560" s="1"/>
      <c r="W1560" s="15"/>
      <c r="X1560" s="16"/>
      <c r="Y1560" s="17"/>
    </row>
    <row r="1561" spans="14:25" x14ac:dyDescent="0.25">
      <c r="N1561" s="61"/>
      <c r="O1561" s="61"/>
      <c r="P1561" s="62"/>
      <c r="Q1561" s="13"/>
      <c r="R1561" s="13"/>
      <c r="S1561" s="14"/>
      <c r="T1561" s="1"/>
      <c r="U1561" s="15"/>
      <c r="V1561" s="1"/>
      <c r="W1561" s="15"/>
      <c r="X1561" s="16"/>
      <c r="Y1561" s="17"/>
    </row>
    <row r="1562" spans="14:25" x14ac:dyDescent="0.25">
      <c r="N1562" s="61"/>
      <c r="O1562" s="61"/>
      <c r="P1562" s="62"/>
      <c r="Q1562" s="13"/>
      <c r="R1562" s="13"/>
      <c r="S1562" s="14"/>
      <c r="T1562" s="1"/>
      <c r="U1562" s="15"/>
      <c r="V1562" s="1"/>
      <c r="W1562" s="15"/>
      <c r="X1562" s="16"/>
      <c r="Y1562" s="17"/>
    </row>
    <row r="1563" spans="14:25" x14ac:dyDescent="0.25">
      <c r="N1563" s="61"/>
      <c r="O1563" s="61"/>
      <c r="P1563" s="62"/>
      <c r="Q1563" s="13"/>
      <c r="R1563" s="13"/>
      <c r="S1563" s="14"/>
      <c r="T1563" s="1"/>
      <c r="U1563" s="15"/>
      <c r="V1563" s="1"/>
      <c r="W1563" s="15"/>
      <c r="X1563" s="16"/>
      <c r="Y1563" s="17"/>
    </row>
    <row r="1564" spans="14:25" x14ac:dyDescent="0.25">
      <c r="N1564" s="61"/>
      <c r="O1564" s="61"/>
      <c r="P1564" s="62"/>
      <c r="Q1564" s="13"/>
      <c r="R1564" s="13"/>
      <c r="S1564" s="14"/>
      <c r="T1564" s="1"/>
      <c r="U1564" s="15"/>
      <c r="V1564" s="1"/>
      <c r="W1564" s="15"/>
      <c r="X1564" s="16"/>
      <c r="Y1564" s="17"/>
    </row>
    <row r="1565" spans="14:25" x14ac:dyDescent="0.25">
      <c r="N1565" s="61"/>
      <c r="O1565" s="61"/>
      <c r="P1565" s="62"/>
      <c r="Q1565" s="13"/>
      <c r="R1565" s="13"/>
      <c r="S1565" s="14"/>
      <c r="T1565" s="1"/>
      <c r="U1565" s="15"/>
      <c r="V1565" s="1"/>
      <c r="W1565" s="15"/>
      <c r="X1565" s="16"/>
      <c r="Y1565" s="17"/>
    </row>
    <row r="1566" spans="14:25" x14ac:dyDescent="0.25">
      <c r="N1566" s="61"/>
      <c r="O1566" s="61"/>
      <c r="P1566" s="62"/>
      <c r="Q1566" s="13"/>
      <c r="R1566" s="13"/>
      <c r="S1566" s="14"/>
      <c r="T1566" s="1"/>
      <c r="U1566" s="15"/>
      <c r="V1566" s="1"/>
      <c r="W1566" s="15"/>
      <c r="X1566" s="16"/>
      <c r="Y1566" s="17"/>
    </row>
    <row r="1567" spans="14:25" x14ac:dyDescent="0.25">
      <c r="N1567" s="61"/>
      <c r="O1567" s="61"/>
      <c r="P1567" s="62"/>
      <c r="Q1567" s="13"/>
      <c r="R1567" s="13"/>
      <c r="S1567" s="14"/>
      <c r="T1567" s="1"/>
      <c r="U1567" s="15"/>
      <c r="V1567" s="1"/>
      <c r="W1567" s="15"/>
      <c r="X1567" s="16"/>
      <c r="Y1567" s="17"/>
    </row>
    <row r="1568" spans="14:25" x14ac:dyDescent="0.25">
      <c r="N1568" s="61"/>
      <c r="O1568" s="61"/>
      <c r="P1568" s="62"/>
      <c r="Q1568" s="13"/>
      <c r="R1568" s="13"/>
      <c r="S1568" s="14"/>
      <c r="T1568" s="1"/>
      <c r="U1568" s="15"/>
      <c r="V1568" s="1"/>
      <c r="W1568" s="15"/>
      <c r="X1568" s="16"/>
      <c r="Y1568" s="17"/>
    </row>
    <row r="1569" spans="14:25" x14ac:dyDescent="0.25">
      <c r="N1569" s="61"/>
      <c r="O1569" s="61"/>
      <c r="P1569" s="62"/>
      <c r="Q1569" s="13"/>
      <c r="R1569" s="13"/>
      <c r="S1569" s="14"/>
      <c r="T1569" s="1"/>
      <c r="U1569" s="15"/>
      <c r="V1569" s="1"/>
      <c r="W1569" s="15"/>
      <c r="X1569" s="16"/>
      <c r="Y1569" s="17"/>
    </row>
    <row r="1570" spans="14:25" x14ac:dyDescent="0.25">
      <c r="N1570" s="61"/>
      <c r="O1570" s="61"/>
      <c r="P1570" s="62"/>
      <c r="Q1570" s="13"/>
      <c r="R1570" s="13"/>
      <c r="S1570" s="14"/>
      <c r="T1570" s="1"/>
      <c r="U1570" s="15"/>
      <c r="V1570" s="1"/>
      <c r="W1570" s="15"/>
      <c r="X1570" s="16"/>
      <c r="Y1570" s="17"/>
    </row>
    <row r="1571" spans="14:25" x14ac:dyDescent="0.25">
      <c r="N1571" s="61"/>
      <c r="O1571" s="61"/>
      <c r="P1571" s="62"/>
      <c r="Q1571" s="13"/>
      <c r="R1571" s="13"/>
      <c r="S1571" s="14"/>
      <c r="T1571" s="1"/>
      <c r="U1571" s="15"/>
      <c r="V1571" s="1"/>
      <c r="W1571" s="15"/>
      <c r="X1571" s="16"/>
      <c r="Y1571" s="17"/>
    </row>
    <row r="1572" spans="14:25" x14ac:dyDescent="0.25">
      <c r="N1572" s="61"/>
      <c r="O1572" s="61"/>
      <c r="P1572" s="62"/>
      <c r="Q1572" s="13"/>
      <c r="R1572" s="13"/>
      <c r="S1572" s="14"/>
      <c r="T1572" s="1"/>
      <c r="U1572" s="15"/>
      <c r="V1572" s="1"/>
      <c r="W1572" s="15"/>
      <c r="X1572" s="16"/>
      <c r="Y1572" s="17"/>
    </row>
    <row r="1573" spans="14:25" x14ac:dyDescent="0.25">
      <c r="N1573" s="61"/>
      <c r="O1573" s="61"/>
      <c r="P1573" s="62"/>
      <c r="Q1573" s="13"/>
      <c r="R1573" s="13"/>
      <c r="S1573" s="14"/>
      <c r="T1573" s="1"/>
      <c r="U1573" s="15"/>
      <c r="V1573" s="1"/>
      <c r="W1573" s="15"/>
      <c r="X1573" s="16"/>
      <c r="Y1573" s="17"/>
    </row>
    <row r="1574" spans="14:25" x14ac:dyDescent="0.25">
      <c r="N1574" s="61"/>
      <c r="O1574" s="61"/>
      <c r="P1574" s="62"/>
      <c r="Q1574" s="13"/>
      <c r="R1574" s="13"/>
      <c r="S1574" s="14"/>
      <c r="T1574" s="1"/>
      <c r="U1574" s="15"/>
      <c r="V1574" s="1"/>
      <c r="W1574" s="15"/>
      <c r="X1574" s="16"/>
      <c r="Y1574" s="17"/>
    </row>
    <row r="1575" spans="14:25" x14ac:dyDescent="0.25">
      <c r="N1575" s="61"/>
      <c r="O1575" s="61"/>
      <c r="P1575" s="62"/>
      <c r="Q1575" s="13"/>
      <c r="R1575" s="13"/>
      <c r="S1575" s="14"/>
      <c r="T1575" s="1"/>
      <c r="U1575" s="15"/>
      <c r="V1575" s="1"/>
      <c r="W1575" s="15"/>
      <c r="X1575" s="16"/>
      <c r="Y1575" s="17"/>
    </row>
    <row r="1576" spans="14:25" x14ac:dyDescent="0.25">
      <c r="N1576" s="61"/>
      <c r="O1576" s="61"/>
      <c r="P1576" s="62"/>
      <c r="Q1576" s="13"/>
      <c r="R1576" s="13"/>
      <c r="S1576" s="14"/>
      <c r="T1576" s="1"/>
      <c r="U1576" s="15"/>
      <c r="V1576" s="1"/>
      <c r="W1576" s="15"/>
      <c r="X1576" s="16"/>
      <c r="Y1576" s="17"/>
    </row>
    <row r="1577" spans="14:25" x14ac:dyDescent="0.25">
      <c r="N1577" s="61"/>
      <c r="O1577" s="61"/>
      <c r="P1577" s="62"/>
      <c r="Q1577" s="13"/>
      <c r="R1577" s="13"/>
      <c r="S1577" s="14"/>
      <c r="T1577" s="1"/>
      <c r="U1577" s="15"/>
      <c r="V1577" s="1"/>
      <c r="W1577" s="15"/>
      <c r="X1577" s="16"/>
      <c r="Y1577" s="17"/>
    </row>
    <row r="1578" spans="14:25" x14ac:dyDescent="0.25">
      <c r="N1578" s="61"/>
      <c r="O1578" s="61"/>
      <c r="P1578" s="62"/>
      <c r="Q1578" s="13"/>
      <c r="R1578" s="13"/>
      <c r="S1578" s="14"/>
      <c r="T1578" s="1"/>
      <c r="U1578" s="15"/>
      <c r="V1578" s="1"/>
      <c r="W1578" s="15"/>
      <c r="X1578" s="16"/>
      <c r="Y1578" s="17"/>
    </row>
    <row r="1579" spans="14:25" x14ac:dyDescent="0.25">
      <c r="N1579" s="61"/>
      <c r="O1579" s="61"/>
      <c r="P1579" s="62"/>
      <c r="Q1579" s="13"/>
      <c r="R1579" s="13"/>
      <c r="S1579" s="14"/>
      <c r="T1579" s="1"/>
      <c r="U1579" s="15"/>
      <c r="V1579" s="1"/>
      <c r="W1579" s="15"/>
      <c r="X1579" s="16"/>
      <c r="Y1579" s="17"/>
    </row>
    <row r="1580" spans="14:25" x14ac:dyDescent="0.25">
      <c r="N1580" s="61"/>
      <c r="O1580" s="61"/>
      <c r="P1580" s="62"/>
      <c r="Q1580" s="13"/>
      <c r="R1580" s="13"/>
      <c r="S1580" s="14"/>
      <c r="T1580" s="1"/>
      <c r="U1580" s="15"/>
      <c r="V1580" s="1"/>
      <c r="W1580" s="15"/>
      <c r="X1580" s="16"/>
      <c r="Y1580" s="17"/>
    </row>
    <row r="1581" spans="14:25" x14ac:dyDescent="0.25">
      <c r="N1581" s="61"/>
      <c r="O1581" s="61"/>
      <c r="P1581" s="62"/>
      <c r="Q1581" s="13"/>
      <c r="R1581" s="13"/>
      <c r="S1581" s="14"/>
      <c r="T1581" s="1"/>
      <c r="U1581" s="15"/>
      <c r="V1581" s="1"/>
      <c r="W1581" s="15"/>
      <c r="X1581" s="16"/>
      <c r="Y1581" s="17"/>
    </row>
    <row r="1582" spans="14:25" x14ac:dyDescent="0.25">
      <c r="N1582" s="61"/>
      <c r="O1582" s="61"/>
      <c r="P1582" s="62"/>
      <c r="Q1582" s="13"/>
      <c r="R1582" s="13"/>
      <c r="S1582" s="14"/>
      <c r="T1582" s="1"/>
      <c r="U1582" s="15"/>
      <c r="V1582" s="1"/>
      <c r="W1582" s="15"/>
      <c r="X1582" s="16"/>
      <c r="Y1582" s="17"/>
    </row>
    <row r="1583" spans="14:25" x14ac:dyDescent="0.25">
      <c r="N1583" s="61"/>
      <c r="O1583" s="61"/>
      <c r="P1583" s="62"/>
      <c r="Q1583" s="13"/>
      <c r="R1583" s="13"/>
      <c r="S1583" s="14"/>
      <c r="T1583" s="1"/>
      <c r="U1583" s="15"/>
      <c r="V1583" s="1"/>
      <c r="W1583" s="15"/>
      <c r="X1583" s="16"/>
      <c r="Y1583" s="17"/>
    </row>
    <row r="1584" spans="14:25" x14ac:dyDescent="0.25">
      <c r="N1584" s="61"/>
      <c r="O1584" s="61"/>
      <c r="P1584" s="62"/>
      <c r="Q1584" s="13"/>
      <c r="R1584" s="13"/>
      <c r="S1584" s="14"/>
      <c r="T1584" s="1"/>
      <c r="U1584" s="15"/>
      <c r="V1584" s="1"/>
      <c r="W1584" s="15"/>
      <c r="X1584" s="16"/>
      <c r="Y1584" s="17"/>
    </row>
    <row r="1585" spans="14:25" x14ac:dyDescent="0.25">
      <c r="N1585" s="61"/>
      <c r="O1585" s="61"/>
      <c r="P1585" s="62"/>
      <c r="Q1585" s="13"/>
      <c r="R1585" s="13"/>
      <c r="S1585" s="14"/>
      <c r="T1585" s="1"/>
      <c r="U1585" s="15"/>
      <c r="V1585" s="1"/>
      <c r="W1585" s="15"/>
      <c r="X1585" s="16"/>
      <c r="Y1585" s="17"/>
    </row>
    <row r="1586" spans="14:25" x14ac:dyDescent="0.25">
      <c r="N1586" s="61"/>
      <c r="O1586" s="61"/>
      <c r="P1586" s="62"/>
      <c r="Q1586" s="13"/>
      <c r="R1586" s="13"/>
      <c r="S1586" s="14"/>
      <c r="T1586" s="1"/>
      <c r="U1586" s="15"/>
      <c r="V1586" s="1"/>
      <c r="W1586" s="15"/>
      <c r="X1586" s="16"/>
      <c r="Y1586" s="17"/>
    </row>
    <row r="1587" spans="14:25" x14ac:dyDescent="0.25">
      <c r="N1587" s="61"/>
      <c r="O1587" s="61"/>
      <c r="P1587" s="62"/>
      <c r="Q1587" s="13"/>
      <c r="R1587" s="13"/>
      <c r="S1587" s="14"/>
      <c r="T1587" s="1"/>
      <c r="U1587" s="15"/>
      <c r="V1587" s="1"/>
      <c r="W1587" s="15"/>
      <c r="X1587" s="16"/>
      <c r="Y1587" s="17"/>
    </row>
    <row r="1588" spans="14:25" x14ac:dyDescent="0.25">
      <c r="N1588" s="61"/>
      <c r="O1588" s="61"/>
      <c r="P1588" s="62"/>
      <c r="Q1588" s="13"/>
      <c r="R1588" s="13"/>
      <c r="S1588" s="14"/>
      <c r="T1588" s="1"/>
      <c r="U1588" s="15"/>
      <c r="V1588" s="1"/>
      <c r="W1588" s="15"/>
      <c r="X1588" s="16"/>
      <c r="Y1588" s="17"/>
    </row>
    <row r="1589" spans="14:25" x14ac:dyDescent="0.25">
      <c r="N1589" s="61"/>
      <c r="O1589" s="61"/>
      <c r="P1589" s="62"/>
      <c r="Q1589" s="13"/>
      <c r="R1589" s="13"/>
      <c r="S1589" s="14"/>
      <c r="T1589" s="1"/>
      <c r="U1589" s="15"/>
      <c r="V1589" s="1"/>
      <c r="W1589" s="15"/>
      <c r="X1589" s="16"/>
      <c r="Y1589" s="17"/>
    </row>
    <row r="1590" spans="14:25" x14ac:dyDescent="0.25">
      <c r="N1590" s="61"/>
      <c r="O1590" s="61"/>
      <c r="P1590" s="62"/>
      <c r="Q1590" s="13"/>
      <c r="R1590" s="13"/>
      <c r="S1590" s="14"/>
      <c r="T1590" s="1"/>
      <c r="U1590" s="15"/>
      <c r="V1590" s="1"/>
      <c r="W1590" s="15"/>
      <c r="X1590" s="16"/>
      <c r="Y1590" s="17"/>
    </row>
    <row r="1591" spans="14:25" x14ac:dyDescent="0.25">
      <c r="N1591" s="61"/>
      <c r="O1591" s="61"/>
      <c r="P1591" s="62"/>
      <c r="Q1591" s="13"/>
      <c r="R1591" s="13"/>
      <c r="S1591" s="14"/>
      <c r="T1591" s="1"/>
      <c r="U1591" s="15"/>
      <c r="V1591" s="1"/>
      <c r="W1591" s="15"/>
      <c r="X1591" s="16"/>
      <c r="Y1591" s="17"/>
    </row>
    <row r="1592" spans="14:25" x14ac:dyDescent="0.25">
      <c r="N1592" s="61"/>
      <c r="O1592" s="61"/>
      <c r="P1592" s="62"/>
      <c r="Q1592" s="13"/>
      <c r="R1592" s="13"/>
      <c r="S1592" s="14"/>
      <c r="T1592" s="1"/>
      <c r="U1592" s="15"/>
      <c r="V1592" s="1"/>
      <c r="W1592" s="15"/>
      <c r="X1592" s="16"/>
      <c r="Y1592" s="17"/>
    </row>
    <row r="1593" spans="14:25" x14ac:dyDescent="0.25">
      <c r="N1593" s="61"/>
      <c r="O1593" s="61"/>
      <c r="P1593" s="62"/>
      <c r="Q1593" s="13"/>
      <c r="R1593" s="13"/>
      <c r="S1593" s="14"/>
      <c r="T1593" s="1"/>
      <c r="U1593" s="15"/>
      <c r="V1593" s="1"/>
      <c r="W1593" s="15"/>
      <c r="X1593" s="16"/>
      <c r="Y1593" s="17"/>
    </row>
    <row r="1594" spans="14:25" x14ac:dyDescent="0.25">
      <c r="N1594" s="61"/>
      <c r="O1594" s="61"/>
      <c r="P1594" s="62"/>
      <c r="Q1594" s="13"/>
      <c r="R1594" s="13"/>
      <c r="S1594" s="14"/>
      <c r="T1594" s="1"/>
      <c r="U1594" s="15"/>
      <c r="V1594" s="1"/>
      <c r="W1594" s="15"/>
      <c r="X1594" s="16"/>
      <c r="Y1594" s="17"/>
    </row>
    <row r="1595" spans="14:25" x14ac:dyDescent="0.25">
      <c r="N1595" s="61"/>
      <c r="O1595" s="61"/>
      <c r="P1595" s="62"/>
      <c r="Q1595" s="13"/>
      <c r="R1595" s="13"/>
      <c r="S1595" s="14"/>
      <c r="T1595" s="1"/>
      <c r="U1595" s="15"/>
      <c r="V1595" s="1"/>
      <c r="W1595" s="15"/>
      <c r="X1595" s="16"/>
      <c r="Y1595" s="17"/>
    </row>
    <row r="1596" spans="14:25" x14ac:dyDescent="0.25">
      <c r="N1596" s="61"/>
      <c r="O1596" s="61"/>
      <c r="P1596" s="62"/>
      <c r="Q1596" s="13"/>
      <c r="R1596" s="13"/>
      <c r="S1596" s="14"/>
      <c r="T1596" s="1"/>
      <c r="U1596" s="15"/>
      <c r="V1596" s="1"/>
      <c r="W1596" s="15"/>
      <c r="X1596" s="16"/>
      <c r="Y1596" s="17"/>
    </row>
    <row r="1597" spans="14:25" x14ac:dyDescent="0.25">
      <c r="N1597" s="61"/>
      <c r="O1597" s="61"/>
      <c r="P1597" s="62"/>
      <c r="Q1597" s="13"/>
      <c r="R1597" s="13"/>
      <c r="S1597" s="14"/>
      <c r="T1597" s="1"/>
      <c r="U1597" s="15"/>
      <c r="V1597" s="1"/>
      <c r="W1597" s="15"/>
      <c r="X1597" s="16"/>
      <c r="Y1597" s="17"/>
    </row>
    <row r="1598" spans="14:25" x14ac:dyDescent="0.25">
      <c r="N1598" s="61"/>
      <c r="O1598" s="61"/>
      <c r="P1598" s="62"/>
      <c r="Q1598" s="13"/>
      <c r="R1598" s="13"/>
      <c r="S1598" s="14"/>
      <c r="T1598" s="1"/>
      <c r="U1598" s="15"/>
      <c r="V1598" s="1"/>
      <c r="W1598" s="15"/>
      <c r="X1598" s="16"/>
      <c r="Y1598" s="17"/>
    </row>
    <row r="1599" spans="14:25" x14ac:dyDescent="0.25">
      <c r="N1599" s="61"/>
      <c r="O1599" s="61"/>
      <c r="P1599" s="62"/>
      <c r="Q1599" s="13"/>
      <c r="R1599" s="13"/>
      <c r="S1599" s="14"/>
      <c r="T1599" s="1"/>
      <c r="U1599" s="15"/>
      <c r="V1599" s="1"/>
      <c r="W1599" s="15"/>
      <c r="X1599" s="16"/>
      <c r="Y1599" s="17"/>
    </row>
    <row r="1600" spans="14:25" x14ac:dyDescent="0.25">
      <c r="N1600" s="61"/>
      <c r="O1600" s="61"/>
      <c r="P1600" s="62"/>
      <c r="Q1600" s="13"/>
      <c r="R1600" s="13"/>
      <c r="S1600" s="14"/>
      <c r="T1600" s="1"/>
      <c r="U1600" s="15"/>
      <c r="V1600" s="1"/>
      <c r="W1600" s="15"/>
      <c r="X1600" s="16"/>
      <c r="Y1600" s="17"/>
    </row>
    <row r="1601" spans="14:25" x14ac:dyDescent="0.25">
      <c r="N1601" s="61"/>
      <c r="O1601" s="61"/>
      <c r="P1601" s="62"/>
      <c r="Q1601" s="13"/>
      <c r="R1601" s="13"/>
      <c r="S1601" s="14"/>
      <c r="T1601" s="1"/>
      <c r="U1601" s="15"/>
      <c r="V1601" s="1"/>
      <c r="W1601" s="15"/>
      <c r="X1601" s="16"/>
      <c r="Y1601" s="17"/>
    </row>
    <row r="1602" spans="14:25" x14ac:dyDescent="0.25">
      <c r="N1602" s="61"/>
      <c r="O1602" s="61"/>
      <c r="P1602" s="62"/>
      <c r="Q1602" s="13"/>
      <c r="R1602" s="13"/>
      <c r="S1602" s="14"/>
      <c r="T1602" s="1"/>
      <c r="U1602" s="15"/>
      <c r="V1602" s="1"/>
      <c r="W1602" s="15"/>
      <c r="X1602" s="16"/>
      <c r="Y1602" s="17"/>
    </row>
    <row r="1603" spans="14:25" x14ac:dyDescent="0.25">
      <c r="N1603" s="61"/>
      <c r="O1603" s="61"/>
      <c r="P1603" s="62"/>
      <c r="Q1603" s="13"/>
      <c r="R1603" s="13"/>
      <c r="S1603" s="14"/>
      <c r="T1603" s="1"/>
      <c r="U1603" s="15"/>
      <c r="V1603" s="1"/>
      <c r="W1603" s="15"/>
      <c r="X1603" s="16"/>
      <c r="Y1603" s="17"/>
    </row>
    <row r="1604" spans="14:25" x14ac:dyDescent="0.25">
      <c r="N1604" s="61"/>
      <c r="O1604" s="61"/>
      <c r="P1604" s="62"/>
      <c r="Q1604" s="13"/>
      <c r="R1604" s="13"/>
      <c r="S1604" s="14"/>
      <c r="T1604" s="1"/>
      <c r="U1604" s="15"/>
      <c r="V1604" s="1"/>
      <c r="W1604" s="15"/>
      <c r="X1604" s="16"/>
      <c r="Y1604" s="17"/>
    </row>
    <row r="1605" spans="14:25" x14ac:dyDescent="0.25">
      <c r="N1605" s="61"/>
      <c r="O1605" s="61"/>
      <c r="P1605" s="62"/>
      <c r="Q1605" s="13"/>
      <c r="R1605" s="13"/>
      <c r="S1605" s="14"/>
      <c r="T1605" s="1"/>
      <c r="U1605" s="15"/>
      <c r="V1605" s="1"/>
      <c r="W1605" s="15"/>
      <c r="X1605" s="16"/>
      <c r="Y1605" s="17"/>
    </row>
    <row r="1606" spans="14:25" x14ac:dyDescent="0.25">
      <c r="N1606" s="61"/>
      <c r="O1606" s="61"/>
      <c r="P1606" s="62"/>
      <c r="Q1606" s="13"/>
      <c r="R1606" s="13"/>
      <c r="S1606" s="14"/>
      <c r="T1606" s="1"/>
      <c r="U1606" s="15"/>
      <c r="V1606" s="1"/>
      <c r="W1606" s="15"/>
      <c r="X1606" s="16"/>
      <c r="Y1606" s="17"/>
    </row>
    <row r="1607" spans="14:25" x14ac:dyDescent="0.25">
      <c r="N1607" s="61"/>
      <c r="O1607" s="61"/>
      <c r="P1607" s="62"/>
      <c r="Q1607" s="13"/>
      <c r="R1607" s="13"/>
      <c r="S1607" s="14"/>
      <c r="T1607" s="1"/>
      <c r="U1607" s="15"/>
      <c r="V1607" s="1"/>
      <c r="W1607" s="15"/>
      <c r="X1607" s="16"/>
      <c r="Y1607" s="17"/>
    </row>
    <row r="1608" spans="14:25" x14ac:dyDescent="0.25">
      <c r="N1608" s="61"/>
      <c r="O1608" s="61"/>
      <c r="P1608" s="62"/>
      <c r="Q1608" s="13"/>
      <c r="R1608" s="13"/>
      <c r="S1608" s="14"/>
      <c r="T1608" s="1"/>
      <c r="U1608" s="15"/>
      <c r="V1608" s="1"/>
      <c r="W1608" s="15"/>
      <c r="X1608" s="16"/>
      <c r="Y1608" s="17"/>
    </row>
    <row r="1609" spans="14:25" x14ac:dyDescent="0.25">
      <c r="N1609" s="61"/>
      <c r="O1609" s="61"/>
      <c r="P1609" s="62"/>
      <c r="Q1609" s="13"/>
      <c r="R1609" s="13"/>
      <c r="S1609" s="14"/>
      <c r="T1609" s="1"/>
      <c r="U1609" s="15"/>
      <c r="V1609" s="1"/>
      <c r="W1609" s="15"/>
      <c r="X1609" s="16"/>
      <c r="Y1609" s="17"/>
    </row>
    <row r="1610" spans="14:25" x14ac:dyDescent="0.25">
      <c r="N1610" s="61"/>
      <c r="O1610" s="61"/>
      <c r="P1610" s="62"/>
      <c r="Q1610" s="13"/>
      <c r="R1610" s="13"/>
      <c r="S1610" s="14"/>
      <c r="T1610" s="1"/>
      <c r="U1610" s="15"/>
      <c r="V1610" s="1"/>
      <c r="W1610" s="15"/>
      <c r="X1610" s="16"/>
      <c r="Y1610" s="17"/>
    </row>
    <row r="1611" spans="14:25" x14ac:dyDescent="0.25">
      <c r="N1611" s="61"/>
      <c r="O1611" s="61"/>
      <c r="P1611" s="62"/>
      <c r="Q1611" s="13"/>
      <c r="R1611" s="13"/>
      <c r="S1611" s="14"/>
      <c r="T1611" s="1"/>
      <c r="U1611" s="15"/>
      <c r="V1611" s="1"/>
      <c r="W1611" s="15"/>
      <c r="X1611" s="16"/>
      <c r="Y1611" s="17"/>
    </row>
    <row r="1612" spans="14:25" x14ac:dyDescent="0.25">
      <c r="N1612" s="61"/>
      <c r="O1612" s="61"/>
      <c r="P1612" s="62"/>
      <c r="Q1612" s="13"/>
      <c r="R1612" s="13"/>
      <c r="S1612" s="14"/>
      <c r="T1612" s="1"/>
      <c r="U1612" s="15"/>
      <c r="V1612" s="1"/>
      <c r="W1612" s="15"/>
      <c r="X1612" s="16"/>
      <c r="Y1612" s="17"/>
    </row>
    <row r="1613" spans="14:25" x14ac:dyDescent="0.25">
      <c r="N1613" s="61"/>
      <c r="O1613" s="61"/>
      <c r="P1613" s="62"/>
      <c r="Q1613" s="13"/>
      <c r="R1613" s="13"/>
      <c r="S1613" s="14"/>
      <c r="T1613" s="1"/>
      <c r="U1613" s="15"/>
      <c r="V1613" s="1"/>
      <c r="W1613" s="15"/>
      <c r="X1613" s="16"/>
      <c r="Y1613" s="17"/>
    </row>
    <row r="1614" spans="14:25" x14ac:dyDescent="0.25">
      <c r="N1614" s="61"/>
      <c r="O1614" s="61"/>
      <c r="P1614" s="62"/>
      <c r="Q1614" s="13"/>
      <c r="R1614" s="13"/>
      <c r="S1614" s="14"/>
      <c r="T1614" s="1"/>
      <c r="U1614" s="15"/>
      <c r="V1614" s="1"/>
      <c r="W1614" s="15"/>
      <c r="X1614" s="16"/>
      <c r="Y1614" s="17"/>
    </row>
    <row r="1615" spans="14:25" x14ac:dyDescent="0.25">
      <c r="N1615" s="61"/>
      <c r="O1615" s="61"/>
      <c r="P1615" s="62"/>
      <c r="Q1615" s="13"/>
      <c r="R1615" s="13"/>
      <c r="S1615" s="14"/>
      <c r="T1615" s="1"/>
      <c r="U1615" s="15"/>
      <c r="V1615" s="1"/>
      <c r="W1615" s="15"/>
      <c r="X1615" s="16"/>
      <c r="Y1615" s="17"/>
    </row>
    <row r="1616" spans="14:25" x14ac:dyDescent="0.25">
      <c r="N1616" s="61"/>
      <c r="O1616" s="61"/>
      <c r="P1616" s="62"/>
      <c r="Q1616" s="13"/>
      <c r="R1616" s="13"/>
      <c r="S1616" s="14"/>
      <c r="T1616" s="1"/>
      <c r="U1616" s="15"/>
      <c r="V1616" s="1"/>
      <c r="W1616" s="15"/>
      <c r="X1616" s="16"/>
      <c r="Y1616" s="17"/>
    </row>
    <row r="1617" spans="14:25" x14ac:dyDescent="0.25">
      <c r="N1617" s="61"/>
      <c r="O1617" s="61"/>
      <c r="P1617" s="62"/>
      <c r="Q1617" s="13"/>
      <c r="R1617" s="13"/>
      <c r="S1617" s="14"/>
      <c r="T1617" s="1"/>
      <c r="U1617" s="15"/>
      <c r="V1617" s="1"/>
      <c r="W1617" s="15"/>
      <c r="X1617" s="16"/>
      <c r="Y1617" s="17"/>
    </row>
    <row r="1618" spans="14:25" x14ac:dyDescent="0.25">
      <c r="N1618" s="61"/>
      <c r="O1618" s="61"/>
      <c r="P1618" s="62"/>
      <c r="Q1618" s="13"/>
      <c r="R1618" s="13"/>
      <c r="S1618" s="14"/>
      <c r="T1618" s="1"/>
      <c r="U1618" s="15"/>
      <c r="V1618" s="1"/>
      <c r="W1618" s="15"/>
      <c r="X1618" s="16"/>
      <c r="Y1618" s="17"/>
    </row>
    <row r="1619" spans="14:25" x14ac:dyDescent="0.25">
      <c r="N1619" s="61"/>
      <c r="O1619" s="61"/>
      <c r="P1619" s="62"/>
      <c r="Q1619" s="13"/>
      <c r="R1619" s="13"/>
      <c r="S1619" s="14"/>
      <c r="T1619" s="1"/>
      <c r="U1619" s="15"/>
      <c r="V1619" s="1"/>
      <c r="W1619" s="15"/>
      <c r="X1619" s="16"/>
      <c r="Y1619" s="17"/>
    </row>
    <row r="1620" spans="14:25" x14ac:dyDescent="0.25">
      <c r="N1620" s="61"/>
      <c r="O1620" s="61"/>
      <c r="P1620" s="62"/>
      <c r="Q1620" s="13"/>
      <c r="R1620" s="13"/>
      <c r="S1620" s="14"/>
      <c r="T1620" s="1"/>
      <c r="U1620" s="15"/>
      <c r="V1620" s="1"/>
      <c r="W1620" s="15"/>
      <c r="X1620" s="16"/>
      <c r="Y1620" s="17"/>
    </row>
    <row r="1621" spans="14:25" x14ac:dyDescent="0.25">
      <c r="N1621" s="61"/>
      <c r="O1621" s="61"/>
      <c r="P1621" s="62"/>
      <c r="Q1621" s="13"/>
      <c r="R1621" s="13"/>
      <c r="S1621" s="14"/>
      <c r="T1621" s="1"/>
      <c r="U1621" s="15"/>
      <c r="V1621" s="1"/>
      <c r="W1621" s="15"/>
      <c r="X1621" s="16"/>
      <c r="Y1621" s="17"/>
    </row>
    <row r="1622" spans="14:25" x14ac:dyDescent="0.25">
      <c r="N1622" s="61"/>
      <c r="O1622" s="61"/>
      <c r="P1622" s="62"/>
      <c r="Q1622" s="13"/>
      <c r="R1622" s="13"/>
      <c r="S1622" s="14"/>
      <c r="T1622" s="1"/>
      <c r="U1622" s="15"/>
      <c r="V1622" s="1"/>
      <c r="W1622" s="15"/>
      <c r="X1622" s="16"/>
      <c r="Y1622" s="17"/>
    </row>
    <row r="1623" spans="14:25" x14ac:dyDescent="0.25">
      <c r="N1623" s="61"/>
      <c r="O1623" s="61"/>
      <c r="P1623" s="62"/>
      <c r="Q1623" s="13"/>
      <c r="R1623" s="13"/>
      <c r="S1623" s="14"/>
      <c r="T1623" s="1"/>
      <c r="U1623" s="15"/>
      <c r="V1623" s="1"/>
      <c r="W1623" s="15"/>
      <c r="X1623" s="16"/>
      <c r="Y1623" s="17"/>
    </row>
    <row r="1624" spans="14:25" x14ac:dyDescent="0.25">
      <c r="N1624" s="61"/>
      <c r="O1624" s="61"/>
      <c r="P1624" s="62"/>
      <c r="Q1624" s="13"/>
      <c r="R1624" s="13"/>
      <c r="S1624" s="14"/>
      <c r="T1624" s="1"/>
      <c r="U1624" s="15"/>
      <c r="V1624" s="1"/>
      <c r="W1624" s="15"/>
      <c r="X1624" s="16"/>
      <c r="Y1624" s="17"/>
    </row>
    <row r="1625" spans="14:25" x14ac:dyDescent="0.25">
      <c r="N1625" s="61"/>
      <c r="O1625" s="61"/>
      <c r="P1625" s="62"/>
      <c r="Q1625" s="13"/>
      <c r="R1625" s="13"/>
      <c r="S1625" s="14"/>
      <c r="T1625" s="1"/>
      <c r="U1625" s="15"/>
      <c r="V1625" s="1"/>
      <c r="W1625" s="15"/>
      <c r="X1625" s="16"/>
      <c r="Y1625" s="17"/>
    </row>
    <row r="1626" spans="14:25" x14ac:dyDescent="0.25">
      <c r="N1626" s="61"/>
      <c r="O1626" s="61"/>
      <c r="P1626" s="62"/>
      <c r="Q1626" s="13"/>
      <c r="R1626" s="13"/>
      <c r="S1626" s="14"/>
      <c r="T1626" s="1"/>
      <c r="U1626" s="15"/>
      <c r="V1626" s="1"/>
      <c r="W1626" s="15"/>
      <c r="X1626" s="16"/>
      <c r="Y1626" s="17"/>
    </row>
    <row r="1627" spans="14:25" x14ac:dyDescent="0.25">
      <c r="N1627" s="61"/>
      <c r="O1627" s="61"/>
      <c r="P1627" s="62"/>
      <c r="Q1627" s="13"/>
      <c r="R1627" s="13"/>
      <c r="S1627" s="14"/>
      <c r="T1627" s="1"/>
      <c r="U1627" s="15"/>
      <c r="V1627" s="1"/>
      <c r="W1627" s="15"/>
      <c r="X1627" s="16"/>
      <c r="Y1627" s="17"/>
    </row>
    <row r="1628" spans="14:25" x14ac:dyDescent="0.25">
      <c r="N1628" s="61"/>
      <c r="O1628" s="61"/>
      <c r="P1628" s="62"/>
      <c r="Q1628" s="13"/>
      <c r="R1628" s="13"/>
      <c r="S1628" s="14"/>
      <c r="T1628" s="1"/>
      <c r="U1628" s="15"/>
      <c r="V1628" s="1"/>
      <c r="W1628" s="15"/>
      <c r="X1628" s="16"/>
      <c r="Y1628" s="17"/>
    </row>
    <row r="1629" spans="14:25" x14ac:dyDescent="0.25">
      <c r="N1629" s="61"/>
      <c r="O1629" s="61"/>
      <c r="P1629" s="62"/>
      <c r="Q1629" s="13"/>
      <c r="R1629" s="13"/>
      <c r="S1629" s="14"/>
      <c r="T1629" s="1"/>
      <c r="U1629" s="15"/>
      <c r="V1629" s="1"/>
      <c r="W1629" s="15"/>
      <c r="X1629" s="16"/>
      <c r="Y1629" s="17"/>
    </row>
    <row r="1630" spans="14:25" x14ac:dyDescent="0.25">
      <c r="N1630" s="61"/>
      <c r="O1630" s="61"/>
      <c r="P1630" s="62"/>
      <c r="Q1630" s="13"/>
      <c r="R1630" s="13"/>
      <c r="S1630" s="14"/>
      <c r="T1630" s="1"/>
      <c r="U1630" s="15"/>
      <c r="V1630" s="1"/>
      <c r="W1630" s="15"/>
      <c r="X1630" s="16"/>
      <c r="Y1630" s="17"/>
    </row>
    <row r="1631" spans="14:25" x14ac:dyDescent="0.25">
      <c r="N1631" s="61"/>
      <c r="O1631" s="61"/>
      <c r="P1631" s="62"/>
      <c r="Q1631" s="13"/>
      <c r="R1631" s="13"/>
      <c r="S1631" s="14"/>
      <c r="T1631" s="1"/>
      <c r="U1631" s="15"/>
      <c r="V1631" s="1"/>
      <c r="W1631" s="15"/>
      <c r="X1631" s="16"/>
      <c r="Y1631" s="17"/>
    </row>
    <row r="1632" spans="14:25" x14ac:dyDescent="0.25">
      <c r="N1632" s="61"/>
      <c r="O1632" s="61"/>
      <c r="P1632" s="62"/>
      <c r="Q1632" s="13"/>
      <c r="R1632" s="13"/>
      <c r="S1632" s="14"/>
      <c r="T1632" s="1"/>
      <c r="U1632" s="15"/>
      <c r="V1632" s="1"/>
      <c r="W1632" s="15"/>
      <c r="X1632" s="16"/>
      <c r="Y1632" s="17"/>
    </row>
    <row r="1633" spans="14:25" x14ac:dyDescent="0.25">
      <c r="N1633" s="61"/>
      <c r="O1633" s="61"/>
      <c r="P1633" s="62"/>
      <c r="Q1633" s="13"/>
      <c r="R1633" s="13"/>
      <c r="S1633" s="14"/>
      <c r="T1633" s="1"/>
      <c r="U1633" s="15"/>
      <c r="V1633" s="1"/>
      <c r="W1633" s="15"/>
      <c r="X1633" s="16"/>
      <c r="Y1633" s="17"/>
    </row>
    <row r="1634" spans="14:25" x14ac:dyDescent="0.25">
      <c r="N1634" s="61"/>
      <c r="O1634" s="61"/>
      <c r="P1634" s="62"/>
      <c r="Q1634" s="13"/>
      <c r="R1634" s="13"/>
      <c r="S1634" s="14"/>
      <c r="T1634" s="1"/>
      <c r="U1634" s="15"/>
      <c r="V1634" s="1"/>
      <c r="W1634" s="15"/>
      <c r="X1634" s="16"/>
      <c r="Y1634" s="17"/>
    </row>
    <row r="1635" spans="14:25" x14ac:dyDescent="0.25">
      <c r="N1635" s="61"/>
      <c r="O1635" s="61"/>
      <c r="P1635" s="62"/>
      <c r="Q1635" s="13"/>
      <c r="R1635" s="13"/>
      <c r="S1635" s="14"/>
      <c r="T1635" s="1"/>
      <c r="U1635" s="15"/>
      <c r="V1635" s="1"/>
      <c r="W1635" s="15"/>
      <c r="X1635" s="16"/>
      <c r="Y1635" s="17"/>
    </row>
    <row r="1636" spans="14:25" x14ac:dyDescent="0.25">
      <c r="N1636" s="61"/>
      <c r="O1636" s="61"/>
      <c r="P1636" s="62"/>
      <c r="Q1636" s="13"/>
      <c r="R1636" s="13"/>
      <c r="S1636" s="14"/>
      <c r="T1636" s="1"/>
      <c r="U1636" s="15"/>
      <c r="V1636" s="1"/>
      <c r="W1636" s="15"/>
      <c r="X1636" s="16"/>
      <c r="Y1636" s="17"/>
    </row>
    <row r="1637" spans="14:25" x14ac:dyDescent="0.25">
      <c r="N1637" s="61"/>
      <c r="O1637" s="61"/>
      <c r="P1637" s="62"/>
      <c r="Q1637" s="13"/>
      <c r="R1637" s="13"/>
      <c r="S1637" s="14"/>
      <c r="T1637" s="1"/>
      <c r="U1637" s="15"/>
      <c r="V1637" s="1"/>
      <c r="W1637" s="15"/>
      <c r="X1637" s="16"/>
      <c r="Y1637" s="17"/>
    </row>
    <row r="1638" spans="14:25" x14ac:dyDescent="0.25">
      <c r="N1638" s="61"/>
      <c r="O1638" s="61"/>
      <c r="P1638" s="62"/>
      <c r="Q1638" s="13"/>
      <c r="R1638" s="13"/>
      <c r="S1638" s="14"/>
      <c r="T1638" s="1"/>
      <c r="U1638" s="15"/>
      <c r="V1638" s="1"/>
      <c r="W1638" s="15"/>
      <c r="X1638" s="16"/>
      <c r="Y1638" s="17"/>
    </row>
    <row r="1639" spans="14:25" x14ac:dyDescent="0.25">
      <c r="N1639" s="61"/>
      <c r="O1639" s="61"/>
      <c r="P1639" s="62"/>
      <c r="Q1639" s="13"/>
      <c r="R1639" s="13"/>
      <c r="S1639" s="14"/>
      <c r="T1639" s="1"/>
      <c r="U1639" s="15"/>
      <c r="V1639" s="1"/>
      <c r="W1639" s="15"/>
      <c r="X1639" s="16"/>
      <c r="Y1639" s="17"/>
    </row>
    <row r="1640" spans="14:25" x14ac:dyDescent="0.25">
      <c r="N1640" s="61"/>
      <c r="O1640" s="61"/>
      <c r="P1640" s="62"/>
      <c r="Q1640" s="13"/>
      <c r="R1640" s="13"/>
      <c r="S1640" s="14"/>
      <c r="T1640" s="1"/>
      <c r="U1640" s="15"/>
      <c r="V1640" s="1"/>
      <c r="W1640" s="15"/>
      <c r="X1640" s="16"/>
      <c r="Y1640" s="17"/>
    </row>
    <row r="1641" spans="14:25" x14ac:dyDescent="0.25">
      <c r="N1641" s="61"/>
      <c r="O1641" s="61"/>
      <c r="P1641" s="62"/>
      <c r="Q1641" s="13"/>
      <c r="R1641" s="13"/>
      <c r="S1641" s="14"/>
      <c r="T1641" s="1"/>
      <c r="U1641" s="15"/>
      <c r="V1641" s="1"/>
      <c r="W1641" s="15"/>
      <c r="X1641" s="16"/>
      <c r="Y1641" s="17"/>
    </row>
    <row r="1642" spans="14:25" x14ac:dyDescent="0.25">
      <c r="N1642" s="61"/>
      <c r="O1642" s="61"/>
      <c r="P1642" s="62"/>
      <c r="Q1642" s="13"/>
      <c r="R1642" s="13"/>
      <c r="S1642" s="14"/>
      <c r="T1642" s="1"/>
      <c r="U1642" s="15"/>
      <c r="V1642" s="1"/>
      <c r="W1642" s="15"/>
      <c r="X1642" s="16"/>
      <c r="Y1642" s="17"/>
    </row>
    <row r="1643" spans="14:25" x14ac:dyDescent="0.25">
      <c r="N1643" s="61"/>
      <c r="O1643" s="61"/>
      <c r="P1643" s="62"/>
      <c r="Q1643" s="13"/>
      <c r="R1643" s="13"/>
      <c r="S1643" s="14"/>
      <c r="T1643" s="1"/>
      <c r="U1643" s="15"/>
      <c r="V1643" s="1"/>
      <c r="W1643" s="15"/>
      <c r="X1643" s="16"/>
      <c r="Y1643" s="17"/>
    </row>
    <row r="1644" spans="14:25" x14ac:dyDescent="0.25">
      <c r="N1644" s="61"/>
      <c r="O1644" s="61"/>
      <c r="P1644" s="62"/>
      <c r="Q1644" s="13"/>
      <c r="R1644" s="13"/>
      <c r="S1644" s="14"/>
      <c r="T1644" s="1"/>
      <c r="U1644" s="15"/>
      <c r="V1644" s="1"/>
      <c r="W1644" s="15"/>
      <c r="X1644" s="16"/>
      <c r="Y1644" s="17"/>
    </row>
    <row r="1645" spans="14:25" x14ac:dyDescent="0.25">
      <c r="N1645" s="61"/>
      <c r="O1645" s="61"/>
      <c r="P1645" s="62"/>
      <c r="Q1645" s="13"/>
      <c r="R1645" s="13"/>
      <c r="S1645" s="14"/>
      <c r="T1645" s="1"/>
      <c r="U1645" s="15"/>
      <c r="V1645" s="1"/>
      <c r="W1645" s="15"/>
      <c r="X1645" s="16"/>
      <c r="Y1645" s="17"/>
    </row>
    <row r="1646" spans="14:25" x14ac:dyDescent="0.25">
      <c r="N1646" s="61"/>
      <c r="O1646" s="61"/>
      <c r="P1646" s="62"/>
      <c r="Q1646" s="13"/>
      <c r="R1646" s="13"/>
      <c r="S1646" s="14"/>
      <c r="T1646" s="1"/>
      <c r="U1646" s="15"/>
      <c r="V1646" s="1"/>
      <c r="W1646" s="15"/>
      <c r="X1646" s="16"/>
      <c r="Y1646" s="17"/>
    </row>
    <row r="1647" spans="14:25" x14ac:dyDescent="0.25">
      <c r="N1647" s="61"/>
      <c r="O1647" s="61"/>
      <c r="P1647" s="62"/>
      <c r="Q1647" s="13"/>
      <c r="R1647" s="13"/>
      <c r="S1647" s="14"/>
      <c r="T1647" s="1"/>
      <c r="U1647" s="15"/>
      <c r="V1647" s="1"/>
      <c r="W1647" s="15"/>
      <c r="X1647" s="16"/>
      <c r="Y1647" s="17"/>
    </row>
    <row r="1648" spans="14:25" x14ac:dyDescent="0.25">
      <c r="N1648" s="61"/>
      <c r="O1648" s="61"/>
      <c r="P1648" s="62"/>
      <c r="Q1648" s="13"/>
      <c r="R1648" s="13"/>
      <c r="S1648" s="14"/>
      <c r="T1648" s="1"/>
      <c r="U1648" s="15"/>
      <c r="V1648" s="1"/>
      <c r="W1648" s="15"/>
      <c r="X1648" s="16"/>
      <c r="Y1648" s="17"/>
    </row>
    <row r="1649" spans="14:25" x14ac:dyDescent="0.25">
      <c r="N1649" s="61"/>
      <c r="O1649" s="61"/>
      <c r="P1649" s="62"/>
      <c r="Q1649" s="13"/>
      <c r="R1649" s="13"/>
      <c r="S1649" s="14"/>
      <c r="T1649" s="1"/>
      <c r="U1649" s="15"/>
      <c r="V1649" s="1"/>
      <c r="W1649" s="15"/>
      <c r="X1649" s="16"/>
      <c r="Y1649" s="17"/>
    </row>
    <row r="1650" spans="14:25" x14ac:dyDescent="0.25">
      <c r="N1650" s="61"/>
      <c r="O1650" s="61"/>
      <c r="P1650" s="62"/>
      <c r="Q1650" s="13"/>
      <c r="R1650" s="13"/>
      <c r="S1650" s="14"/>
      <c r="T1650" s="1"/>
      <c r="U1650" s="15"/>
      <c r="V1650" s="1"/>
      <c r="W1650" s="15"/>
      <c r="X1650" s="16"/>
      <c r="Y1650" s="17"/>
    </row>
    <row r="1651" spans="14:25" x14ac:dyDescent="0.25">
      <c r="N1651" s="61"/>
      <c r="O1651" s="61"/>
      <c r="P1651" s="62"/>
      <c r="Q1651" s="13"/>
      <c r="R1651" s="13"/>
      <c r="S1651" s="14"/>
      <c r="T1651" s="1"/>
      <c r="U1651" s="15"/>
      <c r="V1651" s="1"/>
      <c r="W1651" s="15"/>
      <c r="X1651" s="16"/>
      <c r="Y1651" s="17"/>
    </row>
    <row r="1652" spans="14:25" x14ac:dyDescent="0.25">
      <c r="N1652" s="61"/>
      <c r="O1652" s="61"/>
      <c r="P1652" s="62"/>
      <c r="Q1652" s="13"/>
      <c r="R1652" s="13"/>
      <c r="S1652" s="14"/>
      <c r="T1652" s="1"/>
      <c r="U1652" s="15"/>
      <c r="V1652" s="1"/>
      <c r="W1652" s="15"/>
      <c r="X1652" s="16"/>
      <c r="Y1652" s="17"/>
    </row>
    <row r="1653" spans="14:25" x14ac:dyDescent="0.25">
      <c r="N1653" s="61"/>
      <c r="O1653" s="61"/>
      <c r="P1653" s="62"/>
      <c r="Q1653" s="13"/>
      <c r="R1653" s="13"/>
      <c r="S1653" s="14"/>
      <c r="T1653" s="1"/>
      <c r="U1653" s="15"/>
      <c r="V1653" s="1"/>
      <c r="W1653" s="15"/>
      <c r="X1653" s="16"/>
      <c r="Y1653" s="17"/>
    </row>
    <row r="1654" spans="14:25" x14ac:dyDescent="0.25">
      <c r="N1654" s="61"/>
      <c r="O1654" s="61"/>
      <c r="P1654" s="62"/>
      <c r="Q1654" s="13"/>
      <c r="R1654" s="13"/>
      <c r="S1654" s="14"/>
      <c r="T1654" s="1"/>
      <c r="U1654" s="15"/>
      <c r="V1654" s="1"/>
      <c r="W1654" s="15"/>
      <c r="X1654" s="16"/>
      <c r="Y1654" s="17"/>
    </row>
    <row r="1655" spans="14:25" x14ac:dyDescent="0.25">
      <c r="N1655" s="61"/>
      <c r="O1655" s="61"/>
      <c r="P1655" s="62"/>
      <c r="Q1655" s="13"/>
      <c r="R1655" s="13"/>
      <c r="S1655" s="14"/>
      <c r="T1655" s="1"/>
      <c r="U1655" s="15"/>
      <c r="V1655" s="1"/>
      <c r="W1655" s="15"/>
      <c r="X1655" s="16"/>
      <c r="Y1655" s="17"/>
    </row>
    <row r="1656" spans="14:25" x14ac:dyDescent="0.25">
      <c r="N1656" s="61"/>
      <c r="O1656" s="61"/>
      <c r="P1656" s="62"/>
      <c r="Q1656" s="13"/>
      <c r="R1656" s="13"/>
      <c r="S1656" s="14"/>
      <c r="T1656" s="1"/>
      <c r="U1656" s="15"/>
      <c r="V1656" s="1"/>
      <c r="W1656" s="15"/>
      <c r="X1656" s="16"/>
      <c r="Y1656" s="17"/>
    </row>
    <row r="1657" spans="14:25" x14ac:dyDescent="0.25">
      <c r="N1657" s="61"/>
      <c r="O1657" s="61"/>
      <c r="P1657" s="62"/>
      <c r="Q1657" s="13"/>
      <c r="R1657" s="13"/>
      <c r="S1657" s="14"/>
      <c r="T1657" s="1"/>
      <c r="U1657" s="15"/>
      <c r="V1657" s="1"/>
      <c r="W1657" s="15"/>
      <c r="X1657" s="16"/>
      <c r="Y1657" s="17"/>
    </row>
    <row r="1658" spans="14:25" x14ac:dyDescent="0.25">
      <c r="N1658" s="61"/>
      <c r="O1658" s="61"/>
      <c r="P1658" s="62"/>
      <c r="Q1658" s="13"/>
      <c r="R1658" s="13"/>
      <c r="S1658" s="14"/>
      <c r="T1658" s="1"/>
      <c r="U1658" s="15"/>
      <c r="V1658" s="1"/>
      <c r="W1658" s="15"/>
      <c r="X1658" s="16"/>
      <c r="Y1658" s="17"/>
    </row>
    <row r="1659" spans="14:25" x14ac:dyDescent="0.25">
      <c r="N1659" s="61"/>
      <c r="O1659" s="61"/>
      <c r="P1659" s="62"/>
      <c r="Q1659" s="13"/>
      <c r="R1659" s="13"/>
      <c r="S1659" s="14"/>
      <c r="T1659" s="1"/>
      <c r="U1659" s="15"/>
      <c r="V1659" s="1"/>
      <c r="W1659" s="15"/>
      <c r="X1659" s="16"/>
      <c r="Y1659" s="17"/>
    </row>
    <row r="1660" spans="14:25" x14ac:dyDescent="0.25">
      <c r="N1660" s="61"/>
      <c r="O1660" s="61"/>
      <c r="P1660" s="62"/>
      <c r="Q1660" s="13"/>
      <c r="R1660" s="13"/>
      <c r="S1660" s="14"/>
      <c r="T1660" s="1"/>
      <c r="U1660" s="15"/>
      <c r="V1660" s="1"/>
      <c r="W1660" s="15"/>
      <c r="X1660" s="16"/>
      <c r="Y1660" s="17"/>
    </row>
    <row r="1661" spans="14:25" x14ac:dyDescent="0.25">
      <c r="N1661" s="61"/>
      <c r="O1661" s="61"/>
      <c r="P1661" s="62"/>
      <c r="Q1661" s="13"/>
      <c r="R1661" s="13"/>
      <c r="S1661" s="14"/>
      <c r="T1661" s="1"/>
      <c r="U1661" s="15"/>
      <c r="V1661" s="1"/>
      <c r="W1661" s="15"/>
      <c r="X1661" s="16"/>
      <c r="Y1661" s="17"/>
    </row>
    <row r="1662" spans="14:25" x14ac:dyDescent="0.25">
      <c r="N1662" s="61"/>
      <c r="O1662" s="61"/>
      <c r="P1662" s="62"/>
      <c r="Q1662" s="13"/>
      <c r="R1662" s="13"/>
      <c r="S1662" s="14"/>
      <c r="T1662" s="1"/>
      <c r="U1662" s="15"/>
      <c r="V1662" s="1"/>
      <c r="W1662" s="15"/>
      <c r="X1662" s="16"/>
      <c r="Y1662" s="17"/>
    </row>
    <row r="1663" spans="14:25" x14ac:dyDescent="0.25">
      <c r="N1663" s="61"/>
      <c r="O1663" s="61"/>
      <c r="P1663" s="62"/>
      <c r="Q1663" s="13"/>
      <c r="R1663" s="13"/>
      <c r="S1663" s="14"/>
      <c r="T1663" s="1"/>
      <c r="U1663" s="15"/>
      <c r="V1663" s="1"/>
      <c r="W1663" s="15"/>
      <c r="X1663" s="16"/>
      <c r="Y1663" s="17"/>
    </row>
    <row r="1664" spans="14:25" x14ac:dyDescent="0.25">
      <c r="N1664" s="61"/>
      <c r="O1664" s="61"/>
      <c r="P1664" s="62"/>
      <c r="Q1664" s="13"/>
      <c r="R1664" s="13"/>
      <c r="S1664" s="14"/>
      <c r="T1664" s="1"/>
      <c r="U1664" s="15"/>
      <c r="V1664" s="1"/>
      <c r="W1664" s="15"/>
      <c r="X1664" s="16"/>
      <c r="Y1664" s="17"/>
    </row>
    <row r="1665" spans="14:25" x14ac:dyDescent="0.25">
      <c r="N1665" s="61"/>
      <c r="O1665" s="61"/>
      <c r="P1665" s="62"/>
      <c r="Q1665" s="13"/>
      <c r="R1665" s="13"/>
      <c r="S1665" s="14"/>
      <c r="T1665" s="1"/>
      <c r="U1665" s="15"/>
      <c r="V1665" s="1"/>
      <c r="W1665" s="15"/>
      <c r="X1665" s="16"/>
      <c r="Y1665" s="17"/>
    </row>
    <row r="1666" spans="14:25" x14ac:dyDescent="0.25">
      <c r="N1666" s="61"/>
      <c r="O1666" s="61"/>
      <c r="P1666" s="62"/>
      <c r="Q1666" s="13"/>
      <c r="R1666" s="13"/>
      <c r="S1666" s="14"/>
      <c r="T1666" s="1"/>
      <c r="U1666" s="15"/>
      <c r="V1666" s="1"/>
      <c r="W1666" s="15"/>
      <c r="X1666" s="16"/>
      <c r="Y1666" s="17"/>
    </row>
    <row r="1667" spans="14:25" x14ac:dyDescent="0.25">
      <c r="N1667" s="61"/>
      <c r="O1667" s="61"/>
      <c r="P1667" s="62"/>
      <c r="Q1667" s="13"/>
      <c r="R1667" s="13"/>
      <c r="S1667" s="14"/>
      <c r="T1667" s="1"/>
      <c r="U1667" s="15"/>
      <c r="V1667" s="1"/>
      <c r="W1667" s="15"/>
      <c r="X1667" s="16"/>
      <c r="Y1667" s="17"/>
    </row>
    <row r="1668" spans="14:25" x14ac:dyDescent="0.25">
      <c r="N1668" s="61"/>
      <c r="O1668" s="61"/>
      <c r="P1668" s="62"/>
      <c r="Q1668" s="13"/>
      <c r="R1668" s="13"/>
      <c r="S1668" s="14"/>
      <c r="T1668" s="1"/>
      <c r="U1668" s="15"/>
      <c r="V1668" s="1"/>
      <c r="W1668" s="15"/>
      <c r="X1668" s="16"/>
      <c r="Y1668" s="17"/>
    </row>
    <row r="1669" spans="14:25" x14ac:dyDescent="0.25">
      <c r="N1669" s="61"/>
      <c r="O1669" s="61"/>
      <c r="P1669" s="62"/>
      <c r="Q1669" s="13"/>
      <c r="R1669" s="13"/>
      <c r="S1669" s="14"/>
      <c r="T1669" s="1"/>
      <c r="U1669" s="15"/>
      <c r="V1669" s="1"/>
      <c r="W1669" s="15"/>
      <c r="X1669" s="16"/>
      <c r="Y1669" s="17"/>
    </row>
    <row r="1670" spans="14:25" x14ac:dyDescent="0.25">
      <c r="N1670" s="61"/>
      <c r="O1670" s="61"/>
      <c r="P1670" s="62"/>
      <c r="Q1670" s="13"/>
      <c r="R1670" s="13"/>
      <c r="S1670" s="14"/>
      <c r="T1670" s="1"/>
      <c r="U1670" s="15"/>
      <c r="V1670" s="1"/>
      <c r="W1670" s="15"/>
      <c r="X1670" s="16"/>
      <c r="Y1670" s="17"/>
    </row>
    <row r="1671" spans="14:25" x14ac:dyDescent="0.25">
      <c r="N1671" s="61"/>
      <c r="O1671" s="61"/>
      <c r="P1671" s="62"/>
      <c r="Q1671" s="13"/>
      <c r="R1671" s="13"/>
      <c r="S1671" s="14"/>
      <c r="T1671" s="1"/>
      <c r="U1671" s="15"/>
      <c r="V1671" s="1"/>
      <c r="W1671" s="15"/>
      <c r="X1671" s="16"/>
      <c r="Y1671" s="17"/>
    </row>
    <row r="1672" spans="14:25" x14ac:dyDescent="0.25">
      <c r="N1672" s="61"/>
      <c r="O1672" s="61"/>
      <c r="P1672" s="62"/>
      <c r="Q1672" s="13"/>
      <c r="R1672" s="13"/>
      <c r="S1672" s="14"/>
      <c r="T1672" s="1"/>
      <c r="U1672" s="15"/>
      <c r="V1672" s="1"/>
      <c r="W1672" s="15"/>
      <c r="X1672" s="16"/>
      <c r="Y1672" s="17"/>
    </row>
    <row r="1673" spans="14:25" x14ac:dyDescent="0.25">
      <c r="N1673" s="61"/>
      <c r="O1673" s="61"/>
      <c r="P1673" s="62"/>
      <c r="Q1673" s="13"/>
      <c r="R1673" s="13"/>
      <c r="S1673" s="14"/>
      <c r="T1673" s="1"/>
      <c r="U1673" s="15"/>
      <c r="V1673" s="1"/>
      <c r="W1673" s="15"/>
      <c r="X1673" s="16"/>
      <c r="Y1673" s="17"/>
    </row>
    <row r="1674" spans="14:25" x14ac:dyDescent="0.25">
      <c r="N1674" s="61"/>
      <c r="O1674" s="61"/>
      <c r="P1674" s="62"/>
      <c r="Q1674" s="13"/>
      <c r="R1674" s="13"/>
      <c r="S1674" s="14"/>
      <c r="T1674" s="1"/>
      <c r="U1674" s="15"/>
      <c r="V1674" s="1"/>
      <c r="W1674" s="15"/>
      <c r="X1674" s="16"/>
      <c r="Y1674" s="17"/>
    </row>
    <row r="1675" spans="14:25" x14ac:dyDescent="0.25">
      <c r="N1675" s="61"/>
      <c r="O1675" s="61"/>
      <c r="P1675" s="62"/>
      <c r="Q1675" s="13"/>
      <c r="R1675" s="13"/>
      <c r="S1675" s="14"/>
      <c r="T1675" s="1"/>
      <c r="U1675" s="15"/>
      <c r="V1675" s="1"/>
      <c r="W1675" s="15"/>
      <c r="X1675" s="16"/>
      <c r="Y1675" s="17"/>
    </row>
    <row r="1676" spans="14:25" x14ac:dyDescent="0.25">
      <c r="N1676" s="61"/>
      <c r="O1676" s="61"/>
      <c r="P1676" s="62"/>
      <c r="Q1676" s="13"/>
      <c r="R1676" s="13"/>
      <c r="S1676" s="14"/>
      <c r="T1676" s="1"/>
      <c r="U1676" s="15"/>
      <c r="V1676" s="1"/>
      <c r="W1676" s="15"/>
      <c r="X1676" s="16"/>
      <c r="Y1676" s="17"/>
    </row>
    <row r="1677" spans="14:25" x14ac:dyDescent="0.25">
      <c r="N1677" s="61"/>
      <c r="O1677" s="61"/>
      <c r="P1677" s="62"/>
      <c r="Q1677" s="13"/>
      <c r="R1677" s="13"/>
      <c r="S1677" s="14"/>
      <c r="T1677" s="1"/>
      <c r="U1677" s="15"/>
      <c r="V1677" s="1"/>
      <c r="W1677" s="15"/>
      <c r="X1677" s="16"/>
      <c r="Y1677" s="17"/>
    </row>
    <row r="1678" spans="14:25" x14ac:dyDescent="0.25">
      <c r="N1678" s="61"/>
      <c r="O1678" s="61"/>
      <c r="P1678" s="62"/>
      <c r="Q1678" s="13"/>
      <c r="R1678" s="13"/>
      <c r="S1678" s="14"/>
      <c r="T1678" s="1"/>
      <c r="U1678" s="15"/>
      <c r="V1678" s="1"/>
      <c r="W1678" s="15"/>
      <c r="X1678" s="16"/>
      <c r="Y1678" s="17"/>
    </row>
    <row r="1679" spans="14:25" x14ac:dyDescent="0.25">
      <c r="N1679" s="61"/>
      <c r="O1679" s="61"/>
      <c r="P1679" s="62"/>
      <c r="Q1679" s="13"/>
      <c r="R1679" s="13"/>
      <c r="S1679" s="14"/>
      <c r="T1679" s="1"/>
      <c r="U1679" s="15"/>
      <c r="V1679" s="1"/>
      <c r="W1679" s="15"/>
      <c r="X1679" s="16"/>
      <c r="Y1679" s="17"/>
    </row>
    <row r="1680" spans="14:25" x14ac:dyDescent="0.25">
      <c r="N1680" s="61"/>
      <c r="O1680" s="61"/>
      <c r="P1680" s="62"/>
      <c r="Q1680" s="13"/>
      <c r="R1680" s="13"/>
      <c r="S1680" s="14"/>
      <c r="T1680" s="1"/>
      <c r="U1680" s="15"/>
      <c r="V1680" s="1"/>
      <c r="W1680" s="15"/>
      <c r="X1680" s="16"/>
      <c r="Y1680" s="17"/>
    </row>
    <row r="1681" spans="14:25" x14ac:dyDescent="0.25">
      <c r="N1681" s="61"/>
      <c r="O1681" s="61"/>
      <c r="P1681" s="62"/>
      <c r="Q1681" s="13"/>
      <c r="R1681" s="13"/>
      <c r="S1681" s="14"/>
      <c r="T1681" s="1"/>
      <c r="U1681" s="15"/>
      <c r="V1681" s="1"/>
      <c r="W1681" s="15"/>
      <c r="X1681" s="16"/>
      <c r="Y1681" s="17"/>
    </row>
    <row r="1682" spans="14:25" x14ac:dyDescent="0.25">
      <c r="N1682" s="61"/>
      <c r="O1682" s="61"/>
      <c r="P1682" s="62"/>
      <c r="Q1682" s="13"/>
      <c r="R1682" s="13"/>
      <c r="S1682" s="14"/>
      <c r="T1682" s="1"/>
      <c r="U1682" s="15"/>
      <c r="V1682" s="1"/>
      <c r="W1682" s="15"/>
      <c r="X1682" s="16"/>
      <c r="Y1682" s="17"/>
    </row>
    <row r="1683" spans="14:25" x14ac:dyDescent="0.25">
      <c r="N1683" s="61"/>
      <c r="O1683" s="61"/>
      <c r="P1683" s="62"/>
      <c r="Q1683" s="13"/>
      <c r="R1683" s="13"/>
      <c r="S1683" s="14"/>
      <c r="T1683" s="1"/>
      <c r="U1683" s="15"/>
      <c r="V1683" s="1"/>
      <c r="W1683" s="15"/>
      <c r="X1683" s="16"/>
      <c r="Y1683" s="17"/>
    </row>
    <row r="1684" spans="14:25" x14ac:dyDescent="0.25">
      <c r="N1684" s="61"/>
      <c r="O1684" s="61"/>
      <c r="P1684" s="62"/>
      <c r="Q1684" s="13"/>
      <c r="R1684" s="13"/>
      <c r="S1684" s="14"/>
      <c r="T1684" s="1"/>
      <c r="U1684" s="15"/>
      <c r="V1684" s="1"/>
      <c r="W1684" s="15"/>
      <c r="X1684" s="16"/>
      <c r="Y1684" s="17"/>
    </row>
    <row r="1685" spans="14:25" x14ac:dyDescent="0.25">
      <c r="N1685" s="61"/>
      <c r="O1685" s="61"/>
      <c r="P1685" s="62"/>
      <c r="Q1685" s="13"/>
      <c r="R1685" s="13"/>
      <c r="S1685" s="14"/>
      <c r="T1685" s="1"/>
      <c r="U1685" s="15"/>
      <c r="V1685" s="1"/>
      <c r="W1685" s="15"/>
      <c r="X1685" s="16"/>
      <c r="Y1685" s="17"/>
    </row>
    <row r="1686" spans="14:25" x14ac:dyDescent="0.25">
      <c r="N1686" s="61"/>
      <c r="O1686" s="61"/>
      <c r="P1686" s="62"/>
      <c r="Q1686" s="13"/>
      <c r="R1686" s="13"/>
      <c r="S1686" s="14"/>
      <c r="T1686" s="1"/>
      <c r="U1686" s="15"/>
      <c r="V1686" s="1"/>
      <c r="W1686" s="15"/>
      <c r="X1686" s="16"/>
      <c r="Y1686" s="17"/>
    </row>
    <row r="1687" spans="14:25" x14ac:dyDescent="0.25">
      <c r="N1687" s="61"/>
      <c r="O1687" s="61"/>
      <c r="P1687" s="62"/>
      <c r="Q1687" s="13"/>
      <c r="R1687" s="13"/>
      <c r="S1687" s="14"/>
      <c r="T1687" s="1"/>
      <c r="U1687" s="15"/>
      <c r="V1687" s="1"/>
      <c r="W1687" s="15"/>
      <c r="X1687" s="16"/>
      <c r="Y1687" s="17"/>
    </row>
    <row r="1688" spans="14:25" x14ac:dyDescent="0.25">
      <c r="N1688" s="61"/>
      <c r="O1688" s="61"/>
      <c r="P1688" s="62"/>
      <c r="Q1688" s="13"/>
      <c r="R1688" s="13"/>
      <c r="S1688" s="14"/>
      <c r="T1688" s="1"/>
      <c r="U1688" s="15"/>
      <c r="V1688" s="1"/>
      <c r="W1688" s="15"/>
      <c r="X1688" s="16"/>
      <c r="Y1688" s="17"/>
    </row>
    <row r="1689" spans="14:25" x14ac:dyDescent="0.25">
      <c r="N1689" s="61"/>
      <c r="O1689" s="61"/>
      <c r="P1689" s="62"/>
      <c r="Q1689" s="13"/>
      <c r="R1689" s="13"/>
      <c r="S1689" s="14"/>
      <c r="T1689" s="1"/>
      <c r="U1689" s="15"/>
      <c r="V1689" s="1"/>
      <c r="W1689" s="15"/>
      <c r="X1689" s="16"/>
      <c r="Y1689" s="17"/>
    </row>
    <row r="1690" spans="14:25" x14ac:dyDescent="0.25">
      <c r="N1690" s="61"/>
      <c r="O1690" s="61"/>
      <c r="P1690" s="62"/>
      <c r="Q1690" s="13"/>
      <c r="R1690" s="13"/>
      <c r="S1690" s="14"/>
      <c r="T1690" s="1"/>
      <c r="U1690" s="15"/>
      <c r="V1690" s="1"/>
      <c r="W1690" s="15"/>
      <c r="X1690" s="16"/>
      <c r="Y1690" s="17"/>
    </row>
    <row r="1691" spans="14:25" x14ac:dyDescent="0.25">
      <c r="N1691" s="61"/>
      <c r="O1691" s="61"/>
      <c r="P1691" s="62"/>
      <c r="Q1691" s="13"/>
      <c r="R1691" s="13"/>
      <c r="S1691" s="14"/>
      <c r="T1691" s="1"/>
      <c r="U1691" s="15"/>
      <c r="V1691" s="1"/>
      <c r="W1691" s="15"/>
      <c r="X1691" s="16"/>
      <c r="Y1691" s="17"/>
    </row>
    <row r="1692" spans="14:25" x14ac:dyDescent="0.25">
      <c r="N1692" s="61"/>
      <c r="O1692" s="61"/>
      <c r="P1692" s="62"/>
      <c r="Q1692" s="13"/>
      <c r="R1692" s="13"/>
      <c r="S1692" s="14"/>
      <c r="T1692" s="1"/>
      <c r="U1692" s="15"/>
      <c r="V1692" s="1"/>
      <c r="W1692" s="15"/>
      <c r="X1692" s="16"/>
      <c r="Y1692" s="17"/>
    </row>
    <row r="1693" spans="14:25" x14ac:dyDescent="0.25">
      <c r="N1693" s="61"/>
      <c r="O1693" s="61"/>
      <c r="P1693" s="62"/>
      <c r="Q1693" s="13"/>
      <c r="R1693" s="13"/>
      <c r="S1693" s="14"/>
      <c r="T1693" s="1"/>
      <c r="U1693" s="15"/>
      <c r="V1693" s="1"/>
      <c r="W1693" s="15"/>
      <c r="X1693" s="16"/>
      <c r="Y1693" s="17"/>
    </row>
    <row r="1694" spans="14:25" x14ac:dyDescent="0.25">
      <c r="N1694" s="61"/>
      <c r="O1694" s="61"/>
      <c r="P1694" s="62"/>
      <c r="Q1694" s="13"/>
      <c r="R1694" s="13"/>
      <c r="S1694" s="14"/>
      <c r="T1694" s="1"/>
      <c r="U1694" s="15"/>
      <c r="V1694" s="1"/>
      <c r="W1694" s="15"/>
      <c r="X1694" s="16"/>
      <c r="Y1694" s="17"/>
    </row>
    <row r="1695" spans="14:25" x14ac:dyDescent="0.25">
      <c r="N1695" s="61"/>
      <c r="O1695" s="61"/>
      <c r="P1695" s="62"/>
      <c r="Q1695" s="13"/>
      <c r="R1695" s="13"/>
      <c r="S1695" s="14"/>
      <c r="T1695" s="1"/>
      <c r="U1695" s="15"/>
      <c r="V1695" s="1"/>
      <c r="W1695" s="15"/>
      <c r="X1695" s="16"/>
      <c r="Y1695" s="17"/>
    </row>
    <row r="1696" spans="14:25" x14ac:dyDescent="0.25">
      <c r="N1696" s="61"/>
      <c r="O1696" s="61"/>
      <c r="P1696" s="62"/>
      <c r="Q1696" s="13"/>
      <c r="R1696" s="13"/>
      <c r="S1696" s="14"/>
      <c r="T1696" s="1"/>
      <c r="U1696" s="15"/>
      <c r="V1696" s="1"/>
      <c r="W1696" s="15"/>
      <c r="X1696" s="16"/>
      <c r="Y1696" s="17"/>
    </row>
    <row r="1697" spans="14:25" x14ac:dyDescent="0.25">
      <c r="N1697" s="61"/>
      <c r="O1697" s="61"/>
      <c r="P1697" s="62"/>
      <c r="Q1697" s="13"/>
      <c r="R1697" s="13"/>
      <c r="S1697" s="14"/>
      <c r="T1697" s="1"/>
      <c r="U1697" s="15"/>
      <c r="V1697" s="1"/>
      <c r="W1697" s="15"/>
      <c r="X1697" s="16"/>
      <c r="Y1697" s="17"/>
    </row>
    <row r="1698" spans="14:25" x14ac:dyDescent="0.25">
      <c r="N1698" s="61"/>
      <c r="O1698" s="61"/>
      <c r="P1698" s="62"/>
      <c r="Q1698" s="13"/>
      <c r="R1698" s="13"/>
      <c r="S1698" s="14"/>
      <c r="T1698" s="1"/>
      <c r="U1698" s="15"/>
      <c r="V1698" s="1"/>
      <c r="W1698" s="15"/>
      <c r="X1698" s="16"/>
      <c r="Y1698" s="17"/>
    </row>
    <row r="1699" spans="14:25" x14ac:dyDescent="0.25">
      <c r="N1699" s="61"/>
      <c r="O1699" s="61"/>
      <c r="P1699" s="62"/>
      <c r="Q1699" s="13"/>
      <c r="R1699" s="13"/>
      <c r="S1699" s="14"/>
      <c r="T1699" s="1"/>
      <c r="U1699" s="15"/>
      <c r="V1699" s="1"/>
      <c r="W1699" s="15"/>
      <c r="X1699" s="16"/>
      <c r="Y1699" s="17"/>
    </row>
    <row r="1700" spans="14:25" x14ac:dyDescent="0.25">
      <c r="N1700" s="61"/>
      <c r="O1700" s="61"/>
      <c r="P1700" s="62"/>
      <c r="Q1700" s="13"/>
      <c r="R1700" s="13"/>
      <c r="S1700" s="14"/>
      <c r="T1700" s="1"/>
      <c r="U1700" s="15"/>
      <c r="V1700" s="1"/>
      <c r="W1700" s="15"/>
      <c r="X1700" s="16"/>
      <c r="Y1700" s="17"/>
    </row>
    <row r="1701" spans="14:25" x14ac:dyDescent="0.25">
      <c r="N1701" s="61"/>
      <c r="O1701" s="61"/>
      <c r="P1701" s="62"/>
      <c r="Q1701" s="13"/>
      <c r="R1701" s="13"/>
      <c r="S1701" s="14"/>
      <c r="T1701" s="1"/>
      <c r="U1701" s="15"/>
      <c r="V1701" s="1"/>
      <c r="W1701" s="15"/>
      <c r="X1701" s="16"/>
      <c r="Y1701" s="17"/>
    </row>
    <row r="1702" spans="14:25" x14ac:dyDescent="0.25">
      <c r="N1702" s="61"/>
      <c r="O1702" s="61"/>
      <c r="P1702" s="62"/>
      <c r="Q1702" s="13"/>
      <c r="R1702" s="13"/>
      <c r="S1702" s="14"/>
      <c r="T1702" s="1"/>
      <c r="U1702" s="15"/>
      <c r="V1702" s="1"/>
      <c r="W1702" s="15"/>
      <c r="X1702" s="16"/>
      <c r="Y1702" s="17"/>
    </row>
    <row r="1703" spans="14:25" x14ac:dyDescent="0.25">
      <c r="N1703" s="61"/>
      <c r="O1703" s="61"/>
      <c r="P1703" s="62"/>
      <c r="Q1703" s="13"/>
      <c r="R1703" s="13"/>
      <c r="S1703" s="14"/>
      <c r="T1703" s="1"/>
      <c r="U1703" s="15"/>
      <c r="V1703" s="1"/>
      <c r="W1703" s="15"/>
      <c r="X1703" s="16"/>
      <c r="Y1703" s="17"/>
    </row>
    <row r="1704" spans="14:25" x14ac:dyDescent="0.25">
      <c r="N1704" s="61"/>
      <c r="O1704" s="61"/>
      <c r="P1704" s="62"/>
      <c r="Q1704" s="13"/>
      <c r="R1704" s="13"/>
      <c r="S1704" s="14"/>
      <c r="T1704" s="1"/>
      <c r="U1704" s="15"/>
      <c r="V1704" s="1"/>
      <c r="W1704" s="15"/>
      <c r="X1704" s="16"/>
      <c r="Y1704" s="17"/>
    </row>
    <row r="1705" spans="14:25" x14ac:dyDescent="0.25">
      <c r="N1705" s="61"/>
      <c r="O1705" s="61"/>
      <c r="P1705" s="62"/>
      <c r="Q1705" s="13"/>
      <c r="R1705" s="13"/>
      <c r="S1705" s="14"/>
      <c r="T1705" s="1"/>
      <c r="U1705" s="15"/>
      <c r="V1705" s="1"/>
      <c r="W1705" s="15"/>
      <c r="X1705" s="16"/>
      <c r="Y1705" s="17"/>
    </row>
    <row r="1706" spans="14:25" x14ac:dyDescent="0.25">
      <c r="N1706" s="61"/>
      <c r="O1706" s="61"/>
      <c r="P1706" s="62"/>
      <c r="Q1706" s="13"/>
      <c r="R1706" s="13"/>
      <c r="S1706" s="14"/>
      <c r="T1706" s="1"/>
      <c r="U1706" s="15"/>
      <c r="V1706" s="1"/>
      <c r="W1706" s="15"/>
      <c r="X1706" s="16"/>
      <c r="Y1706" s="17"/>
    </row>
    <row r="1707" spans="14:25" x14ac:dyDescent="0.25">
      <c r="N1707" s="61"/>
      <c r="O1707" s="61"/>
      <c r="P1707" s="62"/>
      <c r="Q1707" s="13"/>
      <c r="R1707" s="13"/>
      <c r="S1707" s="14"/>
      <c r="T1707" s="1"/>
      <c r="U1707" s="15"/>
      <c r="V1707" s="1"/>
      <c r="W1707" s="15"/>
      <c r="X1707" s="16"/>
      <c r="Y1707" s="17"/>
    </row>
    <row r="1708" spans="14:25" x14ac:dyDescent="0.25">
      <c r="N1708" s="61"/>
      <c r="O1708" s="61"/>
      <c r="P1708" s="62"/>
      <c r="Q1708" s="13"/>
      <c r="R1708" s="13"/>
      <c r="S1708" s="14"/>
      <c r="T1708" s="1"/>
      <c r="U1708" s="15"/>
      <c r="V1708" s="1"/>
      <c r="W1708" s="15"/>
      <c r="X1708" s="16"/>
      <c r="Y1708" s="17"/>
    </row>
    <row r="1709" spans="14:25" x14ac:dyDescent="0.25">
      <c r="N1709" s="61"/>
      <c r="O1709" s="61"/>
      <c r="P1709" s="62"/>
      <c r="Q1709" s="13"/>
      <c r="R1709" s="13"/>
      <c r="S1709" s="14"/>
      <c r="T1709" s="1"/>
      <c r="U1709" s="15"/>
      <c r="V1709" s="1"/>
      <c r="W1709" s="15"/>
      <c r="X1709" s="16"/>
      <c r="Y1709" s="17"/>
    </row>
    <row r="1710" spans="14:25" x14ac:dyDescent="0.25">
      <c r="N1710" s="61"/>
      <c r="O1710" s="61"/>
      <c r="P1710" s="62"/>
      <c r="Q1710" s="13"/>
      <c r="R1710" s="13"/>
      <c r="S1710" s="14"/>
      <c r="T1710" s="1"/>
      <c r="U1710" s="15"/>
      <c r="V1710" s="1"/>
      <c r="W1710" s="15"/>
      <c r="X1710" s="16"/>
      <c r="Y1710" s="17"/>
    </row>
    <row r="1711" spans="14:25" x14ac:dyDescent="0.25">
      <c r="N1711" s="61"/>
      <c r="O1711" s="61"/>
      <c r="P1711" s="62"/>
      <c r="Q1711" s="13"/>
      <c r="R1711" s="13"/>
      <c r="S1711" s="14"/>
      <c r="T1711" s="1"/>
      <c r="U1711" s="15"/>
      <c r="V1711" s="1"/>
      <c r="W1711" s="15"/>
      <c r="X1711" s="16"/>
      <c r="Y1711" s="17"/>
    </row>
    <row r="1712" spans="14:25" x14ac:dyDescent="0.25">
      <c r="N1712" s="61"/>
      <c r="O1712" s="61"/>
      <c r="P1712" s="62"/>
      <c r="Q1712" s="13"/>
      <c r="R1712" s="13"/>
      <c r="S1712" s="14"/>
      <c r="T1712" s="1"/>
      <c r="U1712" s="15"/>
      <c r="V1712" s="1"/>
      <c r="W1712" s="15"/>
      <c r="X1712" s="16"/>
      <c r="Y1712" s="17"/>
    </row>
    <row r="1713" spans="14:25" x14ac:dyDescent="0.25">
      <c r="N1713" s="61"/>
      <c r="O1713" s="61"/>
      <c r="P1713" s="62"/>
      <c r="Q1713" s="13"/>
      <c r="R1713" s="13"/>
      <c r="S1713" s="14"/>
      <c r="T1713" s="1"/>
      <c r="U1713" s="15"/>
      <c r="V1713" s="1"/>
      <c r="W1713" s="15"/>
      <c r="X1713" s="16"/>
      <c r="Y1713" s="17"/>
    </row>
    <row r="1714" spans="14:25" x14ac:dyDescent="0.25">
      <c r="N1714" s="61"/>
      <c r="O1714" s="61"/>
      <c r="P1714" s="62"/>
      <c r="Q1714" s="13"/>
      <c r="R1714" s="13"/>
      <c r="S1714" s="14"/>
      <c r="T1714" s="1"/>
      <c r="U1714" s="15"/>
      <c r="V1714" s="1"/>
      <c r="W1714" s="15"/>
      <c r="X1714" s="16"/>
      <c r="Y1714" s="17"/>
    </row>
    <row r="1715" spans="14:25" x14ac:dyDescent="0.25">
      <c r="N1715" s="61"/>
      <c r="O1715" s="61"/>
      <c r="P1715" s="62"/>
      <c r="Q1715" s="13"/>
      <c r="R1715" s="13"/>
      <c r="S1715" s="14"/>
      <c r="T1715" s="1"/>
      <c r="U1715" s="15"/>
      <c r="V1715" s="1"/>
      <c r="W1715" s="15"/>
      <c r="X1715" s="16"/>
      <c r="Y1715" s="17"/>
    </row>
    <row r="1716" spans="14:25" x14ac:dyDescent="0.25">
      <c r="N1716" s="61"/>
      <c r="O1716" s="61"/>
      <c r="P1716" s="62"/>
      <c r="Q1716" s="13"/>
      <c r="R1716" s="13"/>
      <c r="S1716" s="14"/>
      <c r="T1716" s="1"/>
      <c r="U1716" s="15"/>
      <c r="V1716" s="1"/>
      <c r="W1716" s="15"/>
      <c r="X1716" s="16"/>
      <c r="Y1716" s="17"/>
    </row>
    <row r="1717" spans="14:25" x14ac:dyDescent="0.25">
      <c r="N1717" s="61"/>
      <c r="O1717" s="61"/>
      <c r="P1717" s="62"/>
      <c r="Q1717" s="13"/>
      <c r="R1717" s="13"/>
      <c r="S1717" s="14"/>
      <c r="T1717" s="1"/>
      <c r="U1717" s="15"/>
      <c r="V1717" s="1"/>
      <c r="W1717" s="15"/>
      <c r="X1717" s="16"/>
      <c r="Y1717" s="17"/>
    </row>
    <row r="1718" spans="14:25" x14ac:dyDescent="0.25">
      <c r="N1718" s="61"/>
      <c r="O1718" s="61"/>
      <c r="P1718" s="62"/>
      <c r="Q1718" s="13"/>
      <c r="R1718" s="13"/>
      <c r="S1718" s="14"/>
      <c r="T1718" s="1"/>
      <c r="U1718" s="15"/>
      <c r="V1718" s="1"/>
      <c r="W1718" s="15"/>
      <c r="X1718" s="16"/>
      <c r="Y1718" s="17"/>
    </row>
    <row r="1719" spans="14:25" x14ac:dyDescent="0.25">
      <c r="N1719" s="61"/>
      <c r="O1719" s="61"/>
      <c r="P1719" s="62"/>
      <c r="Q1719" s="13"/>
      <c r="R1719" s="13"/>
      <c r="S1719" s="14"/>
      <c r="T1719" s="1"/>
      <c r="U1719" s="15"/>
      <c r="V1719" s="1"/>
      <c r="W1719" s="15"/>
      <c r="X1719" s="16"/>
      <c r="Y1719" s="17"/>
    </row>
    <row r="1720" spans="14:25" x14ac:dyDescent="0.25">
      <c r="N1720" s="61"/>
      <c r="O1720" s="61"/>
      <c r="P1720" s="62"/>
      <c r="Q1720" s="13"/>
      <c r="R1720" s="13"/>
      <c r="S1720" s="14"/>
      <c r="T1720" s="1"/>
      <c r="U1720" s="15"/>
      <c r="V1720" s="1"/>
      <c r="W1720" s="15"/>
      <c r="X1720" s="16"/>
      <c r="Y1720" s="17"/>
    </row>
    <row r="1721" spans="14:25" x14ac:dyDescent="0.25">
      <c r="N1721" s="61"/>
      <c r="O1721" s="61"/>
      <c r="P1721" s="62"/>
      <c r="Q1721" s="13"/>
      <c r="R1721" s="13"/>
      <c r="S1721" s="14"/>
      <c r="T1721" s="1"/>
      <c r="U1721" s="15"/>
      <c r="V1721" s="1"/>
      <c r="W1721" s="15"/>
      <c r="X1721" s="16"/>
      <c r="Y1721" s="17"/>
    </row>
    <row r="1722" spans="14:25" x14ac:dyDescent="0.25">
      <c r="N1722" s="61"/>
      <c r="O1722" s="61"/>
      <c r="P1722" s="62"/>
      <c r="Q1722" s="13"/>
      <c r="R1722" s="13"/>
      <c r="S1722" s="14"/>
      <c r="T1722" s="1"/>
      <c r="U1722" s="15"/>
      <c r="V1722" s="1"/>
      <c r="W1722" s="15"/>
      <c r="X1722" s="16"/>
      <c r="Y1722" s="17"/>
    </row>
    <row r="1723" spans="14:25" x14ac:dyDescent="0.25">
      <c r="N1723" s="61"/>
      <c r="O1723" s="61"/>
      <c r="P1723" s="62"/>
      <c r="Q1723" s="13"/>
      <c r="R1723" s="13"/>
      <c r="S1723" s="14"/>
      <c r="T1723" s="1"/>
      <c r="U1723" s="15"/>
      <c r="V1723" s="1"/>
      <c r="W1723" s="15"/>
      <c r="X1723" s="16"/>
      <c r="Y1723" s="17"/>
    </row>
    <row r="1724" spans="14:25" x14ac:dyDescent="0.25">
      <c r="N1724" s="61"/>
      <c r="O1724" s="61"/>
      <c r="P1724" s="62"/>
      <c r="Q1724" s="13"/>
      <c r="R1724" s="13"/>
      <c r="S1724" s="14"/>
      <c r="T1724" s="1"/>
      <c r="U1724" s="15"/>
      <c r="V1724" s="1"/>
      <c r="W1724" s="15"/>
      <c r="X1724" s="16"/>
      <c r="Y1724" s="17"/>
    </row>
    <row r="1725" spans="14:25" x14ac:dyDescent="0.25">
      <c r="N1725" s="61"/>
      <c r="O1725" s="61"/>
      <c r="P1725" s="62"/>
      <c r="Q1725" s="13"/>
      <c r="R1725" s="13"/>
      <c r="S1725" s="14"/>
      <c r="T1725" s="1"/>
      <c r="U1725" s="15"/>
      <c r="V1725" s="1"/>
      <c r="W1725" s="15"/>
      <c r="X1725" s="16"/>
      <c r="Y1725" s="17"/>
    </row>
    <row r="1726" spans="14:25" x14ac:dyDescent="0.25">
      <c r="N1726" s="61"/>
      <c r="O1726" s="61"/>
      <c r="P1726" s="62"/>
      <c r="Q1726" s="13"/>
      <c r="R1726" s="13"/>
      <c r="S1726" s="14"/>
      <c r="T1726" s="1"/>
      <c r="U1726" s="15"/>
      <c r="V1726" s="1"/>
      <c r="W1726" s="15"/>
      <c r="X1726" s="16"/>
      <c r="Y1726" s="17"/>
    </row>
    <row r="1727" spans="14:25" x14ac:dyDescent="0.25">
      <c r="N1727" s="61"/>
      <c r="O1727" s="61"/>
      <c r="P1727" s="62"/>
      <c r="Q1727" s="13"/>
      <c r="R1727" s="13"/>
      <c r="S1727" s="14"/>
      <c r="T1727" s="1"/>
      <c r="U1727" s="15"/>
      <c r="V1727" s="1"/>
      <c r="W1727" s="15"/>
      <c r="X1727" s="16"/>
      <c r="Y1727" s="17"/>
    </row>
    <row r="1728" spans="14:25" x14ac:dyDescent="0.25">
      <c r="N1728" s="61"/>
      <c r="O1728" s="61"/>
      <c r="P1728" s="62"/>
      <c r="Q1728" s="13"/>
      <c r="R1728" s="13"/>
      <c r="S1728" s="14"/>
      <c r="T1728" s="1"/>
      <c r="U1728" s="15"/>
      <c r="V1728" s="1"/>
      <c r="W1728" s="15"/>
      <c r="X1728" s="16"/>
      <c r="Y1728" s="17"/>
    </row>
    <row r="1729" spans="14:25" x14ac:dyDescent="0.25">
      <c r="N1729" s="61"/>
      <c r="O1729" s="61"/>
      <c r="P1729" s="62"/>
      <c r="Q1729" s="13"/>
      <c r="R1729" s="13"/>
      <c r="S1729" s="14"/>
      <c r="T1729" s="1"/>
      <c r="U1729" s="15"/>
      <c r="V1729" s="1"/>
      <c r="W1729" s="15"/>
      <c r="X1729" s="16"/>
      <c r="Y1729" s="17"/>
    </row>
    <row r="1730" spans="14:25" x14ac:dyDescent="0.25">
      <c r="N1730" s="61"/>
      <c r="O1730" s="61"/>
      <c r="P1730" s="62"/>
      <c r="Q1730" s="13"/>
      <c r="R1730" s="13"/>
      <c r="S1730" s="14"/>
      <c r="T1730" s="1"/>
      <c r="U1730" s="15"/>
      <c r="V1730" s="1"/>
      <c r="W1730" s="15"/>
      <c r="X1730" s="16"/>
      <c r="Y1730" s="17"/>
    </row>
    <row r="1731" spans="14:25" x14ac:dyDescent="0.25">
      <c r="N1731" s="61"/>
      <c r="O1731" s="61"/>
      <c r="P1731" s="62"/>
      <c r="Q1731" s="13"/>
      <c r="R1731" s="13"/>
      <c r="S1731" s="14"/>
      <c r="T1731" s="1"/>
      <c r="U1731" s="15"/>
      <c r="V1731" s="1"/>
      <c r="W1731" s="15"/>
      <c r="X1731" s="16"/>
      <c r="Y1731" s="17"/>
    </row>
    <row r="1732" spans="14:25" x14ac:dyDescent="0.25">
      <c r="N1732" s="61"/>
      <c r="O1732" s="61"/>
      <c r="P1732" s="62"/>
      <c r="Q1732" s="13"/>
      <c r="R1732" s="13"/>
      <c r="S1732" s="14"/>
      <c r="T1732" s="1"/>
      <c r="U1732" s="15"/>
      <c r="V1732" s="1"/>
      <c r="W1732" s="15"/>
      <c r="X1732" s="16"/>
      <c r="Y1732" s="17"/>
    </row>
    <row r="1733" spans="14:25" x14ac:dyDescent="0.25">
      <c r="N1733" s="61"/>
      <c r="O1733" s="61"/>
      <c r="P1733" s="62"/>
      <c r="Q1733" s="13"/>
      <c r="R1733" s="13"/>
      <c r="S1733" s="14"/>
      <c r="T1733" s="1"/>
      <c r="U1733" s="15"/>
      <c r="V1733" s="1"/>
      <c r="W1733" s="15"/>
      <c r="X1733" s="16"/>
      <c r="Y1733" s="17"/>
    </row>
    <row r="1734" spans="14:25" x14ac:dyDescent="0.25">
      <c r="N1734" s="61"/>
      <c r="O1734" s="61"/>
      <c r="P1734" s="62"/>
      <c r="Q1734" s="13"/>
      <c r="R1734" s="13"/>
      <c r="S1734" s="14"/>
      <c r="T1734" s="1"/>
      <c r="U1734" s="15"/>
      <c r="V1734" s="1"/>
      <c r="W1734" s="15"/>
      <c r="X1734" s="16"/>
      <c r="Y1734" s="17"/>
    </row>
    <row r="1735" spans="14:25" x14ac:dyDescent="0.25">
      <c r="N1735" s="61"/>
      <c r="O1735" s="61"/>
      <c r="P1735" s="62"/>
      <c r="Q1735" s="13"/>
      <c r="R1735" s="13"/>
      <c r="S1735" s="14"/>
      <c r="T1735" s="1"/>
      <c r="U1735" s="15"/>
      <c r="V1735" s="1"/>
      <c r="W1735" s="15"/>
      <c r="X1735" s="16"/>
      <c r="Y1735" s="17"/>
    </row>
    <row r="1736" spans="14:25" x14ac:dyDescent="0.25">
      <c r="N1736" s="61"/>
      <c r="O1736" s="61"/>
      <c r="P1736" s="62"/>
      <c r="Q1736" s="13"/>
      <c r="R1736" s="13"/>
      <c r="S1736" s="14"/>
      <c r="T1736" s="1"/>
      <c r="U1736" s="15"/>
      <c r="V1736" s="1"/>
      <c r="W1736" s="15"/>
      <c r="X1736" s="16"/>
      <c r="Y1736" s="17"/>
    </row>
    <row r="1737" spans="14:25" x14ac:dyDescent="0.25">
      <c r="N1737" s="61"/>
      <c r="O1737" s="61"/>
      <c r="P1737" s="62"/>
      <c r="Q1737" s="13"/>
      <c r="R1737" s="13"/>
      <c r="S1737" s="14"/>
      <c r="T1737" s="1"/>
      <c r="U1737" s="15"/>
      <c r="V1737" s="1"/>
      <c r="W1737" s="15"/>
      <c r="X1737" s="16"/>
      <c r="Y1737" s="17"/>
    </row>
    <row r="1738" spans="14:25" x14ac:dyDescent="0.25">
      <c r="N1738" s="61"/>
      <c r="O1738" s="61"/>
      <c r="P1738" s="62"/>
      <c r="Q1738" s="13"/>
      <c r="R1738" s="13"/>
      <c r="S1738" s="14"/>
      <c r="T1738" s="1"/>
      <c r="U1738" s="15"/>
      <c r="V1738" s="1"/>
      <c r="W1738" s="15"/>
      <c r="X1738" s="16"/>
      <c r="Y1738" s="17"/>
    </row>
    <row r="1739" spans="14:25" x14ac:dyDescent="0.25">
      <c r="N1739" s="61"/>
      <c r="O1739" s="61"/>
      <c r="P1739" s="62"/>
      <c r="Q1739" s="13"/>
      <c r="R1739" s="13"/>
      <c r="S1739" s="14"/>
      <c r="T1739" s="1"/>
      <c r="U1739" s="15"/>
      <c r="V1739" s="1"/>
      <c r="W1739" s="15"/>
      <c r="X1739" s="16"/>
      <c r="Y1739" s="17"/>
    </row>
    <row r="1740" spans="14:25" x14ac:dyDescent="0.25">
      <c r="N1740" s="61"/>
      <c r="O1740" s="61"/>
      <c r="P1740" s="62"/>
      <c r="Q1740" s="13"/>
      <c r="R1740" s="13"/>
      <c r="S1740" s="14"/>
      <c r="T1740" s="1"/>
      <c r="U1740" s="15"/>
      <c r="V1740" s="1"/>
      <c r="W1740" s="15"/>
      <c r="X1740" s="16"/>
      <c r="Y1740" s="17"/>
    </row>
    <row r="1741" spans="14:25" x14ac:dyDescent="0.25">
      <c r="N1741" s="61"/>
      <c r="O1741" s="61"/>
      <c r="P1741" s="62"/>
      <c r="Q1741" s="13"/>
      <c r="R1741" s="13"/>
      <c r="S1741" s="14"/>
      <c r="T1741" s="1"/>
      <c r="U1741" s="15"/>
      <c r="V1741" s="1"/>
      <c r="W1741" s="15"/>
      <c r="X1741" s="16"/>
      <c r="Y1741" s="17"/>
    </row>
    <row r="1742" spans="14:25" x14ac:dyDescent="0.25">
      <c r="N1742" s="61"/>
      <c r="O1742" s="61"/>
      <c r="P1742" s="62"/>
      <c r="Q1742" s="13"/>
      <c r="R1742" s="13"/>
      <c r="S1742" s="14"/>
      <c r="T1742" s="1"/>
      <c r="U1742" s="15"/>
      <c r="V1742" s="1"/>
      <c r="W1742" s="15"/>
      <c r="X1742" s="16"/>
      <c r="Y1742" s="17"/>
    </row>
    <row r="1743" spans="14:25" x14ac:dyDescent="0.25">
      <c r="N1743" s="61"/>
      <c r="O1743" s="61"/>
      <c r="P1743" s="62"/>
      <c r="Q1743" s="13"/>
      <c r="R1743" s="13"/>
      <c r="S1743" s="14"/>
      <c r="T1743" s="1"/>
      <c r="U1743" s="15"/>
      <c r="V1743" s="1"/>
      <c r="W1743" s="15"/>
      <c r="X1743" s="16"/>
      <c r="Y1743" s="17"/>
    </row>
    <row r="1744" spans="14:25" x14ac:dyDescent="0.25">
      <c r="N1744" s="61"/>
      <c r="O1744" s="61"/>
      <c r="P1744" s="62"/>
      <c r="Q1744" s="13"/>
      <c r="R1744" s="13"/>
      <c r="S1744" s="14"/>
      <c r="T1744" s="1"/>
      <c r="U1744" s="15"/>
      <c r="V1744" s="1"/>
      <c r="W1744" s="15"/>
      <c r="X1744" s="16"/>
      <c r="Y1744" s="17"/>
    </row>
    <row r="1745" spans="14:25" x14ac:dyDescent="0.25">
      <c r="N1745" s="61"/>
      <c r="O1745" s="61"/>
      <c r="P1745" s="62"/>
      <c r="Q1745" s="13"/>
      <c r="R1745" s="13"/>
      <c r="S1745" s="14"/>
      <c r="T1745" s="1"/>
      <c r="U1745" s="15"/>
      <c r="V1745" s="1"/>
      <c r="W1745" s="15"/>
      <c r="X1745" s="16"/>
      <c r="Y1745" s="17"/>
    </row>
    <row r="1746" spans="14:25" x14ac:dyDescent="0.25">
      <c r="N1746" s="61"/>
      <c r="O1746" s="61"/>
      <c r="P1746" s="62"/>
      <c r="Q1746" s="13"/>
      <c r="R1746" s="13"/>
      <c r="S1746" s="14"/>
      <c r="T1746" s="1"/>
      <c r="U1746" s="15"/>
      <c r="V1746" s="1"/>
      <c r="W1746" s="15"/>
      <c r="X1746" s="16"/>
      <c r="Y1746" s="17"/>
    </row>
    <row r="1747" spans="14:25" x14ac:dyDescent="0.25">
      <c r="N1747" s="61"/>
      <c r="O1747" s="61"/>
      <c r="P1747" s="62"/>
      <c r="Q1747" s="13"/>
      <c r="R1747" s="13"/>
      <c r="S1747" s="14"/>
      <c r="T1747" s="1"/>
      <c r="U1747" s="15"/>
      <c r="V1747" s="1"/>
      <c r="W1747" s="15"/>
      <c r="X1747" s="16"/>
      <c r="Y1747" s="17"/>
    </row>
    <row r="1748" spans="14:25" x14ac:dyDescent="0.25">
      <c r="N1748" s="61"/>
      <c r="O1748" s="61"/>
      <c r="P1748" s="62"/>
      <c r="Q1748" s="13"/>
      <c r="R1748" s="13"/>
      <c r="S1748" s="14"/>
      <c r="T1748" s="1"/>
      <c r="U1748" s="15"/>
      <c r="V1748" s="1"/>
      <c r="W1748" s="15"/>
      <c r="X1748" s="16"/>
      <c r="Y1748" s="17"/>
    </row>
    <row r="1749" spans="14:25" x14ac:dyDescent="0.25">
      <c r="N1749" s="61"/>
      <c r="O1749" s="61"/>
      <c r="P1749" s="62"/>
      <c r="Q1749" s="13"/>
      <c r="R1749" s="13"/>
      <c r="S1749" s="14"/>
      <c r="T1749" s="1"/>
      <c r="U1749" s="15"/>
      <c r="V1749" s="1"/>
      <c r="W1749" s="15"/>
      <c r="X1749" s="16"/>
      <c r="Y1749" s="17"/>
    </row>
    <row r="1750" spans="14:25" x14ac:dyDescent="0.25">
      <c r="N1750" s="61"/>
      <c r="O1750" s="61"/>
      <c r="P1750" s="62"/>
      <c r="Q1750" s="13"/>
      <c r="R1750" s="13"/>
      <c r="S1750" s="14"/>
      <c r="T1750" s="1"/>
      <c r="U1750" s="15"/>
      <c r="V1750" s="1"/>
      <c r="W1750" s="15"/>
      <c r="X1750" s="16"/>
      <c r="Y1750" s="17"/>
    </row>
    <row r="1751" spans="14:25" x14ac:dyDescent="0.25">
      <c r="N1751" s="61"/>
      <c r="O1751" s="61"/>
      <c r="P1751" s="62"/>
      <c r="Q1751" s="13"/>
      <c r="R1751" s="13"/>
      <c r="S1751" s="14"/>
      <c r="T1751" s="1"/>
      <c r="U1751" s="15"/>
      <c r="V1751" s="1"/>
      <c r="W1751" s="15"/>
      <c r="X1751" s="16"/>
      <c r="Y1751" s="17"/>
    </row>
    <row r="1752" spans="14:25" x14ac:dyDescent="0.25">
      <c r="N1752" s="61"/>
      <c r="O1752" s="61"/>
      <c r="P1752" s="62"/>
      <c r="Q1752" s="13"/>
      <c r="R1752" s="13"/>
      <c r="S1752" s="14"/>
      <c r="T1752" s="1"/>
      <c r="U1752" s="15"/>
      <c r="V1752" s="1"/>
      <c r="W1752" s="15"/>
      <c r="X1752" s="16"/>
      <c r="Y1752" s="17"/>
    </row>
    <row r="1753" spans="14:25" x14ac:dyDescent="0.25">
      <c r="N1753" s="61"/>
      <c r="O1753" s="61"/>
      <c r="P1753" s="62"/>
      <c r="Q1753" s="13"/>
      <c r="R1753" s="13"/>
      <c r="S1753" s="14"/>
      <c r="T1753" s="1"/>
      <c r="U1753" s="15"/>
      <c r="V1753" s="1"/>
      <c r="W1753" s="15"/>
      <c r="X1753" s="16"/>
      <c r="Y1753" s="17"/>
    </row>
    <row r="1754" spans="14:25" x14ac:dyDescent="0.25">
      <c r="N1754" s="61"/>
      <c r="O1754" s="61"/>
      <c r="P1754" s="62"/>
      <c r="Q1754" s="13"/>
      <c r="R1754" s="13"/>
      <c r="S1754" s="14"/>
      <c r="T1754" s="1"/>
      <c r="U1754" s="15"/>
      <c r="V1754" s="1"/>
      <c r="W1754" s="15"/>
      <c r="X1754" s="16"/>
      <c r="Y1754" s="17"/>
    </row>
    <row r="1755" spans="14:25" x14ac:dyDescent="0.25">
      <c r="N1755" s="61"/>
      <c r="O1755" s="61"/>
      <c r="P1755" s="62"/>
      <c r="Q1755" s="13"/>
      <c r="R1755" s="13"/>
      <c r="S1755" s="14"/>
      <c r="T1755" s="1"/>
      <c r="U1755" s="15"/>
      <c r="V1755" s="1"/>
      <c r="W1755" s="15"/>
      <c r="X1755" s="16"/>
      <c r="Y1755" s="17"/>
    </row>
    <row r="1756" spans="14:25" x14ac:dyDescent="0.25">
      <c r="N1756" s="61"/>
      <c r="O1756" s="61"/>
      <c r="P1756" s="62"/>
      <c r="Q1756" s="13"/>
      <c r="R1756" s="13"/>
      <c r="S1756" s="14"/>
      <c r="T1756" s="1"/>
      <c r="U1756" s="15"/>
      <c r="V1756" s="1"/>
      <c r="W1756" s="15"/>
      <c r="X1756" s="16"/>
      <c r="Y1756" s="17"/>
    </row>
    <row r="1757" spans="14:25" x14ac:dyDescent="0.25">
      <c r="N1757" s="61"/>
      <c r="O1757" s="61"/>
      <c r="P1757" s="62"/>
      <c r="Q1757" s="13"/>
      <c r="R1757" s="13"/>
      <c r="S1757" s="14"/>
      <c r="T1757" s="1"/>
      <c r="U1757" s="15"/>
      <c r="V1757" s="1"/>
      <c r="W1757" s="15"/>
      <c r="X1757" s="16"/>
      <c r="Y1757" s="17"/>
    </row>
    <row r="1758" spans="14:25" x14ac:dyDescent="0.25">
      <c r="N1758" s="61"/>
      <c r="O1758" s="61"/>
      <c r="P1758" s="62"/>
      <c r="Q1758" s="13"/>
      <c r="R1758" s="13"/>
      <c r="S1758" s="14"/>
      <c r="T1758" s="1"/>
      <c r="U1758" s="15"/>
      <c r="V1758" s="1"/>
      <c r="W1758" s="15"/>
      <c r="X1758" s="16"/>
      <c r="Y1758" s="17"/>
    </row>
    <row r="1759" spans="14:25" x14ac:dyDescent="0.25">
      <c r="N1759" s="61"/>
      <c r="O1759" s="61"/>
      <c r="P1759" s="62"/>
      <c r="Q1759" s="13"/>
      <c r="R1759" s="13"/>
      <c r="S1759" s="14"/>
      <c r="T1759" s="1"/>
      <c r="U1759" s="15"/>
      <c r="V1759" s="1"/>
      <c r="W1759" s="15"/>
      <c r="X1759" s="16"/>
      <c r="Y1759" s="17"/>
    </row>
    <row r="1760" spans="14:25" x14ac:dyDescent="0.25">
      <c r="N1760" s="61"/>
      <c r="O1760" s="61"/>
      <c r="P1760" s="62"/>
      <c r="Q1760" s="13"/>
      <c r="R1760" s="13"/>
      <c r="S1760" s="14"/>
      <c r="T1760" s="1"/>
      <c r="U1760" s="15"/>
      <c r="V1760" s="1"/>
      <c r="W1760" s="15"/>
      <c r="X1760" s="16"/>
      <c r="Y1760" s="17"/>
    </row>
    <row r="1761" spans="14:25" x14ac:dyDescent="0.25">
      <c r="N1761" s="61"/>
      <c r="O1761" s="61"/>
      <c r="P1761" s="62"/>
      <c r="Q1761" s="13"/>
      <c r="R1761" s="13"/>
      <c r="S1761" s="14"/>
      <c r="T1761" s="1"/>
      <c r="U1761" s="15"/>
      <c r="V1761" s="1"/>
      <c r="W1761" s="15"/>
      <c r="X1761" s="16"/>
      <c r="Y1761" s="17"/>
    </row>
    <row r="1762" spans="14:25" x14ac:dyDescent="0.25">
      <c r="N1762" s="61"/>
      <c r="O1762" s="61"/>
      <c r="P1762" s="62"/>
      <c r="Q1762" s="13"/>
      <c r="R1762" s="13"/>
      <c r="S1762" s="14"/>
      <c r="T1762" s="1"/>
      <c r="U1762" s="15"/>
      <c r="V1762" s="1"/>
      <c r="W1762" s="15"/>
      <c r="X1762" s="16"/>
      <c r="Y1762" s="17"/>
    </row>
    <row r="1763" spans="14:25" x14ac:dyDescent="0.25">
      <c r="N1763" s="61"/>
      <c r="O1763" s="61"/>
      <c r="P1763" s="62"/>
      <c r="Q1763" s="13"/>
      <c r="R1763" s="13"/>
      <c r="S1763" s="14"/>
      <c r="T1763" s="1"/>
      <c r="U1763" s="15"/>
      <c r="V1763" s="1"/>
      <c r="W1763" s="15"/>
      <c r="X1763" s="16"/>
      <c r="Y1763" s="17"/>
    </row>
    <row r="1764" spans="14:25" x14ac:dyDescent="0.25">
      <c r="N1764" s="61"/>
      <c r="O1764" s="61"/>
      <c r="P1764" s="62"/>
      <c r="Q1764" s="13"/>
      <c r="R1764" s="13"/>
      <c r="S1764" s="14"/>
      <c r="T1764" s="1"/>
      <c r="U1764" s="15"/>
      <c r="V1764" s="1"/>
      <c r="W1764" s="15"/>
      <c r="X1764" s="16"/>
      <c r="Y1764" s="17"/>
    </row>
    <row r="1765" spans="14:25" x14ac:dyDescent="0.25">
      <c r="N1765" s="61"/>
      <c r="O1765" s="61"/>
      <c r="P1765" s="62"/>
      <c r="Q1765" s="13"/>
      <c r="R1765" s="13"/>
      <c r="S1765" s="14"/>
      <c r="T1765" s="1"/>
      <c r="U1765" s="15"/>
      <c r="V1765" s="1"/>
      <c r="W1765" s="15"/>
      <c r="X1765" s="16"/>
      <c r="Y1765" s="17"/>
    </row>
    <row r="1766" spans="14:25" x14ac:dyDescent="0.25">
      <c r="N1766" s="61"/>
      <c r="O1766" s="61"/>
      <c r="P1766" s="62"/>
      <c r="Q1766" s="13"/>
      <c r="R1766" s="13"/>
      <c r="S1766" s="14"/>
      <c r="T1766" s="1"/>
      <c r="U1766" s="15"/>
      <c r="V1766" s="1"/>
      <c r="W1766" s="15"/>
      <c r="X1766" s="16"/>
      <c r="Y1766" s="17"/>
    </row>
    <row r="1767" spans="14:25" x14ac:dyDescent="0.25">
      <c r="N1767" s="61"/>
      <c r="O1767" s="61"/>
      <c r="P1767" s="62"/>
      <c r="Q1767" s="13"/>
      <c r="R1767" s="13"/>
      <c r="S1767" s="14"/>
      <c r="T1767" s="1"/>
      <c r="U1767" s="15"/>
      <c r="V1767" s="1"/>
      <c r="W1767" s="15"/>
      <c r="X1767" s="16"/>
      <c r="Y1767" s="17"/>
    </row>
    <row r="1768" spans="14:25" x14ac:dyDescent="0.25">
      <c r="N1768" s="61"/>
      <c r="O1768" s="61"/>
      <c r="P1768" s="62"/>
      <c r="Q1768" s="13"/>
      <c r="R1768" s="13"/>
      <c r="S1768" s="14"/>
      <c r="T1768" s="1"/>
      <c r="U1768" s="15"/>
      <c r="V1768" s="1"/>
      <c r="W1768" s="15"/>
      <c r="X1768" s="16"/>
      <c r="Y1768" s="17"/>
    </row>
    <row r="1769" spans="14:25" x14ac:dyDescent="0.25">
      <c r="N1769" s="61"/>
      <c r="O1769" s="61"/>
      <c r="P1769" s="62"/>
      <c r="Q1769" s="13"/>
      <c r="R1769" s="13"/>
      <c r="S1769" s="14"/>
      <c r="T1769" s="1"/>
      <c r="U1769" s="15"/>
      <c r="V1769" s="1"/>
      <c r="W1769" s="15"/>
      <c r="X1769" s="16"/>
      <c r="Y1769" s="17"/>
    </row>
    <row r="1770" spans="14:25" x14ac:dyDescent="0.25">
      <c r="N1770" s="61"/>
      <c r="O1770" s="61"/>
      <c r="P1770" s="62"/>
      <c r="Q1770" s="13"/>
      <c r="R1770" s="13"/>
      <c r="S1770" s="14"/>
      <c r="T1770" s="1"/>
      <c r="U1770" s="15"/>
      <c r="V1770" s="1"/>
      <c r="W1770" s="15"/>
      <c r="X1770" s="16"/>
      <c r="Y1770" s="17"/>
    </row>
    <row r="1771" spans="14:25" x14ac:dyDescent="0.25">
      <c r="N1771" s="61"/>
      <c r="O1771" s="61"/>
      <c r="P1771" s="62"/>
      <c r="Q1771" s="13"/>
      <c r="R1771" s="13"/>
      <c r="S1771" s="14"/>
      <c r="T1771" s="1"/>
      <c r="U1771" s="15"/>
      <c r="V1771" s="1"/>
      <c r="W1771" s="15"/>
      <c r="X1771" s="16"/>
      <c r="Y1771" s="17"/>
    </row>
    <row r="1772" spans="14:25" x14ac:dyDescent="0.25">
      <c r="N1772" s="61"/>
      <c r="O1772" s="61"/>
      <c r="P1772" s="62"/>
      <c r="Q1772" s="13"/>
      <c r="R1772" s="13"/>
      <c r="S1772" s="14"/>
      <c r="T1772" s="1"/>
      <c r="U1772" s="15"/>
      <c r="V1772" s="1"/>
      <c r="W1772" s="15"/>
      <c r="X1772" s="16"/>
      <c r="Y1772" s="17"/>
    </row>
    <row r="1773" spans="14:25" x14ac:dyDescent="0.25">
      <c r="N1773" s="61"/>
      <c r="O1773" s="61"/>
      <c r="P1773" s="62"/>
      <c r="Q1773" s="13"/>
      <c r="R1773" s="13"/>
      <c r="S1773" s="14"/>
      <c r="T1773" s="1"/>
      <c r="U1773" s="15"/>
      <c r="V1773" s="1"/>
      <c r="W1773" s="15"/>
      <c r="X1773" s="16"/>
      <c r="Y1773" s="17"/>
    </row>
    <row r="1774" spans="14:25" x14ac:dyDescent="0.25">
      <c r="N1774" s="61"/>
      <c r="O1774" s="61"/>
      <c r="P1774" s="62"/>
      <c r="Q1774" s="13"/>
      <c r="R1774" s="13"/>
      <c r="S1774" s="14"/>
      <c r="T1774" s="1"/>
      <c r="U1774" s="15"/>
      <c r="V1774" s="1"/>
      <c r="W1774" s="15"/>
      <c r="X1774" s="16"/>
      <c r="Y1774" s="17"/>
    </row>
    <row r="1775" spans="14:25" x14ac:dyDescent="0.25">
      <c r="N1775" s="61"/>
      <c r="O1775" s="61"/>
      <c r="P1775" s="62"/>
      <c r="Q1775" s="13"/>
      <c r="R1775" s="13"/>
      <c r="S1775" s="14"/>
      <c r="T1775" s="1"/>
      <c r="U1775" s="15"/>
      <c r="V1775" s="1"/>
      <c r="W1775" s="15"/>
      <c r="X1775" s="16"/>
      <c r="Y1775" s="17"/>
    </row>
    <row r="1776" spans="14:25" x14ac:dyDescent="0.25">
      <c r="N1776" s="61"/>
      <c r="O1776" s="61"/>
      <c r="P1776" s="62"/>
      <c r="Q1776" s="13"/>
      <c r="R1776" s="13"/>
      <c r="S1776" s="14"/>
      <c r="T1776" s="1"/>
      <c r="U1776" s="15"/>
      <c r="V1776" s="1"/>
      <c r="W1776" s="15"/>
      <c r="X1776" s="16"/>
      <c r="Y1776" s="17"/>
    </row>
    <row r="1777" spans="14:25" x14ac:dyDescent="0.25">
      <c r="N1777" s="61"/>
      <c r="O1777" s="61"/>
      <c r="P1777" s="62"/>
      <c r="Q1777" s="13"/>
      <c r="R1777" s="13"/>
      <c r="S1777" s="14"/>
      <c r="T1777" s="1"/>
      <c r="U1777" s="15"/>
      <c r="V1777" s="1"/>
      <c r="W1777" s="15"/>
      <c r="X1777" s="16"/>
      <c r="Y1777" s="17"/>
    </row>
    <row r="1778" spans="14:25" x14ac:dyDescent="0.25">
      <c r="N1778" s="61"/>
      <c r="O1778" s="61"/>
      <c r="P1778" s="62"/>
      <c r="Q1778" s="13"/>
      <c r="R1778" s="13"/>
      <c r="S1778" s="14"/>
      <c r="T1778" s="1"/>
      <c r="U1778" s="15"/>
      <c r="V1778" s="1"/>
      <c r="W1778" s="15"/>
      <c r="X1778" s="16"/>
      <c r="Y1778" s="17"/>
    </row>
    <row r="1779" spans="14:25" x14ac:dyDescent="0.25">
      <c r="N1779" s="61"/>
      <c r="O1779" s="61"/>
      <c r="P1779" s="62"/>
      <c r="Q1779" s="13"/>
      <c r="R1779" s="13"/>
      <c r="S1779" s="14"/>
      <c r="T1779" s="1"/>
      <c r="U1779" s="15"/>
      <c r="V1779" s="1"/>
      <c r="W1779" s="15"/>
      <c r="X1779" s="16"/>
      <c r="Y1779" s="17"/>
    </row>
    <row r="1780" spans="14:25" x14ac:dyDescent="0.25">
      <c r="N1780" s="61"/>
      <c r="O1780" s="61"/>
      <c r="P1780" s="62"/>
      <c r="Q1780" s="13"/>
      <c r="R1780" s="13"/>
      <c r="S1780" s="14"/>
      <c r="T1780" s="1"/>
      <c r="U1780" s="15"/>
      <c r="V1780" s="1"/>
      <c r="W1780" s="15"/>
      <c r="X1780" s="16"/>
      <c r="Y1780" s="17"/>
    </row>
    <row r="1781" spans="14:25" x14ac:dyDescent="0.25">
      <c r="N1781" s="61"/>
      <c r="O1781" s="61"/>
      <c r="P1781" s="62"/>
      <c r="Q1781" s="13"/>
      <c r="R1781" s="13"/>
      <c r="S1781" s="14"/>
      <c r="T1781" s="1"/>
      <c r="U1781" s="15"/>
      <c r="V1781" s="1"/>
      <c r="W1781" s="15"/>
      <c r="X1781" s="16"/>
      <c r="Y1781" s="17"/>
    </row>
    <row r="1782" spans="14:25" x14ac:dyDescent="0.25">
      <c r="N1782" s="61"/>
      <c r="O1782" s="61"/>
      <c r="P1782" s="62"/>
      <c r="Q1782" s="13"/>
      <c r="R1782" s="13"/>
      <c r="S1782" s="14"/>
      <c r="T1782" s="1"/>
      <c r="U1782" s="15"/>
      <c r="V1782" s="1"/>
      <c r="W1782" s="15"/>
      <c r="X1782" s="16"/>
      <c r="Y1782" s="17"/>
    </row>
    <row r="1783" spans="14:25" x14ac:dyDescent="0.25">
      <c r="N1783" s="61"/>
      <c r="O1783" s="61"/>
      <c r="P1783" s="62"/>
      <c r="Q1783" s="13"/>
      <c r="R1783" s="13"/>
      <c r="S1783" s="14"/>
      <c r="T1783" s="1"/>
      <c r="U1783" s="15"/>
      <c r="V1783" s="1"/>
      <c r="W1783" s="15"/>
      <c r="X1783" s="16"/>
      <c r="Y1783" s="17"/>
    </row>
    <row r="1784" spans="14:25" x14ac:dyDescent="0.25">
      <c r="N1784" s="61"/>
      <c r="O1784" s="61"/>
      <c r="P1784" s="62"/>
      <c r="Q1784" s="13"/>
      <c r="R1784" s="13"/>
      <c r="S1784" s="14"/>
      <c r="T1784" s="1"/>
      <c r="U1784" s="15"/>
      <c r="V1784" s="1"/>
      <c r="W1784" s="15"/>
      <c r="X1784" s="16"/>
      <c r="Y1784" s="17"/>
    </row>
    <row r="1785" spans="14:25" x14ac:dyDescent="0.25">
      <c r="N1785" s="61"/>
      <c r="O1785" s="61"/>
      <c r="P1785" s="62"/>
      <c r="Q1785" s="13"/>
      <c r="R1785" s="13"/>
      <c r="S1785" s="14"/>
      <c r="T1785" s="1"/>
      <c r="U1785" s="15"/>
      <c r="V1785" s="1"/>
      <c r="W1785" s="15"/>
      <c r="X1785" s="16"/>
      <c r="Y1785" s="17"/>
    </row>
    <row r="1786" spans="14:25" x14ac:dyDescent="0.25">
      <c r="N1786" s="61"/>
      <c r="O1786" s="61"/>
      <c r="P1786" s="62"/>
      <c r="Q1786" s="13"/>
      <c r="R1786" s="13"/>
      <c r="S1786" s="14"/>
      <c r="T1786" s="1"/>
      <c r="U1786" s="15"/>
      <c r="V1786" s="1"/>
      <c r="W1786" s="15"/>
      <c r="X1786" s="16"/>
      <c r="Y1786" s="17"/>
    </row>
    <row r="1787" spans="14:25" x14ac:dyDescent="0.25">
      <c r="N1787" s="61"/>
      <c r="O1787" s="61"/>
      <c r="P1787" s="62"/>
      <c r="Q1787" s="13"/>
      <c r="R1787" s="13"/>
      <c r="S1787" s="14"/>
      <c r="T1787" s="1"/>
      <c r="U1787" s="15"/>
      <c r="V1787" s="1"/>
      <c r="W1787" s="15"/>
      <c r="X1787" s="16"/>
      <c r="Y1787" s="17"/>
    </row>
    <row r="1788" spans="14:25" x14ac:dyDescent="0.25">
      <c r="N1788" s="61"/>
      <c r="O1788" s="61"/>
      <c r="P1788" s="62"/>
      <c r="Q1788" s="13"/>
      <c r="R1788" s="13"/>
      <c r="S1788" s="14"/>
      <c r="T1788" s="1"/>
      <c r="U1788" s="15"/>
      <c r="V1788" s="1"/>
      <c r="W1788" s="15"/>
      <c r="X1788" s="16"/>
      <c r="Y1788" s="17"/>
    </row>
    <row r="1789" spans="14:25" x14ac:dyDescent="0.25">
      <c r="N1789" s="61"/>
      <c r="O1789" s="61"/>
      <c r="P1789" s="62"/>
      <c r="Q1789" s="13"/>
      <c r="R1789" s="13"/>
      <c r="S1789" s="14"/>
      <c r="T1789" s="1"/>
      <c r="U1789" s="15"/>
      <c r="V1789" s="1"/>
      <c r="W1789" s="15"/>
      <c r="X1789" s="16"/>
      <c r="Y1789" s="17"/>
    </row>
    <row r="1790" spans="14:25" x14ac:dyDescent="0.25">
      <c r="N1790" s="61"/>
      <c r="O1790" s="61"/>
      <c r="P1790" s="62"/>
      <c r="Q1790" s="13"/>
      <c r="R1790" s="13"/>
      <c r="S1790" s="14"/>
      <c r="T1790" s="1"/>
      <c r="U1790" s="15"/>
      <c r="V1790" s="1"/>
      <c r="W1790" s="15"/>
      <c r="X1790" s="16"/>
      <c r="Y1790" s="17"/>
    </row>
    <row r="1791" spans="14:25" x14ac:dyDescent="0.25">
      <c r="N1791" s="61"/>
      <c r="O1791" s="61"/>
      <c r="P1791" s="62"/>
      <c r="Q1791" s="13"/>
      <c r="R1791" s="13"/>
      <c r="S1791" s="14"/>
      <c r="T1791" s="1"/>
      <c r="U1791" s="15"/>
      <c r="V1791" s="1"/>
      <c r="W1791" s="15"/>
      <c r="X1791" s="16"/>
      <c r="Y1791" s="17"/>
    </row>
    <row r="1792" spans="14:25" x14ac:dyDescent="0.25">
      <c r="N1792" s="61"/>
      <c r="O1792" s="61"/>
      <c r="P1792" s="62"/>
      <c r="Q1792" s="13"/>
      <c r="R1792" s="13"/>
      <c r="S1792" s="14"/>
      <c r="T1792" s="1"/>
      <c r="U1792" s="15"/>
      <c r="V1792" s="1"/>
      <c r="W1792" s="15"/>
      <c r="X1792" s="16"/>
      <c r="Y1792" s="17"/>
    </row>
    <row r="1793" spans="14:25" x14ac:dyDescent="0.25">
      <c r="N1793" s="61"/>
      <c r="O1793" s="61"/>
      <c r="P1793" s="62"/>
      <c r="Q1793" s="13"/>
      <c r="R1793" s="13"/>
      <c r="S1793" s="14"/>
      <c r="T1793" s="1"/>
      <c r="U1793" s="15"/>
      <c r="V1793" s="1"/>
      <c r="W1793" s="15"/>
      <c r="X1793" s="16"/>
      <c r="Y1793" s="17"/>
    </row>
    <row r="1794" spans="14:25" x14ac:dyDescent="0.25">
      <c r="N1794" s="61"/>
      <c r="O1794" s="61"/>
      <c r="P1794" s="62"/>
      <c r="Q1794" s="13"/>
      <c r="R1794" s="13"/>
      <c r="S1794" s="14"/>
      <c r="T1794" s="1"/>
      <c r="U1794" s="15"/>
      <c r="V1794" s="1"/>
      <c r="W1794" s="15"/>
      <c r="X1794" s="16"/>
      <c r="Y1794" s="17"/>
    </row>
    <row r="1795" spans="14:25" x14ac:dyDescent="0.25">
      <c r="N1795" s="61"/>
      <c r="O1795" s="61"/>
      <c r="P1795" s="62"/>
      <c r="Q1795" s="13"/>
      <c r="R1795" s="13"/>
      <c r="S1795" s="14"/>
      <c r="T1795" s="1"/>
      <c r="U1795" s="15"/>
      <c r="V1795" s="1"/>
      <c r="W1795" s="15"/>
      <c r="X1795" s="16"/>
      <c r="Y1795" s="17"/>
    </row>
    <row r="1796" spans="14:25" x14ac:dyDescent="0.25">
      <c r="N1796" s="61"/>
      <c r="O1796" s="61"/>
      <c r="P1796" s="62"/>
      <c r="Q1796" s="13"/>
      <c r="R1796" s="13"/>
      <c r="S1796" s="14"/>
      <c r="T1796" s="1"/>
      <c r="U1796" s="15"/>
      <c r="V1796" s="1"/>
      <c r="W1796" s="15"/>
      <c r="X1796" s="16"/>
      <c r="Y1796" s="17"/>
    </row>
    <row r="1797" spans="14:25" x14ac:dyDescent="0.25">
      <c r="N1797" s="61"/>
      <c r="O1797" s="61"/>
      <c r="P1797" s="62"/>
      <c r="Q1797" s="13"/>
      <c r="R1797" s="13"/>
      <c r="S1797" s="14"/>
      <c r="T1797" s="1"/>
      <c r="U1797" s="15"/>
      <c r="V1797" s="1"/>
      <c r="W1797" s="15"/>
      <c r="X1797" s="16"/>
      <c r="Y1797" s="17"/>
    </row>
    <row r="1798" spans="14:25" x14ac:dyDescent="0.25">
      <c r="N1798" s="61"/>
      <c r="O1798" s="61"/>
      <c r="P1798" s="62"/>
      <c r="Q1798" s="13"/>
      <c r="R1798" s="13"/>
      <c r="S1798" s="14"/>
      <c r="T1798" s="1"/>
      <c r="U1798" s="15"/>
      <c r="V1798" s="1"/>
      <c r="W1798" s="15"/>
      <c r="X1798" s="16"/>
      <c r="Y1798" s="17"/>
    </row>
    <row r="1799" spans="14:25" x14ac:dyDescent="0.25">
      <c r="N1799" s="61"/>
      <c r="O1799" s="61"/>
      <c r="P1799" s="62"/>
      <c r="Q1799" s="13"/>
      <c r="R1799" s="13"/>
      <c r="S1799" s="14"/>
      <c r="T1799" s="1"/>
      <c r="U1799" s="15"/>
      <c r="V1799" s="1"/>
      <c r="W1799" s="15"/>
      <c r="X1799" s="16"/>
      <c r="Y1799" s="17"/>
    </row>
    <row r="1800" spans="14:25" x14ac:dyDescent="0.25">
      <c r="N1800" s="61"/>
      <c r="O1800" s="61"/>
      <c r="P1800" s="62"/>
      <c r="Q1800" s="13"/>
      <c r="R1800" s="13"/>
      <c r="S1800" s="14"/>
      <c r="T1800" s="1"/>
      <c r="U1800" s="15"/>
      <c r="V1800" s="1"/>
      <c r="W1800" s="15"/>
      <c r="X1800" s="16"/>
      <c r="Y1800" s="17"/>
    </row>
    <row r="1801" spans="14:25" x14ac:dyDescent="0.25">
      <c r="N1801" s="61"/>
      <c r="O1801" s="61"/>
      <c r="P1801" s="62"/>
      <c r="Q1801" s="13"/>
      <c r="R1801" s="13"/>
      <c r="S1801" s="14"/>
      <c r="T1801" s="1"/>
      <c r="U1801" s="15"/>
      <c r="V1801" s="1"/>
      <c r="W1801" s="15"/>
      <c r="X1801" s="16"/>
      <c r="Y1801" s="17"/>
    </row>
    <row r="1802" spans="14:25" x14ac:dyDescent="0.25">
      <c r="N1802" s="61"/>
      <c r="O1802" s="61"/>
      <c r="P1802" s="62"/>
      <c r="Q1802" s="13"/>
      <c r="R1802" s="13"/>
      <c r="S1802" s="14"/>
      <c r="T1802" s="1"/>
      <c r="U1802" s="15"/>
      <c r="V1802" s="1"/>
      <c r="W1802" s="15"/>
      <c r="X1802" s="16"/>
      <c r="Y1802" s="17"/>
    </row>
    <row r="1803" spans="14:25" x14ac:dyDescent="0.25">
      <c r="N1803" s="61"/>
      <c r="O1803" s="61"/>
      <c r="P1803" s="62"/>
      <c r="Q1803" s="13"/>
      <c r="R1803" s="13"/>
      <c r="S1803" s="14"/>
      <c r="T1803" s="1"/>
      <c r="U1803" s="15"/>
      <c r="V1803" s="1"/>
      <c r="W1803" s="15"/>
      <c r="X1803" s="16"/>
      <c r="Y1803" s="17"/>
    </row>
    <row r="1804" spans="14:25" x14ac:dyDescent="0.25">
      <c r="N1804" s="61"/>
      <c r="O1804" s="61"/>
      <c r="P1804" s="62"/>
      <c r="Q1804" s="13"/>
      <c r="R1804" s="13"/>
      <c r="S1804" s="14"/>
      <c r="T1804" s="1"/>
      <c r="U1804" s="15"/>
      <c r="V1804" s="1"/>
      <c r="W1804" s="15"/>
      <c r="X1804" s="16"/>
      <c r="Y1804" s="17"/>
    </row>
    <row r="1805" spans="14:25" x14ac:dyDescent="0.25">
      <c r="N1805" s="61"/>
      <c r="O1805" s="61"/>
      <c r="P1805" s="62"/>
      <c r="Q1805" s="13"/>
      <c r="R1805" s="13"/>
      <c r="S1805" s="14"/>
      <c r="T1805" s="1"/>
      <c r="U1805" s="15"/>
      <c r="V1805" s="1"/>
      <c r="W1805" s="15"/>
      <c r="X1805" s="16"/>
      <c r="Y1805" s="17"/>
    </row>
    <row r="1806" spans="14:25" x14ac:dyDescent="0.25">
      <c r="N1806" s="61"/>
      <c r="O1806" s="61"/>
      <c r="P1806" s="62"/>
      <c r="Q1806" s="13"/>
      <c r="R1806" s="13"/>
      <c r="S1806" s="14"/>
      <c r="T1806" s="1"/>
      <c r="U1806" s="15"/>
      <c r="V1806" s="1"/>
      <c r="W1806" s="15"/>
      <c r="X1806" s="16"/>
      <c r="Y1806" s="17"/>
    </row>
    <row r="1807" spans="14:25" x14ac:dyDescent="0.25">
      <c r="N1807" s="61"/>
      <c r="O1807" s="61"/>
      <c r="P1807" s="62"/>
      <c r="Q1807" s="13"/>
      <c r="R1807" s="13"/>
      <c r="S1807" s="14"/>
      <c r="T1807" s="1"/>
      <c r="U1807" s="15"/>
      <c r="V1807" s="1"/>
      <c r="W1807" s="15"/>
      <c r="X1807" s="16"/>
      <c r="Y1807" s="17"/>
    </row>
    <row r="1808" spans="14:25" x14ac:dyDescent="0.25">
      <c r="N1808" s="61"/>
      <c r="O1808" s="61"/>
      <c r="P1808" s="62"/>
      <c r="Q1808" s="13"/>
      <c r="R1808" s="13"/>
      <c r="S1808" s="14"/>
      <c r="T1808" s="1"/>
      <c r="U1808" s="15"/>
      <c r="V1808" s="1"/>
      <c r="W1808" s="15"/>
      <c r="X1808" s="16"/>
      <c r="Y1808" s="17"/>
    </row>
    <row r="1809" spans="14:25" x14ac:dyDescent="0.25">
      <c r="N1809" s="61"/>
      <c r="O1809" s="61"/>
      <c r="P1809" s="62"/>
      <c r="Q1809" s="13"/>
      <c r="R1809" s="13"/>
      <c r="S1809" s="14"/>
      <c r="T1809" s="1"/>
      <c r="U1809" s="15"/>
      <c r="V1809" s="1"/>
      <c r="W1809" s="15"/>
      <c r="X1809" s="16"/>
      <c r="Y1809" s="17"/>
    </row>
    <row r="1810" spans="14:25" x14ac:dyDescent="0.25">
      <c r="N1810" s="61"/>
      <c r="O1810" s="61"/>
      <c r="P1810" s="62"/>
      <c r="Q1810" s="13"/>
      <c r="R1810" s="13"/>
      <c r="S1810" s="14"/>
      <c r="T1810" s="1"/>
      <c r="U1810" s="15"/>
      <c r="V1810" s="1"/>
      <c r="W1810" s="15"/>
      <c r="X1810" s="16"/>
      <c r="Y1810" s="17"/>
    </row>
    <row r="1811" spans="14:25" x14ac:dyDescent="0.25">
      <c r="N1811" s="61"/>
      <c r="O1811" s="61"/>
      <c r="P1811" s="62"/>
      <c r="Q1811" s="13"/>
      <c r="R1811" s="13"/>
      <c r="S1811" s="14"/>
      <c r="T1811" s="1"/>
      <c r="U1811" s="15"/>
      <c r="V1811" s="1"/>
      <c r="W1811" s="15"/>
      <c r="X1811" s="16"/>
      <c r="Y1811" s="17"/>
    </row>
    <row r="1812" spans="14:25" x14ac:dyDescent="0.25">
      <c r="N1812" s="61"/>
      <c r="O1812" s="61"/>
      <c r="P1812" s="62"/>
      <c r="Q1812" s="13"/>
      <c r="R1812" s="13"/>
      <c r="S1812" s="14"/>
      <c r="T1812" s="1"/>
      <c r="U1812" s="15"/>
      <c r="V1812" s="1"/>
      <c r="W1812" s="15"/>
      <c r="X1812" s="16"/>
      <c r="Y1812" s="17"/>
    </row>
    <row r="1813" spans="14:25" x14ac:dyDescent="0.25">
      <c r="N1813" s="61"/>
      <c r="O1813" s="61"/>
      <c r="P1813" s="62"/>
      <c r="Q1813" s="13"/>
      <c r="R1813" s="13"/>
      <c r="S1813" s="14"/>
      <c r="T1813" s="1"/>
      <c r="U1813" s="15"/>
      <c r="V1813" s="1"/>
      <c r="W1813" s="15"/>
      <c r="X1813" s="16"/>
      <c r="Y1813" s="17"/>
    </row>
    <row r="1814" spans="14:25" x14ac:dyDescent="0.25">
      <c r="N1814" s="61"/>
      <c r="O1814" s="61"/>
      <c r="P1814" s="62"/>
      <c r="Q1814" s="13"/>
      <c r="R1814" s="13"/>
      <c r="S1814" s="14"/>
      <c r="T1814" s="1"/>
      <c r="U1814" s="15"/>
      <c r="V1814" s="1"/>
      <c r="W1814" s="15"/>
      <c r="X1814" s="16"/>
      <c r="Y1814" s="17"/>
    </row>
    <row r="1815" spans="14:25" x14ac:dyDescent="0.25">
      <c r="N1815" s="61"/>
      <c r="O1815" s="61"/>
      <c r="P1815" s="62"/>
      <c r="Q1815" s="13"/>
      <c r="R1815" s="13"/>
      <c r="S1815" s="14"/>
      <c r="T1815" s="1"/>
      <c r="U1815" s="15"/>
      <c r="V1815" s="1"/>
      <c r="W1815" s="15"/>
      <c r="X1815" s="16"/>
      <c r="Y1815" s="17"/>
    </row>
    <row r="1816" spans="14:25" x14ac:dyDescent="0.25">
      <c r="N1816" s="61"/>
      <c r="O1816" s="61"/>
      <c r="P1816" s="62"/>
      <c r="Q1816" s="13"/>
      <c r="R1816" s="13"/>
      <c r="S1816" s="14"/>
      <c r="T1816" s="1"/>
      <c r="U1816" s="15"/>
      <c r="V1816" s="1"/>
      <c r="W1816" s="15"/>
      <c r="X1816" s="16"/>
      <c r="Y1816" s="17"/>
    </row>
    <row r="1817" spans="14:25" x14ac:dyDescent="0.25">
      <c r="N1817" s="61"/>
      <c r="O1817" s="61"/>
      <c r="P1817" s="62"/>
      <c r="Q1817" s="13"/>
      <c r="R1817" s="13"/>
      <c r="S1817" s="14"/>
      <c r="T1817" s="1"/>
      <c r="U1817" s="15"/>
      <c r="V1817" s="1"/>
      <c r="W1817" s="15"/>
      <c r="X1817" s="16"/>
      <c r="Y1817" s="17"/>
    </row>
    <row r="1818" spans="14:25" x14ac:dyDescent="0.25">
      <c r="N1818" s="61"/>
      <c r="O1818" s="61"/>
      <c r="P1818" s="62"/>
      <c r="Q1818" s="13"/>
      <c r="R1818" s="13"/>
      <c r="S1818" s="14"/>
      <c r="T1818" s="1"/>
      <c r="U1818" s="15"/>
      <c r="V1818" s="1"/>
      <c r="W1818" s="15"/>
      <c r="X1818" s="16"/>
      <c r="Y1818" s="17"/>
    </row>
    <row r="1819" spans="14:25" x14ac:dyDescent="0.25">
      <c r="N1819" s="61"/>
      <c r="O1819" s="61"/>
      <c r="P1819" s="62"/>
      <c r="Q1819" s="13"/>
      <c r="R1819" s="13"/>
      <c r="S1819" s="14"/>
      <c r="T1819" s="1"/>
      <c r="U1819" s="15"/>
      <c r="V1819" s="1"/>
      <c r="W1819" s="15"/>
      <c r="X1819" s="16"/>
      <c r="Y1819" s="17"/>
    </row>
    <row r="1820" spans="14:25" x14ac:dyDescent="0.25">
      <c r="N1820" s="61"/>
      <c r="O1820" s="61"/>
      <c r="P1820" s="62"/>
      <c r="Q1820" s="13"/>
      <c r="R1820" s="13"/>
      <c r="S1820" s="14"/>
      <c r="T1820" s="1"/>
      <c r="U1820" s="15"/>
      <c r="V1820" s="1"/>
      <c r="W1820" s="15"/>
      <c r="X1820" s="16"/>
      <c r="Y1820" s="17"/>
    </row>
    <row r="1821" spans="14:25" x14ac:dyDescent="0.25">
      <c r="N1821" s="61"/>
      <c r="O1821" s="61"/>
      <c r="P1821" s="62"/>
      <c r="Q1821" s="13"/>
      <c r="R1821" s="13"/>
      <c r="S1821" s="14"/>
      <c r="T1821" s="1"/>
      <c r="U1821" s="15"/>
      <c r="V1821" s="1"/>
      <c r="W1821" s="15"/>
      <c r="X1821" s="16"/>
      <c r="Y1821" s="17"/>
    </row>
    <row r="1822" spans="14:25" x14ac:dyDescent="0.25">
      <c r="N1822" s="61"/>
      <c r="O1822" s="61"/>
      <c r="P1822" s="62"/>
      <c r="Q1822" s="13"/>
      <c r="R1822" s="13"/>
      <c r="S1822" s="14"/>
      <c r="T1822" s="1"/>
      <c r="U1822" s="15"/>
      <c r="V1822" s="1"/>
      <c r="W1822" s="15"/>
      <c r="X1822" s="16"/>
      <c r="Y1822" s="17"/>
    </row>
    <row r="1823" spans="14:25" x14ac:dyDescent="0.25">
      <c r="N1823" s="61"/>
      <c r="O1823" s="61"/>
      <c r="P1823" s="62"/>
      <c r="Q1823" s="13"/>
      <c r="R1823" s="13"/>
      <c r="S1823" s="14"/>
      <c r="T1823" s="1"/>
      <c r="U1823" s="15"/>
      <c r="V1823" s="1"/>
      <c r="W1823" s="15"/>
      <c r="X1823" s="16"/>
      <c r="Y1823" s="17"/>
    </row>
    <row r="1824" spans="14:25" x14ac:dyDescent="0.25">
      <c r="N1824" s="61"/>
      <c r="O1824" s="61"/>
      <c r="P1824" s="62"/>
      <c r="Q1824" s="13"/>
      <c r="R1824" s="13"/>
      <c r="S1824" s="14"/>
      <c r="T1824" s="1"/>
      <c r="U1824" s="15"/>
      <c r="V1824" s="1"/>
      <c r="W1824" s="15"/>
      <c r="X1824" s="16"/>
      <c r="Y1824" s="17"/>
    </row>
    <row r="1825" spans="14:25" x14ac:dyDescent="0.25">
      <c r="N1825" s="61"/>
      <c r="O1825" s="61"/>
      <c r="P1825" s="62"/>
      <c r="Q1825" s="13"/>
      <c r="R1825" s="13"/>
      <c r="S1825" s="14"/>
      <c r="T1825" s="1"/>
      <c r="U1825" s="15"/>
      <c r="V1825" s="1"/>
      <c r="W1825" s="15"/>
      <c r="X1825" s="16"/>
      <c r="Y1825" s="17"/>
    </row>
    <row r="1826" spans="14:25" x14ac:dyDescent="0.25">
      <c r="N1826" s="61"/>
      <c r="O1826" s="61"/>
      <c r="P1826" s="62"/>
      <c r="Q1826" s="13"/>
      <c r="R1826" s="13"/>
      <c r="S1826" s="14"/>
      <c r="T1826" s="1"/>
      <c r="U1826" s="15"/>
      <c r="V1826" s="1"/>
      <c r="W1826" s="15"/>
      <c r="X1826" s="16"/>
      <c r="Y1826" s="17"/>
    </row>
    <row r="1827" spans="14:25" x14ac:dyDescent="0.25">
      <c r="N1827" s="61"/>
      <c r="O1827" s="61"/>
      <c r="P1827" s="62"/>
      <c r="Q1827" s="13"/>
      <c r="R1827" s="13"/>
      <c r="S1827" s="14"/>
      <c r="T1827" s="1"/>
      <c r="U1827" s="15"/>
      <c r="V1827" s="1"/>
      <c r="W1827" s="15"/>
      <c r="X1827" s="16"/>
      <c r="Y1827" s="17"/>
    </row>
    <row r="1828" spans="14:25" x14ac:dyDescent="0.25">
      <c r="N1828" s="61"/>
      <c r="O1828" s="61"/>
      <c r="P1828" s="62"/>
      <c r="Q1828" s="13"/>
      <c r="R1828" s="13"/>
      <c r="S1828" s="14"/>
      <c r="T1828" s="1"/>
      <c r="U1828" s="15"/>
      <c r="V1828" s="1"/>
      <c r="W1828" s="15"/>
      <c r="X1828" s="16"/>
      <c r="Y1828" s="17"/>
    </row>
    <row r="1829" spans="14:25" x14ac:dyDescent="0.25">
      <c r="N1829" s="61"/>
      <c r="O1829" s="61"/>
      <c r="P1829" s="62"/>
      <c r="Q1829" s="13"/>
      <c r="R1829" s="13"/>
      <c r="S1829" s="14"/>
      <c r="T1829" s="1"/>
      <c r="U1829" s="15"/>
      <c r="V1829" s="1"/>
      <c r="W1829" s="15"/>
      <c r="X1829" s="16"/>
      <c r="Y1829" s="17"/>
    </row>
    <row r="1830" spans="14:25" x14ac:dyDescent="0.25">
      <c r="N1830" s="61"/>
      <c r="O1830" s="61"/>
      <c r="P1830" s="62"/>
      <c r="Q1830" s="13"/>
      <c r="R1830" s="13"/>
      <c r="S1830" s="14"/>
      <c r="T1830" s="1"/>
      <c r="U1830" s="15"/>
      <c r="V1830" s="1"/>
      <c r="W1830" s="15"/>
      <c r="X1830" s="16"/>
      <c r="Y1830" s="17"/>
    </row>
    <row r="1831" spans="14:25" x14ac:dyDescent="0.25">
      <c r="N1831" s="61"/>
      <c r="O1831" s="61"/>
      <c r="P1831" s="62"/>
      <c r="Q1831" s="13"/>
      <c r="R1831" s="13"/>
      <c r="S1831" s="14"/>
      <c r="T1831" s="1"/>
      <c r="U1831" s="15"/>
      <c r="V1831" s="1"/>
      <c r="W1831" s="15"/>
      <c r="X1831" s="16"/>
      <c r="Y1831" s="17"/>
    </row>
    <row r="1832" spans="14:25" x14ac:dyDescent="0.25">
      <c r="N1832" s="61"/>
      <c r="O1832" s="61"/>
      <c r="P1832" s="62"/>
      <c r="Q1832" s="13"/>
      <c r="R1832" s="13"/>
      <c r="S1832" s="14"/>
      <c r="T1832" s="1"/>
      <c r="U1832" s="15"/>
      <c r="V1832" s="1"/>
      <c r="W1832" s="15"/>
      <c r="X1832" s="16"/>
      <c r="Y1832" s="17"/>
    </row>
    <row r="1833" spans="14:25" x14ac:dyDescent="0.25">
      <c r="N1833" s="61"/>
      <c r="O1833" s="61"/>
      <c r="P1833" s="62"/>
      <c r="Q1833" s="13"/>
      <c r="R1833" s="13"/>
      <c r="S1833" s="14"/>
      <c r="T1833" s="1"/>
      <c r="U1833" s="15"/>
      <c r="V1833" s="1"/>
      <c r="W1833" s="15"/>
      <c r="X1833" s="16"/>
      <c r="Y1833" s="17"/>
    </row>
    <row r="1834" spans="14:25" x14ac:dyDescent="0.25">
      <c r="N1834" s="61"/>
      <c r="O1834" s="61"/>
      <c r="P1834" s="62"/>
      <c r="Q1834" s="13"/>
      <c r="R1834" s="13"/>
      <c r="S1834" s="14"/>
      <c r="T1834" s="1"/>
      <c r="U1834" s="15"/>
      <c r="V1834" s="1"/>
      <c r="W1834" s="15"/>
      <c r="X1834" s="16"/>
      <c r="Y1834" s="17"/>
    </row>
    <row r="1835" spans="14:25" x14ac:dyDescent="0.25">
      <c r="N1835" s="61"/>
      <c r="O1835" s="61"/>
      <c r="P1835" s="62"/>
      <c r="Q1835" s="13"/>
      <c r="R1835" s="13"/>
      <c r="S1835" s="14"/>
      <c r="T1835" s="1"/>
      <c r="U1835" s="15"/>
      <c r="V1835" s="1"/>
      <c r="W1835" s="15"/>
      <c r="X1835" s="16"/>
      <c r="Y1835" s="17"/>
    </row>
    <row r="1836" spans="14:25" x14ac:dyDescent="0.25">
      <c r="N1836" s="61"/>
      <c r="O1836" s="61"/>
      <c r="P1836" s="62"/>
      <c r="Q1836" s="13"/>
      <c r="R1836" s="13"/>
      <c r="S1836" s="14"/>
      <c r="T1836" s="1"/>
      <c r="U1836" s="15"/>
      <c r="V1836" s="1"/>
      <c r="W1836" s="15"/>
      <c r="X1836" s="16"/>
      <c r="Y1836" s="17"/>
    </row>
    <row r="1837" spans="14:25" x14ac:dyDescent="0.25">
      <c r="N1837" s="61"/>
      <c r="O1837" s="61"/>
      <c r="P1837" s="62"/>
      <c r="Q1837" s="13"/>
      <c r="R1837" s="13"/>
      <c r="S1837" s="14"/>
      <c r="T1837" s="1"/>
      <c r="U1837" s="15"/>
      <c r="V1837" s="1"/>
      <c r="W1837" s="15"/>
      <c r="X1837" s="16"/>
      <c r="Y1837" s="17"/>
    </row>
    <row r="1838" spans="14:25" x14ac:dyDescent="0.25">
      <c r="N1838" s="61"/>
      <c r="O1838" s="61"/>
      <c r="P1838" s="62"/>
      <c r="Q1838" s="13"/>
      <c r="R1838" s="13"/>
      <c r="S1838" s="14"/>
      <c r="T1838" s="1"/>
      <c r="U1838" s="15"/>
      <c r="V1838" s="1"/>
      <c r="W1838" s="15"/>
      <c r="X1838" s="16"/>
      <c r="Y1838" s="17"/>
    </row>
    <row r="1839" spans="14:25" x14ac:dyDescent="0.25">
      <c r="N1839" s="61"/>
      <c r="O1839" s="61"/>
      <c r="P1839" s="62"/>
      <c r="Q1839" s="13"/>
      <c r="R1839" s="13"/>
      <c r="S1839" s="14"/>
      <c r="T1839" s="1"/>
      <c r="U1839" s="15"/>
      <c r="V1839" s="1"/>
      <c r="W1839" s="15"/>
      <c r="X1839" s="16"/>
      <c r="Y1839" s="17"/>
    </row>
    <row r="1840" spans="14:25" x14ac:dyDescent="0.25">
      <c r="N1840" s="61"/>
      <c r="O1840" s="61"/>
      <c r="P1840" s="62"/>
      <c r="Q1840" s="13"/>
      <c r="R1840" s="13"/>
      <c r="S1840" s="14"/>
      <c r="T1840" s="1"/>
      <c r="U1840" s="15"/>
      <c r="V1840" s="1"/>
      <c r="W1840" s="15"/>
      <c r="X1840" s="16"/>
      <c r="Y1840" s="17"/>
    </row>
    <row r="1841" spans="14:25" x14ac:dyDescent="0.25">
      <c r="N1841" s="61"/>
      <c r="O1841" s="61"/>
      <c r="P1841" s="62"/>
      <c r="Q1841" s="13"/>
      <c r="R1841" s="13"/>
      <c r="S1841" s="14"/>
      <c r="T1841" s="1"/>
      <c r="U1841" s="15"/>
      <c r="V1841" s="1"/>
      <c r="W1841" s="15"/>
      <c r="X1841" s="16"/>
      <c r="Y1841" s="17"/>
    </row>
    <row r="1842" spans="14:25" x14ac:dyDescent="0.25">
      <c r="N1842" s="61"/>
      <c r="O1842" s="61"/>
      <c r="P1842" s="62"/>
      <c r="Q1842" s="13"/>
      <c r="R1842" s="13"/>
      <c r="S1842" s="14"/>
      <c r="T1842" s="1"/>
      <c r="U1842" s="15"/>
      <c r="V1842" s="1"/>
      <c r="W1842" s="15"/>
      <c r="X1842" s="16"/>
      <c r="Y1842" s="17"/>
    </row>
    <row r="1843" spans="14:25" x14ac:dyDescent="0.25">
      <c r="N1843" s="61"/>
      <c r="O1843" s="61"/>
      <c r="P1843" s="62"/>
      <c r="Q1843" s="13"/>
      <c r="R1843" s="13"/>
      <c r="S1843" s="14"/>
      <c r="T1843" s="1"/>
      <c r="U1843" s="15"/>
      <c r="V1843" s="1"/>
      <c r="W1843" s="15"/>
      <c r="X1843" s="16"/>
      <c r="Y1843" s="17"/>
    </row>
    <row r="1844" spans="14:25" x14ac:dyDescent="0.25">
      <c r="N1844" s="61"/>
      <c r="O1844" s="61"/>
      <c r="P1844" s="62"/>
      <c r="Q1844" s="13"/>
      <c r="R1844" s="13"/>
      <c r="S1844" s="14"/>
      <c r="T1844" s="1"/>
      <c r="U1844" s="15"/>
      <c r="V1844" s="1"/>
      <c r="W1844" s="15"/>
      <c r="X1844" s="16"/>
      <c r="Y1844" s="17"/>
    </row>
    <row r="1845" spans="14:25" x14ac:dyDescent="0.25">
      <c r="N1845" s="61"/>
      <c r="O1845" s="61"/>
      <c r="P1845" s="62"/>
      <c r="Q1845" s="13"/>
      <c r="R1845" s="13"/>
      <c r="S1845" s="14"/>
      <c r="T1845" s="1"/>
      <c r="U1845" s="15"/>
      <c r="V1845" s="1"/>
      <c r="W1845" s="15"/>
      <c r="X1845" s="16"/>
      <c r="Y1845" s="17"/>
    </row>
    <row r="1846" spans="14:25" x14ac:dyDescent="0.25">
      <c r="N1846" s="61"/>
      <c r="O1846" s="61"/>
      <c r="P1846" s="62"/>
      <c r="Q1846" s="13"/>
      <c r="R1846" s="13"/>
      <c r="S1846" s="14"/>
      <c r="T1846" s="1"/>
      <c r="U1846" s="15"/>
      <c r="V1846" s="1"/>
      <c r="W1846" s="15"/>
      <c r="X1846" s="16"/>
      <c r="Y1846" s="17"/>
    </row>
    <row r="1847" spans="14:25" x14ac:dyDescent="0.25">
      <c r="N1847" s="61"/>
      <c r="O1847" s="61"/>
      <c r="P1847" s="62"/>
      <c r="Q1847" s="13"/>
      <c r="R1847" s="13"/>
      <c r="S1847" s="14"/>
      <c r="T1847" s="1"/>
      <c r="U1847" s="15"/>
      <c r="V1847" s="1"/>
      <c r="W1847" s="15"/>
      <c r="X1847" s="16"/>
      <c r="Y1847" s="17"/>
    </row>
    <row r="1848" spans="14:25" x14ac:dyDescent="0.25">
      <c r="N1848" s="61"/>
      <c r="O1848" s="61"/>
      <c r="P1848" s="62"/>
      <c r="Q1848" s="13"/>
      <c r="R1848" s="13"/>
      <c r="S1848" s="14"/>
      <c r="T1848" s="1"/>
      <c r="U1848" s="15"/>
      <c r="V1848" s="1"/>
      <c r="W1848" s="15"/>
      <c r="X1848" s="16"/>
      <c r="Y1848" s="17"/>
    </row>
    <row r="1849" spans="14:25" x14ac:dyDescent="0.25">
      <c r="N1849" s="61"/>
      <c r="O1849" s="61"/>
      <c r="P1849" s="62"/>
      <c r="Q1849" s="13"/>
      <c r="R1849" s="13"/>
      <c r="S1849" s="14"/>
      <c r="T1849" s="1"/>
      <c r="U1849" s="15"/>
      <c r="V1849" s="1"/>
      <c r="W1849" s="15"/>
      <c r="X1849" s="16"/>
      <c r="Y1849" s="17"/>
    </row>
    <row r="1850" spans="14:25" x14ac:dyDescent="0.25">
      <c r="N1850" s="61"/>
      <c r="O1850" s="61"/>
      <c r="P1850" s="62"/>
      <c r="Q1850" s="13"/>
      <c r="R1850" s="13"/>
      <c r="S1850" s="14"/>
      <c r="T1850" s="1"/>
      <c r="U1850" s="15"/>
      <c r="V1850" s="1"/>
      <c r="W1850" s="15"/>
      <c r="X1850" s="16"/>
      <c r="Y1850" s="17"/>
    </row>
    <row r="1851" spans="14:25" x14ac:dyDescent="0.25">
      <c r="N1851" s="61"/>
      <c r="O1851" s="61"/>
      <c r="P1851" s="62"/>
      <c r="Q1851" s="13"/>
      <c r="R1851" s="13"/>
      <c r="S1851" s="14"/>
      <c r="T1851" s="1"/>
      <c r="U1851" s="15"/>
      <c r="V1851" s="1"/>
      <c r="W1851" s="15"/>
      <c r="X1851" s="16"/>
      <c r="Y1851" s="17"/>
    </row>
    <row r="1852" spans="14:25" x14ac:dyDescent="0.25">
      <c r="N1852" s="61"/>
      <c r="O1852" s="61"/>
      <c r="P1852" s="62"/>
      <c r="Q1852" s="13"/>
      <c r="R1852" s="13"/>
      <c r="S1852" s="14"/>
      <c r="T1852" s="1"/>
      <c r="U1852" s="15"/>
      <c r="V1852" s="1"/>
      <c r="W1852" s="15"/>
      <c r="X1852" s="16"/>
      <c r="Y1852" s="17"/>
    </row>
    <row r="1853" spans="14:25" x14ac:dyDescent="0.25">
      <c r="N1853" s="61"/>
      <c r="O1853" s="61"/>
      <c r="P1853" s="62"/>
      <c r="Q1853" s="13"/>
      <c r="R1853" s="13"/>
      <c r="S1853" s="14"/>
      <c r="T1853" s="1"/>
      <c r="U1853" s="15"/>
      <c r="V1853" s="1"/>
      <c r="W1853" s="15"/>
      <c r="X1853" s="16"/>
      <c r="Y1853" s="17"/>
    </row>
    <row r="1854" spans="14:25" x14ac:dyDescent="0.25">
      <c r="N1854" s="61"/>
      <c r="O1854" s="61"/>
      <c r="P1854" s="62"/>
      <c r="Q1854" s="13"/>
      <c r="R1854" s="13"/>
      <c r="S1854" s="14"/>
      <c r="T1854" s="1"/>
      <c r="U1854" s="15"/>
      <c r="V1854" s="1"/>
      <c r="W1854" s="15"/>
      <c r="X1854" s="16"/>
      <c r="Y1854" s="17"/>
    </row>
    <row r="1855" spans="14:25" x14ac:dyDescent="0.25">
      <c r="N1855" s="61"/>
      <c r="O1855" s="61"/>
      <c r="P1855" s="62"/>
      <c r="Q1855" s="13"/>
      <c r="R1855" s="13"/>
      <c r="S1855" s="14"/>
      <c r="T1855" s="1"/>
      <c r="U1855" s="15"/>
      <c r="V1855" s="1"/>
      <c r="W1855" s="15"/>
      <c r="X1855" s="16"/>
      <c r="Y1855" s="17"/>
    </row>
    <row r="1856" spans="14:25" x14ac:dyDescent="0.25">
      <c r="N1856" s="61"/>
      <c r="O1856" s="61"/>
      <c r="P1856" s="62"/>
      <c r="Q1856" s="13"/>
      <c r="R1856" s="13"/>
      <c r="S1856" s="14"/>
      <c r="T1856" s="1"/>
      <c r="U1856" s="15"/>
      <c r="V1856" s="1"/>
      <c r="W1856" s="15"/>
      <c r="X1856" s="16"/>
      <c r="Y1856" s="17"/>
    </row>
    <row r="1857" spans="14:25" x14ac:dyDescent="0.25">
      <c r="N1857" s="61"/>
      <c r="O1857" s="61"/>
      <c r="P1857" s="62"/>
      <c r="Q1857" s="13"/>
      <c r="R1857" s="13"/>
      <c r="S1857" s="14"/>
      <c r="T1857" s="1"/>
      <c r="U1857" s="15"/>
      <c r="V1857" s="1"/>
      <c r="W1857" s="15"/>
      <c r="X1857" s="16"/>
      <c r="Y1857" s="17"/>
    </row>
    <row r="1858" spans="14:25" x14ac:dyDescent="0.25">
      <c r="N1858" s="61"/>
      <c r="O1858" s="61"/>
      <c r="P1858" s="62"/>
      <c r="Q1858" s="13"/>
      <c r="R1858" s="13"/>
      <c r="S1858" s="14"/>
      <c r="T1858" s="1"/>
      <c r="U1858" s="15"/>
      <c r="V1858" s="1"/>
      <c r="W1858" s="15"/>
      <c r="X1858" s="16"/>
      <c r="Y1858" s="17"/>
    </row>
    <row r="1859" spans="14:25" x14ac:dyDescent="0.25">
      <c r="N1859" s="61"/>
      <c r="O1859" s="61"/>
      <c r="P1859" s="62"/>
      <c r="Q1859" s="13"/>
      <c r="R1859" s="13"/>
      <c r="S1859" s="14"/>
      <c r="T1859" s="1"/>
      <c r="U1859" s="15"/>
      <c r="V1859" s="1"/>
      <c r="W1859" s="15"/>
      <c r="X1859" s="16"/>
      <c r="Y1859" s="17"/>
    </row>
    <row r="1860" spans="14:25" x14ac:dyDescent="0.25">
      <c r="N1860" s="61"/>
      <c r="O1860" s="61"/>
      <c r="P1860" s="62"/>
      <c r="Q1860" s="13"/>
      <c r="R1860" s="13"/>
      <c r="S1860" s="14"/>
      <c r="T1860" s="1"/>
      <c r="U1860" s="15"/>
      <c r="V1860" s="1"/>
      <c r="W1860" s="15"/>
      <c r="X1860" s="16"/>
      <c r="Y1860" s="17"/>
    </row>
    <row r="1861" spans="14:25" x14ac:dyDescent="0.25">
      <c r="N1861" s="61"/>
      <c r="O1861" s="61"/>
      <c r="P1861" s="62"/>
      <c r="Q1861" s="13"/>
      <c r="R1861" s="13"/>
      <c r="S1861" s="14"/>
      <c r="T1861" s="1"/>
      <c r="U1861" s="15"/>
      <c r="V1861" s="1"/>
      <c r="W1861" s="15"/>
      <c r="X1861" s="16"/>
      <c r="Y1861" s="17"/>
    </row>
    <row r="1862" spans="14:25" x14ac:dyDescent="0.25">
      <c r="N1862" s="61"/>
      <c r="O1862" s="61"/>
      <c r="P1862" s="62"/>
      <c r="Q1862" s="13"/>
      <c r="R1862" s="13"/>
      <c r="S1862" s="14"/>
      <c r="T1862" s="1"/>
      <c r="U1862" s="15"/>
      <c r="V1862" s="1"/>
      <c r="W1862" s="15"/>
      <c r="X1862" s="16"/>
      <c r="Y1862" s="17"/>
    </row>
    <row r="1863" spans="14:25" x14ac:dyDescent="0.25">
      <c r="N1863" s="61"/>
      <c r="O1863" s="61"/>
      <c r="P1863" s="62"/>
      <c r="Q1863" s="13"/>
      <c r="R1863" s="13"/>
      <c r="S1863" s="14"/>
      <c r="T1863" s="1"/>
      <c r="U1863" s="15"/>
      <c r="V1863" s="1"/>
      <c r="W1863" s="15"/>
      <c r="X1863" s="16"/>
      <c r="Y1863" s="17"/>
    </row>
    <row r="1864" spans="14:25" x14ac:dyDescent="0.25">
      <c r="N1864" s="61"/>
      <c r="O1864" s="61"/>
      <c r="P1864" s="62"/>
      <c r="Q1864" s="13"/>
      <c r="R1864" s="13"/>
      <c r="S1864" s="14"/>
      <c r="T1864" s="1"/>
      <c r="U1864" s="15"/>
      <c r="V1864" s="1"/>
      <c r="W1864" s="15"/>
      <c r="X1864" s="16"/>
      <c r="Y1864" s="17"/>
    </row>
    <row r="1865" spans="14:25" x14ac:dyDescent="0.25">
      <c r="N1865" s="61"/>
      <c r="O1865" s="61"/>
      <c r="P1865" s="62"/>
      <c r="Q1865" s="13"/>
      <c r="R1865" s="13"/>
      <c r="S1865" s="14"/>
      <c r="T1865" s="1"/>
      <c r="U1865" s="15"/>
      <c r="V1865" s="1"/>
      <c r="W1865" s="15"/>
      <c r="X1865" s="16"/>
      <c r="Y1865" s="17"/>
    </row>
    <row r="1866" spans="14:25" x14ac:dyDescent="0.25">
      <c r="N1866" s="61"/>
      <c r="O1866" s="61"/>
      <c r="P1866" s="62"/>
      <c r="Q1866" s="13"/>
      <c r="R1866" s="13"/>
      <c r="S1866" s="14"/>
      <c r="T1866" s="1"/>
      <c r="U1866" s="15"/>
      <c r="V1866" s="1"/>
      <c r="W1866" s="15"/>
      <c r="X1866" s="16"/>
      <c r="Y1866" s="17"/>
    </row>
    <row r="1867" spans="14:25" x14ac:dyDescent="0.25">
      <c r="N1867" s="61"/>
      <c r="O1867" s="61"/>
      <c r="P1867" s="62"/>
      <c r="Q1867" s="13"/>
      <c r="R1867" s="13"/>
      <c r="S1867" s="14"/>
      <c r="T1867" s="1"/>
      <c r="U1867" s="15"/>
      <c r="V1867" s="1"/>
      <c r="W1867" s="15"/>
      <c r="X1867" s="16"/>
      <c r="Y1867" s="17"/>
    </row>
    <row r="1868" spans="14:25" x14ac:dyDescent="0.25">
      <c r="N1868" s="61"/>
      <c r="O1868" s="61"/>
      <c r="P1868" s="62"/>
      <c r="Q1868" s="13"/>
      <c r="R1868" s="13"/>
      <c r="S1868" s="14"/>
      <c r="T1868" s="1"/>
      <c r="U1868" s="15"/>
      <c r="V1868" s="1"/>
      <c r="W1868" s="15"/>
      <c r="X1868" s="16"/>
      <c r="Y1868" s="17"/>
    </row>
    <row r="1869" spans="14:25" x14ac:dyDescent="0.25">
      <c r="N1869" s="61"/>
      <c r="O1869" s="61"/>
      <c r="P1869" s="62"/>
      <c r="Q1869" s="13"/>
      <c r="R1869" s="13"/>
      <c r="S1869" s="14"/>
      <c r="T1869" s="1"/>
      <c r="U1869" s="15"/>
      <c r="V1869" s="1"/>
      <c r="W1869" s="15"/>
      <c r="X1869" s="16"/>
      <c r="Y1869" s="17"/>
    </row>
    <row r="1870" spans="14:25" x14ac:dyDescent="0.25">
      <c r="N1870" s="61"/>
      <c r="O1870" s="61"/>
      <c r="P1870" s="62"/>
      <c r="Q1870" s="13"/>
      <c r="R1870" s="13"/>
      <c r="S1870" s="14"/>
      <c r="T1870" s="1"/>
      <c r="U1870" s="15"/>
      <c r="V1870" s="1"/>
      <c r="W1870" s="15"/>
      <c r="X1870" s="16"/>
      <c r="Y1870" s="17"/>
    </row>
    <row r="1871" spans="14:25" x14ac:dyDescent="0.25">
      <c r="N1871" s="61"/>
      <c r="O1871" s="61"/>
      <c r="P1871" s="62"/>
      <c r="Q1871" s="13"/>
      <c r="R1871" s="13"/>
      <c r="S1871" s="14"/>
      <c r="T1871" s="1"/>
      <c r="U1871" s="15"/>
      <c r="V1871" s="1"/>
      <c r="W1871" s="15"/>
      <c r="X1871" s="16"/>
      <c r="Y1871" s="17"/>
    </row>
    <row r="1872" spans="14:25" x14ac:dyDescent="0.25">
      <c r="N1872" s="61"/>
      <c r="O1872" s="61"/>
      <c r="P1872" s="62"/>
      <c r="Q1872" s="13"/>
      <c r="R1872" s="13"/>
      <c r="S1872" s="14"/>
      <c r="T1872" s="1"/>
      <c r="U1872" s="15"/>
      <c r="V1872" s="1"/>
      <c r="W1872" s="15"/>
      <c r="X1872" s="16"/>
      <c r="Y1872" s="17"/>
    </row>
    <row r="1873" spans="14:25" x14ac:dyDescent="0.25">
      <c r="N1873" s="61"/>
      <c r="O1873" s="61"/>
      <c r="P1873" s="62"/>
      <c r="Q1873" s="13"/>
      <c r="R1873" s="13"/>
      <c r="S1873" s="14"/>
      <c r="T1873" s="1"/>
      <c r="U1873" s="15"/>
      <c r="V1873" s="1"/>
      <c r="W1873" s="15"/>
      <c r="X1873" s="16"/>
      <c r="Y1873" s="17"/>
    </row>
    <row r="1874" spans="14:25" x14ac:dyDescent="0.25">
      <c r="N1874" s="61"/>
      <c r="O1874" s="61"/>
      <c r="P1874" s="62"/>
      <c r="Q1874" s="13"/>
      <c r="R1874" s="13"/>
      <c r="S1874" s="14"/>
      <c r="T1874" s="1"/>
      <c r="U1874" s="15"/>
      <c r="V1874" s="1"/>
      <c r="W1874" s="15"/>
      <c r="X1874" s="16"/>
      <c r="Y1874" s="17"/>
    </row>
    <row r="1875" spans="14:25" x14ac:dyDescent="0.25">
      <c r="N1875" s="61"/>
      <c r="O1875" s="61"/>
      <c r="P1875" s="62"/>
      <c r="Q1875" s="13"/>
      <c r="R1875" s="13"/>
      <c r="S1875" s="14"/>
      <c r="T1875" s="1"/>
      <c r="U1875" s="15"/>
      <c r="V1875" s="1"/>
      <c r="W1875" s="15"/>
      <c r="X1875" s="16"/>
      <c r="Y1875" s="17"/>
    </row>
    <row r="1876" spans="14:25" x14ac:dyDescent="0.25">
      <c r="N1876" s="61"/>
      <c r="O1876" s="61"/>
      <c r="P1876" s="62"/>
      <c r="Q1876" s="13"/>
      <c r="R1876" s="13"/>
      <c r="S1876" s="14"/>
      <c r="T1876" s="1"/>
      <c r="U1876" s="15"/>
      <c r="V1876" s="1"/>
      <c r="W1876" s="15"/>
      <c r="X1876" s="16"/>
      <c r="Y1876" s="17"/>
    </row>
    <row r="1877" spans="14:25" x14ac:dyDescent="0.25">
      <c r="N1877" s="61"/>
      <c r="O1877" s="61"/>
      <c r="P1877" s="62"/>
      <c r="Q1877" s="13"/>
      <c r="R1877" s="13"/>
      <c r="S1877" s="14"/>
      <c r="T1877" s="1"/>
      <c r="U1877" s="15"/>
      <c r="V1877" s="1"/>
      <c r="W1877" s="15"/>
      <c r="X1877" s="16"/>
      <c r="Y1877" s="17"/>
    </row>
    <row r="1878" spans="14:25" x14ac:dyDescent="0.25">
      <c r="N1878" s="61"/>
      <c r="O1878" s="61"/>
      <c r="P1878" s="62"/>
      <c r="Q1878" s="13"/>
      <c r="R1878" s="13"/>
      <c r="S1878" s="14"/>
      <c r="T1878" s="1"/>
      <c r="U1878" s="15"/>
      <c r="V1878" s="1"/>
      <c r="W1878" s="15"/>
      <c r="X1878" s="16"/>
      <c r="Y1878" s="17"/>
    </row>
    <row r="1879" spans="14:25" x14ac:dyDescent="0.25">
      <c r="N1879" s="61"/>
      <c r="O1879" s="61"/>
      <c r="P1879" s="62"/>
      <c r="Q1879" s="13"/>
      <c r="R1879" s="13"/>
      <c r="S1879" s="14"/>
      <c r="T1879" s="1"/>
      <c r="U1879" s="15"/>
      <c r="V1879" s="1"/>
      <c r="W1879" s="15"/>
      <c r="X1879" s="16"/>
      <c r="Y1879" s="17"/>
    </row>
    <row r="1880" spans="14:25" x14ac:dyDescent="0.25">
      <c r="N1880" s="61"/>
      <c r="O1880" s="61"/>
      <c r="P1880" s="62"/>
      <c r="Q1880" s="13"/>
      <c r="R1880" s="13"/>
      <c r="S1880" s="14"/>
      <c r="T1880" s="1"/>
      <c r="U1880" s="15"/>
      <c r="V1880" s="1"/>
      <c r="W1880" s="15"/>
      <c r="X1880" s="16"/>
      <c r="Y1880" s="17"/>
    </row>
    <row r="1881" spans="14:25" x14ac:dyDescent="0.25">
      <c r="N1881" s="61"/>
      <c r="O1881" s="61"/>
      <c r="P1881" s="62"/>
      <c r="Q1881" s="13"/>
      <c r="R1881" s="13"/>
      <c r="S1881" s="14"/>
      <c r="T1881" s="1"/>
      <c r="U1881" s="15"/>
      <c r="V1881" s="1"/>
      <c r="W1881" s="15"/>
      <c r="X1881" s="16"/>
      <c r="Y1881" s="17"/>
    </row>
    <row r="1882" spans="14:25" x14ac:dyDescent="0.25">
      <c r="N1882" s="61"/>
      <c r="O1882" s="61"/>
      <c r="P1882" s="62"/>
      <c r="Q1882" s="13"/>
      <c r="R1882" s="13"/>
      <c r="S1882" s="14"/>
      <c r="T1882" s="1"/>
      <c r="U1882" s="15"/>
      <c r="V1882" s="1"/>
      <c r="W1882" s="15"/>
      <c r="X1882" s="16"/>
      <c r="Y1882" s="17"/>
    </row>
    <row r="1883" spans="14:25" x14ac:dyDescent="0.25">
      <c r="N1883" s="61"/>
      <c r="O1883" s="61"/>
      <c r="P1883" s="62"/>
      <c r="Q1883" s="13"/>
      <c r="R1883" s="13"/>
      <c r="S1883" s="14"/>
      <c r="T1883" s="1"/>
      <c r="U1883" s="15"/>
      <c r="V1883" s="1"/>
      <c r="W1883" s="15"/>
      <c r="X1883" s="16"/>
      <c r="Y1883" s="17"/>
    </row>
    <row r="1884" spans="14:25" x14ac:dyDescent="0.25">
      <c r="N1884" s="61"/>
      <c r="O1884" s="61"/>
      <c r="P1884" s="62"/>
      <c r="Q1884" s="13"/>
      <c r="R1884" s="13"/>
      <c r="S1884" s="14"/>
      <c r="T1884" s="1"/>
      <c r="U1884" s="15"/>
      <c r="V1884" s="1"/>
      <c r="W1884" s="15"/>
      <c r="X1884" s="16"/>
      <c r="Y1884" s="17"/>
    </row>
    <row r="1885" spans="14:25" x14ac:dyDescent="0.25">
      <c r="N1885" s="61"/>
      <c r="O1885" s="61"/>
      <c r="P1885" s="62"/>
      <c r="Q1885" s="13"/>
      <c r="R1885" s="13"/>
      <c r="S1885" s="14"/>
      <c r="T1885" s="1"/>
      <c r="U1885" s="15"/>
      <c r="V1885" s="1"/>
      <c r="W1885" s="15"/>
      <c r="X1885" s="16"/>
      <c r="Y1885" s="17"/>
    </row>
    <row r="1886" spans="14:25" x14ac:dyDescent="0.25">
      <c r="N1886" s="61"/>
      <c r="O1886" s="61"/>
      <c r="P1886" s="62"/>
      <c r="Q1886" s="13"/>
      <c r="R1886" s="13"/>
      <c r="S1886" s="14"/>
      <c r="T1886" s="1"/>
      <c r="U1886" s="15"/>
      <c r="V1886" s="1"/>
      <c r="W1886" s="15"/>
      <c r="X1886" s="16"/>
      <c r="Y1886" s="17"/>
    </row>
    <row r="1887" spans="14:25" x14ac:dyDescent="0.25">
      <c r="N1887" s="61"/>
      <c r="O1887" s="61"/>
      <c r="P1887" s="62"/>
      <c r="Q1887" s="13"/>
      <c r="R1887" s="13"/>
      <c r="S1887" s="14"/>
      <c r="T1887" s="1"/>
      <c r="U1887" s="15"/>
      <c r="V1887" s="1"/>
      <c r="W1887" s="15"/>
      <c r="X1887" s="16"/>
      <c r="Y1887" s="17"/>
    </row>
    <row r="1888" spans="14:25" x14ac:dyDescent="0.25">
      <c r="N1888" s="61"/>
      <c r="O1888" s="61"/>
      <c r="P1888" s="62"/>
      <c r="Q1888" s="13"/>
      <c r="R1888" s="13"/>
      <c r="S1888" s="14"/>
      <c r="T1888" s="1"/>
      <c r="U1888" s="15"/>
      <c r="V1888" s="1"/>
      <c r="W1888" s="15"/>
      <c r="X1888" s="16"/>
      <c r="Y1888" s="17"/>
    </row>
    <row r="1889" spans="14:25" x14ac:dyDescent="0.25">
      <c r="N1889" s="61"/>
      <c r="O1889" s="61"/>
      <c r="P1889" s="62"/>
      <c r="Q1889" s="13"/>
      <c r="R1889" s="13"/>
      <c r="S1889" s="14"/>
      <c r="T1889" s="1"/>
      <c r="U1889" s="15"/>
      <c r="V1889" s="1"/>
      <c r="W1889" s="15"/>
      <c r="X1889" s="16"/>
      <c r="Y1889" s="17"/>
    </row>
    <row r="1890" spans="14:25" x14ac:dyDescent="0.25">
      <c r="N1890" s="61"/>
      <c r="O1890" s="61"/>
      <c r="P1890" s="62"/>
      <c r="Q1890" s="13"/>
      <c r="R1890" s="13"/>
      <c r="S1890" s="14"/>
      <c r="T1890" s="1"/>
      <c r="U1890" s="15"/>
      <c r="V1890" s="1"/>
      <c r="W1890" s="15"/>
      <c r="X1890" s="16"/>
      <c r="Y1890" s="17"/>
    </row>
    <row r="1891" spans="14:25" x14ac:dyDescent="0.25">
      <c r="N1891" s="61"/>
      <c r="O1891" s="61"/>
      <c r="P1891" s="62"/>
      <c r="Q1891" s="13"/>
      <c r="R1891" s="13"/>
      <c r="S1891" s="14"/>
      <c r="T1891" s="1"/>
      <c r="U1891" s="15"/>
      <c r="V1891" s="1"/>
      <c r="W1891" s="15"/>
      <c r="X1891" s="16"/>
      <c r="Y1891" s="17"/>
    </row>
    <row r="1892" spans="14:25" x14ac:dyDescent="0.25">
      <c r="N1892" s="61"/>
      <c r="O1892" s="61"/>
      <c r="P1892" s="62"/>
      <c r="Q1892" s="13"/>
      <c r="R1892" s="13"/>
      <c r="S1892" s="14"/>
      <c r="T1892" s="1"/>
      <c r="U1892" s="15"/>
      <c r="V1892" s="1"/>
      <c r="W1892" s="15"/>
      <c r="X1892" s="16"/>
      <c r="Y1892" s="17"/>
    </row>
    <row r="1893" spans="14:25" x14ac:dyDescent="0.25">
      <c r="N1893" s="61"/>
      <c r="O1893" s="61"/>
      <c r="P1893" s="62"/>
      <c r="Q1893" s="13"/>
      <c r="R1893" s="13"/>
      <c r="S1893" s="14"/>
      <c r="T1893" s="1"/>
      <c r="U1893" s="15"/>
      <c r="V1893" s="1"/>
      <c r="W1893" s="15"/>
      <c r="X1893" s="16"/>
      <c r="Y1893" s="17"/>
    </row>
    <row r="1894" spans="14:25" x14ac:dyDescent="0.25">
      <c r="N1894" s="61"/>
      <c r="O1894" s="61"/>
      <c r="P1894" s="62"/>
      <c r="Q1894" s="13"/>
      <c r="R1894" s="13"/>
      <c r="S1894" s="14"/>
      <c r="T1894" s="1"/>
      <c r="U1894" s="15"/>
      <c r="V1894" s="1"/>
      <c r="W1894" s="15"/>
      <c r="X1894" s="16"/>
      <c r="Y1894" s="17"/>
    </row>
    <row r="1895" spans="14:25" x14ac:dyDescent="0.25">
      <c r="N1895" s="61"/>
      <c r="O1895" s="61"/>
      <c r="P1895" s="62"/>
      <c r="Q1895" s="13"/>
      <c r="R1895" s="13"/>
      <c r="S1895" s="14"/>
      <c r="T1895" s="1"/>
      <c r="U1895" s="15"/>
      <c r="V1895" s="1"/>
      <c r="W1895" s="15"/>
      <c r="X1895" s="16"/>
      <c r="Y1895" s="17"/>
    </row>
    <row r="1896" spans="14:25" x14ac:dyDescent="0.25">
      <c r="N1896" s="61"/>
      <c r="O1896" s="61"/>
      <c r="P1896" s="62"/>
      <c r="Q1896" s="13"/>
      <c r="R1896" s="13"/>
      <c r="S1896" s="14"/>
      <c r="T1896" s="1"/>
      <c r="U1896" s="15"/>
      <c r="V1896" s="1"/>
      <c r="W1896" s="15"/>
      <c r="X1896" s="16"/>
      <c r="Y1896" s="17"/>
    </row>
    <row r="1897" spans="14:25" x14ac:dyDescent="0.25">
      <c r="N1897" s="61"/>
      <c r="O1897" s="61"/>
      <c r="P1897" s="62"/>
      <c r="Q1897" s="13"/>
      <c r="R1897" s="13"/>
      <c r="S1897" s="14"/>
      <c r="T1897" s="1"/>
      <c r="U1897" s="15"/>
      <c r="V1897" s="1"/>
      <c r="W1897" s="15"/>
      <c r="X1897" s="16"/>
      <c r="Y1897" s="17"/>
    </row>
    <row r="1898" spans="14:25" x14ac:dyDescent="0.25">
      <c r="N1898" s="61"/>
      <c r="O1898" s="61"/>
      <c r="P1898" s="62"/>
      <c r="Q1898" s="13"/>
      <c r="R1898" s="13"/>
      <c r="S1898" s="14"/>
      <c r="T1898" s="1"/>
      <c r="U1898" s="15"/>
      <c r="V1898" s="1"/>
      <c r="W1898" s="15"/>
      <c r="X1898" s="16"/>
      <c r="Y1898" s="17"/>
    </row>
    <row r="1899" spans="14:25" x14ac:dyDescent="0.25">
      <c r="N1899" s="61"/>
      <c r="O1899" s="61"/>
      <c r="P1899" s="62"/>
      <c r="Q1899" s="13"/>
      <c r="R1899" s="13"/>
      <c r="S1899" s="14"/>
      <c r="T1899" s="1"/>
      <c r="U1899" s="15"/>
      <c r="V1899" s="1"/>
      <c r="W1899" s="15"/>
      <c r="X1899" s="16"/>
      <c r="Y1899" s="17"/>
    </row>
    <row r="1900" spans="14:25" x14ac:dyDescent="0.25">
      <c r="N1900" s="61"/>
      <c r="O1900" s="61"/>
      <c r="P1900" s="62"/>
      <c r="Q1900" s="13"/>
      <c r="R1900" s="13"/>
      <c r="S1900" s="14"/>
      <c r="T1900" s="1"/>
      <c r="U1900" s="15"/>
      <c r="V1900" s="1"/>
      <c r="W1900" s="15"/>
      <c r="X1900" s="16"/>
      <c r="Y1900" s="17"/>
    </row>
    <row r="1901" spans="14:25" x14ac:dyDescent="0.25">
      <c r="N1901" s="61"/>
      <c r="O1901" s="61"/>
      <c r="P1901" s="62"/>
      <c r="Q1901" s="13"/>
      <c r="R1901" s="13"/>
      <c r="S1901" s="14"/>
      <c r="T1901" s="1"/>
      <c r="U1901" s="15"/>
      <c r="V1901" s="1"/>
      <c r="W1901" s="15"/>
      <c r="X1901" s="16"/>
      <c r="Y1901" s="17"/>
    </row>
    <row r="1902" spans="14:25" x14ac:dyDescent="0.25">
      <c r="N1902" s="61"/>
      <c r="O1902" s="61"/>
      <c r="P1902" s="62"/>
      <c r="Q1902" s="13"/>
      <c r="R1902" s="13"/>
      <c r="S1902" s="14"/>
      <c r="T1902" s="1"/>
      <c r="U1902" s="15"/>
      <c r="V1902" s="1"/>
      <c r="W1902" s="15"/>
      <c r="X1902" s="16"/>
      <c r="Y1902" s="17"/>
    </row>
    <row r="1903" spans="14:25" x14ac:dyDescent="0.25">
      <c r="N1903" s="61"/>
      <c r="O1903" s="61"/>
      <c r="P1903" s="62"/>
      <c r="Q1903" s="13"/>
      <c r="R1903" s="13"/>
      <c r="S1903" s="14"/>
      <c r="T1903" s="1"/>
      <c r="U1903" s="15"/>
      <c r="V1903" s="1"/>
      <c r="W1903" s="15"/>
      <c r="X1903" s="16"/>
      <c r="Y1903" s="17"/>
    </row>
    <row r="1904" spans="14:25" x14ac:dyDescent="0.25">
      <c r="N1904" s="61"/>
      <c r="O1904" s="61"/>
      <c r="P1904" s="62"/>
      <c r="Q1904" s="13"/>
      <c r="R1904" s="13"/>
      <c r="S1904" s="14"/>
      <c r="T1904" s="1"/>
      <c r="U1904" s="15"/>
      <c r="V1904" s="1"/>
      <c r="W1904" s="15"/>
      <c r="X1904" s="16"/>
      <c r="Y1904" s="17"/>
    </row>
    <row r="1905" spans="14:25" x14ac:dyDescent="0.25">
      <c r="N1905" s="61"/>
      <c r="O1905" s="61"/>
      <c r="P1905" s="62"/>
      <c r="Q1905" s="13"/>
      <c r="R1905" s="13"/>
      <c r="S1905" s="14"/>
      <c r="T1905" s="1"/>
      <c r="U1905" s="15"/>
      <c r="V1905" s="1"/>
      <c r="W1905" s="15"/>
      <c r="X1905" s="16"/>
      <c r="Y1905" s="17"/>
    </row>
    <row r="1906" spans="14:25" x14ac:dyDescent="0.25">
      <c r="N1906" s="61"/>
      <c r="O1906" s="61"/>
      <c r="P1906" s="62"/>
      <c r="Q1906" s="13"/>
      <c r="R1906" s="13"/>
      <c r="S1906" s="14"/>
      <c r="T1906" s="1"/>
      <c r="U1906" s="15"/>
      <c r="V1906" s="1"/>
      <c r="W1906" s="15"/>
      <c r="X1906" s="16"/>
      <c r="Y1906" s="17"/>
    </row>
    <row r="1907" spans="14:25" x14ac:dyDescent="0.25">
      <c r="N1907" s="61"/>
      <c r="O1907" s="61"/>
      <c r="P1907" s="62"/>
      <c r="Q1907" s="13"/>
      <c r="R1907" s="13"/>
      <c r="S1907" s="14"/>
      <c r="T1907" s="1"/>
      <c r="U1907" s="15"/>
      <c r="V1907" s="1"/>
      <c r="W1907" s="15"/>
      <c r="X1907" s="16"/>
      <c r="Y1907" s="17"/>
    </row>
    <row r="1908" spans="14:25" x14ac:dyDescent="0.25">
      <c r="N1908" s="61"/>
      <c r="O1908" s="61"/>
      <c r="P1908" s="62"/>
      <c r="Q1908" s="13"/>
      <c r="R1908" s="13"/>
      <c r="S1908" s="14"/>
      <c r="T1908" s="1"/>
      <c r="U1908" s="15"/>
      <c r="V1908" s="1"/>
      <c r="W1908" s="15"/>
      <c r="X1908" s="16"/>
      <c r="Y1908" s="17"/>
    </row>
    <row r="1909" spans="14:25" x14ac:dyDescent="0.25">
      <c r="N1909" s="61"/>
      <c r="O1909" s="61"/>
      <c r="P1909" s="62"/>
      <c r="Q1909" s="13"/>
      <c r="R1909" s="13"/>
      <c r="S1909" s="14"/>
      <c r="T1909" s="1"/>
      <c r="U1909" s="15"/>
      <c r="V1909" s="1"/>
      <c r="W1909" s="15"/>
      <c r="X1909" s="16"/>
      <c r="Y1909" s="17"/>
    </row>
    <row r="1910" spans="14:25" x14ac:dyDescent="0.25">
      <c r="N1910" s="61"/>
      <c r="O1910" s="61"/>
      <c r="P1910" s="62"/>
      <c r="Q1910" s="13"/>
      <c r="R1910" s="13"/>
      <c r="S1910" s="14"/>
      <c r="T1910" s="1"/>
      <c r="U1910" s="15"/>
      <c r="V1910" s="1"/>
      <c r="W1910" s="15"/>
      <c r="X1910" s="16"/>
      <c r="Y1910" s="17"/>
    </row>
    <row r="1911" spans="14:25" x14ac:dyDescent="0.25">
      <c r="N1911" s="61"/>
      <c r="O1911" s="61"/>
      <c r="P1911" s="62"/>
      <c r="Q1911" s="13"/>
      <c r="R1911" s="13"/>
      <c r="S1911" s="14"/>
      <c r="T1911" s="1"/>
      <c r="U1911" s="15"/>
      <c r="V1911" s="1"/>
      <c r="W1911" s="15"/>
      <c r="X1911" s="16"/>
      <c r="Y1911" s="17"/>
    </row>
    <row r="1912" spans="14:25" x14ac:dyDescent="0.25">
      <c r="N1912" s="61"/>
      <c r="O1912" s="61"/>
      <c r="P1912" s="62"/>
      <c r="Q1912" s="13"/>
      <c r="R1912" s="13"/>
      <c r="S1912" s="14"/>
      <c r="T1912" s="1"/>
      <c r="U1912" s="15"/>
      <c r="V1912" s="1"/>
      <c r="W1912" s="15"/>
      <c r="X1912" s="16"/>
      <c r="Y1912" s="17"/>
    </row>
    <row r="1913" spans="14:25" x14ac:dyDescent="0.25">
      <c r="N1913" s="61"/>
      <c r="O1913" s="61"/>
      <c r="P1913" s="62"/>
      <c r="Q1913" s="13"/>
      <c r="R1913" s="13"/>
      <c r="S1913" s="14"/>
      <c r="T1913" s="1"/>
      <c r="U1913" s="15"/>
      <c r="V1913" s="1"/>
      <c r="W1913" s="15"/>
      <c r="X1913" s="16"/>
      <c r="Y1913" s="17"/>
    </row>
    <row r="1914" spans="14:25" x14ac:dyDescent="0.25">
      <c r="N1914" s="61"/>
      <c r="O1914" s="61"/>
      <c r="P1914" s="62"/>
      <c r="Q1914" s="13"/>
      <c r="R1914" s="13"/>
      <c r="S1914" s="14"/>
      <c r="T1914" s="1"/>
      <c r="U1914" s="15"/>
      <c r="V1914" s="1"/>
      <c r="W1914" s="15"/>
      <c r="X1914" s="16"/>
      <c r="Y1914" s="17"/>
    </row>
    <row r="1915" spans="14:25" x14ac:dyDescent="0.25">
      <c r="N1915" s="61"/>
      <c r="O1915" s="61"/>
      <c r="P1915" s="62"/>
      <c r="Q1915" s="13"/>
      <c r="R1915" s="13"/>
      <c r="S1915" s="14"/>
      <c r="T1915" s="1"/>
      <c r="U1915" s="15"/>
      <c r="V1915" s="1"/>
      <c r="W1915" s="15"/>
      <c r="X1915" s="16"/>
      <c r="Y1915" s="17"/>
    </row>
    <row r="1916" spans="14:25" x14ac:dyDescent="0.25">
      <c r="N1916" s="61"/>
      <c r="O1916" s="61"/>
      <c r="P1916" s="62"/>
      <c r="Q1916" s="13"/>
      <c r="R1916" s="13"/>
      <c r="S1916" s="14"/>
      <c r="T1916" s="1"/>
      <c r="U1916" s="15"/>
      <c r="V1916" s="1"/>
      <c r="W1916" s="15"/>
      <c r="X1916" s="16"/>
      <c r="Y1916" s="17"/>
    </row>
    <row r="1917" spans="14:25" x14ac:dyDescent="0.25">
      <c r="N1917" s="61"/>
      <c r="O1917" s="61"/>
      <c r="P1917" s="62"/>
      <c r="Q1917" s="13"/>
      <c r="R1917" s="13"/>
      <c r="S1917" s="14"/>
      <c r="T1917" s="1"/>
      <c r="U1917" s="15"/>
      <c r="V1917" s="1"/>
      <c r="W1917" s="15"/>
      <c r="X1917" s="16"/>
      <c r="Y1917" s="17"/>
    </row>
    <row r="1918" spans="14:25" x14ac:dyDescent="0.25">
      <c r="N1918" s="61"/>
      <c r="O1918" s="61"/>
      <c r="P1918" s="62"/>
      <c r="Q1918" s="13"/>
      <c r="R1918" s="13"/>
      <c r="S1918" s="14"/>
      <c r="T1918" s="1"/>
      <c r="U1918" s="15"/>
      <c r="V1918" s="1"/>
      <c r="W1918" s="15"/>
      <c r="X1918" s="16"/>
      <c r="Y1918" s="17"/>
    </row>
    <row r="1919" spans="14:25" x14ac:dyDescent="0.25">
      <c r="N1919" s="61"/>
      <c r="O1919" s="61"/>
      <c r="P1919" s="62"/>
      <c r="Q1919" s="13"/>
      <c r="R1919" s="13"/>
      <c r="S1919" s="14"/>
      <c r="T1919" s="1"/>
      <c r="U1919" s="15"/>
      <c r="V1919" s="1"/>
      <c r="W1919" s="15"/>
      <c r="X1919" s="16"/>
      <c r="Y1919" s="17"/>
    </row>
    <row r="1920" spans="14:25" x14ac:dyDescent="0.25">
      <c r="N1920" s="61"/>
      <c r="O1920" s="61"/>
      <c r="P1920" s="62"/>
      <c r="Q1920" s="13"/>
      <c r="R1920" s="13"/>
      <c r="S1920" s="14"/>
      <c r="T1920" s="1"/>
      <c r="U1920" s="15"/>
      <c r="V1920" s="1"/>
      <c r="W1920" s="15"/>
      <c r="X1920" s="16"/>
      <c r="Y1920" s="17"/>
    </row>
    <row r="1921" spans="14:25" x14ac:dyDescent="0.25">
      <c r="N1921" s="61"/>
      <c r="O1921" s="61"/>
      <c r="P1921" s="62"/>
      <c r="Q1921" s="13"/>
      <c r="R1921" s="13"/>
      <c r="S1921" s="14"/>
      <c r="T1921" s="1"/>
      <c r="U1921" s="15"/>
      <c r="V1921" s="1"/>
      <c r="W1921" s="15"/>
      <c r="X1921" s="16"/>
      <c r="Y1921" s="17"/>
    </row>
    <row r="1922" spans="14:25" x14ac:dyDescent="0.25">
      <c r="N1922" s="61"/>
      <c r="O1922" s="61"/>
      <c r="P1922" s="62"/>
      <c r="Q1922" s="13"/>
      <c r="R1922" s="13"/>
      <c r="S1922" s="14"/>
      <c r="T1922" s="1"/>
      <c r="U1922" s="15"/>
      <c r="V1922" s="1"/>
      <c r="W1922" s="15"/>
      <c r="X1922" s="16"/>
      <c r="Y1922" s="17"/>
    </row>
    <row r="1923" spans="14:25" x14ac:dyDescent="0.25">
      <c r="N1923" s="61"/>
      <c r="O1923" s="61"/>
      <c r="P1923" s="62"/>
      <c r="Q1923" s="13"/>
      <c r="R1923" s="13"/>
      <c r="S1923" s="14"/>
      <c r="T1923" s="1"/>
      <c r="U1923" s="15"/>
      <c r="V1923" s="1"/>
      <c r="W1923" s="15"/>
      <c r="X1923" s="16"/>
      <c r="Y1923" s="17"/>
    </row>
    <row r="1924" spans="14:25" x14ac:dyDescent="0.25">
      <c r="N1924" s="61"/>
      <c r="O1924" s="61"/>
      <c r="P1924" s="62"/>
      <c r="Q1924" s="13"/>
      <c r="R1924" s="13"/>
      <c r="S1924" s="14"/>
      <c r="T1924" s="1"/>
      <c r="U1924" s="15"/>
      <c r="V1924" s="1"/>
      <c r="W1924" s="15"/>
      <c r="X1924" s="16"/>
      <c r="Y1924" s="17"/>
    </row>
    <row r="1925" spans="14:25" x14ac:dyDescent="0.25">
      <c r="N1925" s="61"/>
      <c r="O1925" s="61"/>
      <c r="P1925" s="62"/>
      <c r="Q1925" s="13"/>
      <c r="R1925" s="13"/>
      <c r="S1925" s="14"/>
      <c r="T1925" s="1"/>
      <c r="U1925" s="15"/>
      <c r="V1925" s="1"/>
      <c r="W1925" s="15"/>
      <c r="X1925" s="16"/>
      <c r="Y1925" s="17"/>
    </row>
    <row r="1926" spans="14:25" x14ac:dyDescent="0.25">
      <c r="N1926" s="61"/>
      <c r="O1926" s="61"/>
      <c r="P1926" s="62"/>
      <c r="Q1926" s="13"/>
      <c r="R1926" s="13"/>
      <c r="S1926" s="14"/>
      <c r="T1926" s="1"/>
      <c r="U1926" s="15"/>
      <c r="V1926" s="1"/>
      <c r="W1926" s="15"/>
      <c r="X1926" s="16"/>
      <c r="Y1926" s="17"/>
    </row>
    <row r="1927" spans="14:25" x14ac:dyDescent="0.25">
      <c r="N1927" s="61"/>
      <c r="O1927" s="61"/>
      <c r="P1927" s="62"/>
      <c r="Q1927" s="13"/>
      <c r="R1927" s="13"/>
      <c r="S1927" s="14"/>
      <c r="T1927" s="1"/>
      <c r="U1927" s="15"/>
      <c r="V1927" s="1"/>
      <c r="W1927" s="15"/>
      <c r="X1927" s="16"/>
      <c r="Y1927" s="17"/>
    </row>
    <row r="1928" spans="14:25" x14ac:dyDescent="0.25">
      <c r="N1928" s="61"/>
      <c r="O1928" s="61"/>
      <c r="P1928" s="62"/>
      <c r="Q1928" s="13"/>
      <c r="R1928" s="13"/>
      <c r="S1928" s="14"/>
      <c r="T1928" s="1"/>
      <c r="U1928" s="15"/>
      <c r="V1928" s="1"/>
      <c r="W1928" s="15"/>
      <c r="X1928" s="16"/>
      <c r="Y1928" s="17"/>
    </row>
    <row r="1929" spans="14:25" x14ac:dyDescent="0.25">
      <c r="N1929" s="61"/>
      <c r="O1929" s="61"/>
      <c r="P1929" s="62"/>
      <c r="Q1929" s="13"/>
      <c r="R1929" s="13"/>
      <c r="S1929" s="14"/>
      <c r="T1929" s="1"/>
      <c r="U1929" s="15"/>
      <c r="V1929" s="1"/>
      <c r="W1929" s="15"/>
      <c r="X1929" s="16"/>
      <c r="Y1929" s="17"/>
    </row>
    <row r="1930" spans="14:25" x14ac:dyDescent="0.25">
      <c r="N1930" s="61"/>
      <c r="O1930" s="61"/>
      <c r="P1930" s="62"/>
      <c r="Q1930" s="13"/>
      <c r="R1930" s="13"/>
      <c r="S1930" s="14"/>
      <c r="T1930" s="1"/>
      <c r="U1930" s="15"/>
      <c r="V1930" s="1"/>
      <c r="W1930" s="15"/>
      <c r="X1930" s="16"/>
      <c r="Y1930" s="17"/>
    </row>
    <row r="1931" spans="14:25" x14ac:dyDescent="0.25">
      <c r="N1931" s="61"/>
      <c r="O1931" s="61"/>
      <c r="P1931" s="62"/>
      <c r="Q1931" s="13"/>
      <c r="R1931" s="13"/>
      <c r="S1931" s="14"/>
      <c r="T1931" s="1"/>
      <c r="U1931" s="15"/>
      <c r="V1931" s="1"/>
      <c r="W1931" s="15"/>
      <c r="X1931" s="16"/>
      <c r="Y1931" s="17"/>
    </row>
    <row r="1932" spans="14:25" x14ac:dyDescent="0.25">
      <c r="N1932" s="61"/>
      <c r="O1932" s="61"/>
      <c r="P1932" s="62"/>
      <c r="Q1932" s="13"/>
      <c r="R1932" s="13"/>
      <c r="S1932" s="14"/>
      <c r="T1932" s="1"/>
      <c r="U1932" s="15"/>
      <c r="V1932" s="1"/>
      <c r="W1932" s="15"/>
      <c r="X1932" s="16"/>
      <c r="Y1932" s="17"/>
    </row>
    <row r="1933" spans="14:25" x14ac:dyDescent="0.25">
      <c r="N1933" s="61"/>
      <c r="O1933" s="61"/>
      <c r="P1933" s="62"/>
      <c r="Q1933" s="13"/>
      <c r="R1933" s="13"/>
      <c r="S1933" s="14"/>
      <c r="T1933" s="1"/>
      <c r="U1933" s="15"/>
      <c r="V1933" s="1"/>
      <c r="W1933" s="15"/>
      <c r="X1933" s="16"/>
      <c r="Y1933" s="17"/>
    </row>
    <row r="1934" spans="14:25" x14ac:dyDescent="0.25">
      <c r="N1934" s="61"/>
      <c r="O1934" s="61"/>
      <c r="P1934" s="62"/>
      <c r="Q1934" s="13"/>
      <c r="R1934" s="13"/>
      <c r="S1934" s="14"/>
      <c r="T1934" s="1"/>
      <c r="U1934" s="15"/>
      <c r="V1934" s="1"/>
      <c r="W1934" s="15"/>
      <c r="X1934" s="16"/>
      <c r="Y1934" s="17"/>
    </row>
    <row r="1935" spans="14:25" x14ac:dyDescent="0.25">
      <c r="N1935" s="61"/>
      <c r="O1935" s="61"/>
      <c r="P1935" s="62"/>
      <c r="Q1935" s="13"/>
      <c r="R1935" s="13"/>
      <c r="S1935" s="14"/>
      <c r="T1935" s="1"/>
      <c r="U1935" s="15"/>
      <c r="V1935" s="1"/>
      <c r="W1935" s="15"/>
      <c r="X1935" s="16"/>
      <c r="Y1935" s="17"/>
    </row>
    <row r="1936" spans="14:25" x14ac:dyDescent="0.25">
      <c r="N1936" s="61"/>
      <c r="O1936" s="61"/>
      <c r="P1936" s="62"/>
      <c r="Q1936" s="13"/>
      <c r="R1936" s="13"/>
      <c r="S1936" s="14"/>
      <c r="T1936" s="1"/>
      <c r="U1936" s="15"/>
      <c r="V1936" s="1"/>
      <c r="W1936" s="15"/>
      <c r="X1936" s="16"/>
      <c r="Y1936" s="17"/>
    </row>
    <row r="1937" spans="14:25" x14ac:dyDescent="0.25">
      <c r="N1937" s="61"/>
      <c r="O1937" s="61"/>
      <c r="P1937" s="62"/>
      <c r="Q1937" s="13"/>
      <c r="R1937" s="13"/>
      <c r="S1937" s="14"/>
      <c r="T1937" s="1"/>
      <c r="U1937" s="15"/>
      <c r="V1937" s="1"/>
      <c r="W1937" s="15"/>
      <c r="X1937" s="16"/>
      <c r="Y1937" s="17"/>
    </row>
    <row r="1938" spans="14:25" x14ac:dyDescent="0.25">
      <c r="N1938" s="61"/>
      <c r="O1938" s="61"/>
      <c r="P1938" s="62"/>
      <c r="Q1938" s="13"/>
      <c r="R1938" s="13"/>
      <c r="S1938" s="14"/>
      <c r="T1938" s="1"/>
      <c r="U1938" s="15"/>
      <c r="V1938" s="1"/>
      <c r="W1938" s="15"/>
      <c r="X1938" s="16"/>
      <c r="Y1938" s="17"/>
    </row>
    <row r="1939" spans="14:25" x14ac:dyDescent="0.25">
      <c r="N1939" s="61"/>
      <c r="O1939" s="61"/>
      <c r="P1939" s="62"/>
      <c r="Q1939" s="13"/>
      <c r="R1939" s="13"/>
      <c r="S1939" s="14"/>
      <c r="T1939" s="1"/>
      <c r="U1939" s="15"/>
      <c r="V1939" s="1"/>
      <c r="W1939" s="15"/>
      <c r="X1939" s="16"/>
      <c r="Y1939" s="17"/>
    </row>
    <row r="1940" spans="14:25" x14ac:dyDescent="0.25">
      <c r="N1940" s="61"/>
      <c r="O1940" s="61"/>
      <c r="P1940" s="62"/>
      <c r="Q1940" s="13"/>
      <c r="R1940" s="13"/>
      <c r="S1940" s="14"/>
      <c r="T1940" s="1"/>
      <c r="U1940" s="15"/>
      <c r="V1940" s="1"/>
      <c r="W1940" s="15"/>
      <c r="X1940" s="16"/>
      <c r="Y1940" s="17"/>
    </row>
    <row r="1941" spans="14:25" x14ac:dyDescent="0.25">
      <c r="N1941" s="61"/>
      <c r="O1941" s="61"/>
      <c r="P1941" s="62"/>
      <c r="Q1941" s="13"/>
      <c r="R1941" s="13"/>
      <c r="S1941" s="14"/>
      <c r="T1941" s="1"/>
      <c r="U1941" s="15"/>
      <c r="V1941" s="1"/>
      <c r="W1941" s="15"/>
      <c r="X1941" s="16"/>
      <c r="Y1941" s="17"/>
    </row>
    <row r="1942" spans="14:25" x14ac:dyDescent="0.25">
      <c r="N1942" s="61"/>
      <c r="O1942" s="61"/>
      <c r="P1942" s="62"/>
      <c r="Q1942" s="13"/>
      <c r="R1942" s="13"/>
      <c r="S1942" s="14"/>
      <c r="T1942" s="1"/>
      <c r="U1942" s="15"/>
      <c r="V1942" s="1"/>
      <c r="W1942" s="15"/>
      <c r="X1942" s="16"/>
      <c r="Y1942" s="17"/>
    </row>
    <row r="1943" spans="14:25" x14ac:dyDescent="0.25">
      <c r="N1943" s="61"/>
      <c r="O1943" s="61"/>
      <c r="P1943" s="62"/>
      <c r="Q1943" s="13"/>
      <c r="R1943" s="13"/>
      <c r="S1943" s="14"/>
      <c r="T1943" s="1"/>
      <c r="U1943" s="15"/>
      <c r="V1943" s="1"/>
      <c r="W1943" s="15"/>
      <c r="X1943" s="16"/>
      <c r="Y1943" s="17"/>
    </row>
    <row r="1944" spans="14:25" x14ac:dyDescent="0.25">
      <c r="N1944" s="61"/>
      <c r="O1944" s="61"/>
      <c r="P1944" s="62"/>
      <c r="Q1944" s="13"/>
      <c r="R1944" s="13"/>
      <c r="S1944" s="14"/>
      <c r="T1944" s="1"/>
      <c r="U1944" s="15"/>
      <c r="V1944" s="1"/>
      <c r="W1944" s="15"/>
      <c r="X1944" s="16"/>
      <c r="Y1944" s="17"/>
    </row>
    <row r="1945" spans="14:25" x14ac:dyDescent="0.25">
      <c r="N1945" s="61"/>
      <c r="O1945" s="61"/>
      <c r="P1945" s="62"/>
      <c r="Q1945" s="13"/>
      <c r="R1945" s="13"/>
      <c r="S1945" s="14"/>
      <c r="T1945" s="1"/>
      <c r="U1945" s="15"/>
      <c r="V1945" s="1"/>
      <c r="W1945" s="15"/>
      <c r="X1945" s="16"/>
      <c r="Y1945" s="17"/>
    </row>
    <row r="1946" spans="14:25" x14ac:dyDescent="0.25">
      <c r="N1946" s="61"/>
      <c r="O1946" s="61"/>
      <c r="P1946" s="62"/>
      <c r="Q1946" s="13"/>
      <c r="R1946" s="13"/>
      <c r="S1946" s="14"/>
      <c r="T1946" s="1"/>
      <c r="U1946" s="15"/>
      <c r="V1946" s="1"/>
      <c r="W1946" s="15"/>
      <c r="X1946" s="16"/>
      <c r="Y1946" s="17"/>
    </row>
    <row r="1947" spans="14:25" x14ac:dyDescent="0.25">
      <c r="N1947" s="61"/>
      <c r="O1947" s="61"/>
      <c r="P1947" s="62"/>
      <c r="Q1947" s="13"/>
      <c r="R1947" s="13"/>
      <c r="S1947" s="14"/>
      <c r="T1947" s="1"/>
      <c r="U1947" s="15"/>
      <c r="V1947" s="1"/>
      <c r="W1947" s="15"/>
      <c r="X1947" s="16"/>
      <c r="Y1947" s="17"/>
    </row>
    <row r="1948" spans="14:25" x14ac:dyDescent="0.25">
      <c r="N1948" s="61"/>
      <c r="O1948" s="61"/>
      <c r="P1948" s="62"/>
      <c r="Q1948" s="13"/>
      <c r="R1948" s="13"/>
      <c r="S1948" s="14"/>
      <c r="T1948" s="1"/>
      <c r="U1948" s="15"/>
      <c r="V1948" s="1"/>
      <c r="W1948" s="15"/>
      <c r="X1948" s="16"/>
      <c r="Y1948" s="17"/>
    </row>
    <row r="1949" spans="14:25" x14ac:dyDescent="0.25">
      <c r="N1949" s="61"/>
      <c r="O1949" s="61"/>
      <c r="P1949" s="62"/>
      <c r="Q1949" s="13"/>
      <c r="R1949" s="13"/>
      <c r="S1949" s="14"/>
      <c r="T1949" s="1"/>
      <c r="U1949" s="15"/>
      <c r="V1949" s="1"/>
      <c r="W1949" s="15"/>
      <c r="X1949" s="16"/>
      <c r="Y1949" s="17"/>
    </row>
    <row r="1950" spans="14:25" x14ac:dyDescent="0.25">
      <c r="N1950" s="61"/>
      <c r="O1950" s="61"/>
      <c r="P1950" s="62"/>
      <c r="Q1950" s="13"/>
      <c r="R1950" s="13"/>
      <c r="S1950" s="14"/>
      <c r="T1950" s="1"/>
      <c r="U1950" s="15"/>
      <c r="V1950" s="1"/>
      <c r="W1950" s="15"/>
      <c r="X1950" s="16"/>
      <c r="Y1950" s="17"/>
    </row>
    <row r="1951" spans="14:25" x14ac:dyDescent="0.25">
      <c r="N1951" s="61"/>
      <c r="O1951" s="61"/>
      <c r="P1951" s="62"/>
      <c r="Q1951" s="13"/>
      <c r="R1951" s="13"/>
      <c r="S1951" s="14"/>
      <c r="T1951" s="1"/>
      <c r="U1951" s="15"/>
      <c r="V1951" s="1"/>
      <c r="W1951" s="15"/>
      <c r="X1951" s="16"/>
      <c r="Y1951" s="17"/>
    </row>
    <row r="1952" spans="14:25" x14ac:dyDescent="0.25">
      <c r="N1952" s="61"/>
      <c r="O1952" s="61"/>
      <c r="P1952" s="62"/>
      <c r="Q1952" s="13"/>
      <c r="R1952" s="13"/>
      <c r="S1952" s="14"/>
      <c r="T1952" s="1"/>
      <c r="U1952" s="15"/>
      <c r="V1952" s="1"/>
      <c r="W1952" s="15"/>
      <c r="X1952" s="16"/>
      <c r="Y1952" s="17"/>
    </row>
    <row r="1953" spans="14:25" x14ac:dyDescent="0.25">
      <c r="N1953" s="61"/>
      <c r="O1953" s="61"/>
      <c r="P1953" s="62"/>
      <c r="Q1953" s="13"/>
      <c r="R1953" s="13"/>
      <c r="S1953" s="14"/>
      <c r="T1953" s="1"/>
      <c r="U1953" s="15"/>
      <c r="V1953" s="1"/>
      <c r="W1953" s="15"/>
      <c r="X1953" s="16"/>
      <c r="Y1953" s="17"/>
    </row>
    <row r="1954" spans="14:25" x14ac:dyDescent="0.25">
      <c r="N1954" s="61"/>
      <c r="O1954" s="61"/>
      <c r="P1954" s="62"/>
      <c r="Q1954" s="13"/>
      <c r="R1954" s="13"/>
      <c r="S1954" s="14"/>
      <c r="T1954" s="1"/>
      <c r="U1954" s="15"/>
      <c r="V1954" s="1"/>
      <c r="W1954" s="15"/>
      <c r="X1954" s="16"/>
      <c r="Y1954" s="17"/>
    </row>
    <row r="1955" spans="14:25" x14ac:dyDescent="0.25">
      <c r="N1955" s="61"/>
      <c r="O1955" s="61"/>
      <c r="P1955" s="62"/>
      <c r="Q1955" s="13"/>
      <c r="R1955" s="13"/>
      <c r="S1955" s="14"/>
      <c r="T1955" s="1"/>
      <c r="U1955" s="15"/>
      <c r="V1955" s="1"/>
      <c r="W1955" s="15"/>
      <c r="X1955" s="16"/>
      <c r="Y1955" s="17"/>
    </row>
    <row r="1956" spans="14:25" x14ac:dyDescent="0.25">
      <c r="N1956" s="61"/>
      <c r="O1956" s="61"/>
      <c r="P1956" s="62"/>
      <c r="Q1956" s="13"/>
      <c r="R1956" s="13"/>
      <c r="S1956" s="14"/>
      <c r="T1956" s="1"/>
      <c r="U1956" s="15"/>
      <c r="V1956" s="1"/>
      <c r="W1956" s="15"/>
      <c r="X1956" s="16"/>
      <c r="Y1956" s="17"/>
    </row>
    <row r="1957" spans="14:25" x14ac:dyDescent="0.25">
      <c r="N1957" s="61"/>
      <c r="O1957" s="61"/>
      <c r="P1957" s="62"/>
      <c r="Q1957" s="13"/>
      <c r="R1957" s="13"/>
      <c r="S1957" s="14"/>
      <c r="T1957" s="1"/>
      <c r="U1957" s="15"/>
      <c r="V1957" s="1"/>
      <c r="W1957" s="15"/>
      <c r="X1957" s="16"/>
      <c r="Y1957" s="17"/>
    </row>
    <row r="1958" spans="14:25" x14ac:dyDescent="0.25">
      <c r="N1958" s="61"/>
      <c r="O1958" s="61"/>
      <c r="P1958" s="62"/>
      <c r="Q1958" s="13"/>
      <c r="R1958" s="13"/>
      <c r="S1958" s="14"/>
      <c r="T1958" s="1"/>
      <c r="U1958" s="15"/>
      <c r="V1958" s="1"/>
      <c r="W1958" s="15"/>
      <c r="X1958" s="16"/>
      <c r="Y1958" s="17"/>
    </row>
    <row r="1959" spans="14:25" x14ac:dyDescent="0.25">
      <c r="N1959" s="61"/>
      <c r="O1959" s="61"/>
      <c r="P1959" s="62"/>
      <c r="Q1959" s="13"/>
      <c r="R1959" s="13"/>
      <c r="S1959" s="14"/>
      <c r="T1959" s="1"/>
      <c r="U1959" s="15"/>
      <c r="V1959" s="1"/>
      <c r="W1959" s="15"/>
      <c r="X1959" s="16"/>
      <c r="Y1959" s="17"/>
    </row>
    <row r="1960" spans="14:25" x14ac:dyDescent="0.25">
      <c r="N1960" s="61"/>
      <c r="O1960" s="61"/>
      <c r="P1960" s="62"/>
      <c r="Q1960" s="13"/>
      <c r="R1960" s="13"/>
      <c r="S1960" s="14"/>
      <c r="T1960" s="1"/>
      <c r="U1960" s="15"/>
      <c r="V1960" s="1"/>
      <c r="W1960" s="15"/>
      <c r="X1960" s="16"/>
      <c r="Y1960" s="17"/>
    </row>
    <row r="1961" spans="14:25" x14ac:dyDescent="0.25">
      <c r="N1961" s="61"/>
      <c r="O1961" s="61"/>
      <c r="P1961" s="62"/>
      <c r="Q1961" s="13"/>
      <c r="R1961" s="13"/>
      <c r="S1961" s="14"/>
      <c r="T1961" s="1"/>
      <c r="U1961" s="15"/>
      <c r="V1961" s="1"/>
      <c r="W1961" s="15"/>
      <c r="X1961" s="16"/>
      <c r="Y1961" s="17"/>
    </row>
    <row r="1962" spans="14:25" x14ac:dyDescent="0.25">
      <c r="N1962" s="61"/>
      <c r="O1962" s="61"/>
      <c r="P1962" s="62"/>
      <c r="Q1962" s="13"/>
      <c r="R1962" s="13"/>
      <c r="S1962" s="14"/>
      <c r="T1962" s="1"/>
      <c r="U1962" s="15"/>
      <c r="V1962" s="1"/>
      <c r="W1962" s="15"/>
      <c r="X1962" s="16"/>
      <c r="Y1962" s="17"/>
    </row>
    <row r="1963" spans="14:25" x14ac:dyDescent="0.25">
      <c r="N1963" s="61"/>
      <c r="O1963" s="61"/>
      <c r="P1963" s="62"/>
      <c r="Q1963" s="13"/>
      <c r="R1963" s="13"/>
      <c r="S1963" s="14"/>
      <c r="T1963" s="1"/>
      <c r="U1963" s="15"/>
      <c r="V1963" s="1"/>
      <c r="W1963" s="15"/>
      <c r="X1963" s="16"/>
      <c r="Y1963" s="17"/>
    </row>
    <row r="1964" spans="14:25" x14ac:dyDescent="0.25">
      <c r="N1964" s="61"/>
      <c r="O1964" s="61"/>
      <c r="P1964" s="62"/>
      <c r="Q1964" s="13"/>
      <c r="R1964" s="13"/>
      <c r="S1964" s="14"/>
      <c r="T1964" s="1"/>
      <c r="U1964" s="15"/>
      <c r="V1964" s="1"/>
      <c r="W1964" s="15"/>
      <c r="X1964" s="16"/>
      <c r="Y1964" s="17"/>
    </row>
    <row r="1965" spans="14:25" x14ac:dyDescent="0.25">
      <c r="N1965" s="61"/>
      <c r="O1965" s="61"/>
      <c r="P1965" s="62"/>
      <c r="Q1965" s="13"/>
      <c r="R1965" s="13"/>
      <c r="S1965" s="14"/>
      <c r="T1965" s="1"/>
      <c r="U1965" s="15"/>
      <c r="V1965" s="1"/>
      <c r="W1965" s="15"/>
      <c r="X1965" s="16"/>
      <c r="Y1965" s="17"/>
    </row>
    <row r="1966" spans="14:25" x14ac:dyDescent="0.25">
      <c r="N1966" s="61"/>
      <c r="O1966" s="61"/>
      <c r="P1966" s="62"/>
      <c r="Q1966" s="13"/>
      <c r="R1966" s="13"/>
      <c r="S1966" s="14"/>
      <c r="T1966" s="1"/>
      <c r="U1966" s="15"/>
      <c r="V1966" s="1"/>
      <c r="W1966" s="15"/>
      <c r="X1966" s="16"/>
      <c r="Y1966" s="17"/>
    </row>
    <row r="1967" spans="14:25" x14ac:dyDescent="0.25">
      <c r="N1967" s="61"/>
      <c r="O1967" s="61"/>
      <c r="P1967" s="62"/>
      <c r="Q1967" s="13"/>
      <c r="R1967" s="13"/>
      <c r="S1967" s="14"/>
      <c r="T1967" s="1"/>
      <c r="U1967" s="15"/>
      <c r="V1967" s="1"/>
      <c r="W1967" s="15"/>
      <c r="X1967" s="16"/>
      <c r="Y1967" s="17"/>
    </row>
    <row r="1968" spans="14:25" x14ac:dyDescent="0.25">
      <c r="N1968" s="61"/>
      <c r="O1968" s="61"/>
      <c r="P1968" s="62"/>
      <c r="Q1968" s="13"/>
      <c r="R1968" s="13"/>
      <c r="S1968" s="14"/>
      <c r="T1968" s="1"/>
      <c r="U1968" s="15"/>
      <c r="V1968" s="1"/>
      <c r="W1968" s="15"/>
      <c r="X1968" s="16"/>
      <c r="Y1968" s="17"/>
    </row>
    <row r="1969" spans="14:25" x14ac:dyDescent="0.25">
      <c r="N1969" s="61"/>
      <c r="O1969" s="61"/>
      <c r="P1969" s="62"/>
      <c r="Q1969" s="13"/>
      <c r="R1969" s="13"/>
      <c r="S1969" s="14"/>
      <c r="T1969" s="1"/>
      <c r="U1969" s="15"/>
      <c r="V1969" s="1"/>
      <c r="W1969" s="15"/>
      <c r="X1969" s="16"/>
      <c r="Y1969" s="17"/>
    </row>
    <row r="1970" spans="14:25" x14ac:dyDescent="0.25">
      <c r="N1970" s="61"/>
      <c r="O1970" s="61"/>
      <c r="P1970" s="62"/>
      <c r="Q1970" s="13"/>
      <c r="R1970" s="13"/>
      <c r="S1970" s="14"/>
      <c r="T1970" s="1"/>
      <c r="U1970" s="15"/>
      <c r="V1970" s="1"/>
      <c r="W1970" s="15"/>
      <c r="X1970" s="16"/>
      <c r="Y1970" s="17"/>
    </row>
    <row r="1971" spans="14:25" x14ac:dyDescent="0.25">
      <c r="N1971" s="61"/>
      <c r="O1971" s="61"/>
      <c r="P1971" s="62"/>
      <c r="Q1971" s="13"/>
      <c r="R1971" s="13"/>
      <c r="S1971" s="14"/>
      <c r="T1971" s="1"/>
      <c r="U1971" s="15"/>
      <c r="V1971" s="1"/>
      <c r="W1971" s="15"/>
      <c r="X1971" s="16"/>
      <c r="Y1971" s="17"/>
    </row>
    <row r="1972" spans="14:25" x14ac:dyDescent="0.25">
      <c r="N1972" s="61"/>
      <c r="O1972" s="61"/>
      <c r="P1972" s="62"/>
      <c r="Q1972" s="13"/>
      <c r="R1972" s="13"/>
      <c r="S1972" s="14"/>
      <c r="T1972" s="1"/>
      <c r="U1972" s="15"/>
      <c r="V1972" s="1"/>
      <c r="W1972" s="15"/>
      <c r="X1972" s="16"/>
      <c r="Y1972" s="17"/>
    </row>
    <row r="1973" spans="14:25" x14ac:dyDescent="0.25">
      <c r="N1973" s="61"/>
      <c r="O1973" s="61"/>
      <c r="P1973" s="62"/>
      <c r="Q1973" s="13"/>
      <c r="R1973" s="13"/>
      <c r="S1973" s="14"/>
      <c r="T1973" s="1"/>
      <c r="U1973" s="15"/>
      <c r="V1973" s="1"/>
      <c r="W1973" s="15"/>
      <c r="X1973" s="16"/>
      <c r="Y1973" s="17"/>
    </row>
    <row r="1974" spans="14:25" x14ac:dyDescent="0.25">
      <c r="N1974" s="61"/>
      <c r="O1974" s="61"/>
      <c r="P1974" s="62"/>
      <c r="Q1974" s="13"/>
      <c r="R1974" s="13"/>
      <c r="S1974" s="14"/>
      <c r="T1974" s="1"/>
      <c r="U1974" s="15"/>
      <c r="V1974" s="1"/>
      <c r="W1974" s="15"/>
      <c r="X1974" s="16"/>
      <c r="Y1974" s="17"/>
    </row>
    <row r="1975" spans="14:25" x14ac:dyDescent="0.25">
      <c r="N1975" s="61"/>
      <c r="O1975" s="61"/>
      <c r="P1975" s="62"/>
      <c r="Q1975" s="13"/>
      <c r="R1975" s="13"/>
      <c r="S1975" s="14"/>
      <c r="T1975" s="1"/>
      <c r="U1975" s="15"/>
      <c r="V1975" s="1"/>
      <c r="W1975" s="15"/>
      <c r="X1975" s="16"/>
      <c r="Y1975" s="17"/>
    </row>
    <row r="1976" spans="14:25" x14ac:dyDescent="0.25">
      <c r="N1976" s="61"/>
      <c r="O1976" s="61"/>
      <c r="P1976" s="62"/>
      <c r="Q1976" s="13"/>
      <c r="R1976" s="13"/>
      <c r="S1976" s="14"/>
      <c r="T1976" s="1"/>
      <c r="U1976" s="15"/>
      <c r="V1976" s="1"/>
      <c r="W1976" s="15"/>
      <c r="X1976" s="16"/>
      <c r="Y1976" s="17"/>
    </row>
    <row r="1977" spans="14:25" x14ac:dyDescent="0.25">
      <c r="N1977" s="61"/>
      <c r="O1977" s="61"/>
      <c r="P1977" s="62"/>
      <c r="Q1977" s="13"/>
      <c r="R1977" s="13"/>
      <c r="S1977" s="14"/>
      <c r="T1977" s="1"/>
      <c r="U1977" s="15"/>
      <c r="V1977" s="1"/>
      <c r="W1977" s="15"/>
      <c r="X1977" s="16"/>
      <c r="Y1977" s="17"/>
    </row>
    <row r="1978" spans="14:25" x14ac:dyDescent="0.25">
      <c r="N1978" s="61"/>
      <c r="O1978" s="61"/>
      <c r="P1978" s="62"/>
      <c r="Q1978" s="13"/>
      <c r="R1978" s="13"/>
      <c r="S1978" s="14"/>
      <c r="T1978" s="1"/>
      <c r="U1978" s="15"/>
      <c r="V1978" s="1"/>
      <c r="W1978" s="15"/>
      <c r="X1978" s="16"/>
      <c r="Y1978" s="17"/>
    </row>
    <row r="1979" spans="14:25" x14ac:dyDescent="0.25">
      <c r="N1979" s="61"/>
      <c r="O1979" s="61"/>
      <c r="P1979" s="62"/>
      <c r="Q1979" s="13"/>
      <c r="R1979" s="13"/>
      <c r="S1979" s="14"/>
      <c r="T1979" s="1"/>
      <c r="U1979" s="15"/>
      <c r="V1979" s="1"/>
      <c r="W1979" s="15"/>
      <c r="X1979" s="16"/>
      <c r="Y1979" s="17"/>
    </row>
    <row r="1980" spans="14:25" x14ac:dyDescent="0.25">
      <c r="N1980" s="61"/>
      <c r="O1980" s="61"/>
      <c r="P1980" s="62"/>
      <c r="Q1980" s="13"/>
      <c r="R1980" s="13"/>
      <c r="S1980" s="14"/>
      <c r="T1980" s="1"/>
      <c r="U1980" s="15"/>
      <c r="V1980" s="1"/>
      <c r="W1980" s="15"/>
      <c r="X1980" s="16"/>
      <c r="Y1980" s="17"/>
    </row>
    <row r="1981" spans="14:25" x14ac:dyDescent="0.25">
      <c r="N1981" s="61"/>
      <c r="O1981" s="61"/>
      <c r="P1981" s="62"/>
      <c r="Q1981" s="13"/>
      <c r="R1981" s="13"/>
      <c r="S1981" s="14"/>
      <c r="T1981" s="1"/>
      <c r="U1981" s="15"/>
      <c r="V1981" s="1"/>
      <c r="W1981" s="15"/>
      <c r="X1981" s="16"/>
      <c r="Y1981" s="17"/>
    </row>
    <row r="1982" spans="14:25" x14ac:dyDescent="0.25">
      <c r="N1982" s="61"/>
      <c r="O1982" s="61"/>
      <c r="P1982" s="62"/>
      <c r="Q1982" s="13"/>
      <c r="R1982" s="13"/>
      <c r="S1982" s="14"/>
      <c r="T1982" s="1"/>
      <c r="U1982" s="15"/>
      <c r="V1982" s="1"/>
      <c r="W1982" s="15"/>
      <c r="X1982" s="16"/>
      <c r="Y1982" s="17"/>
    </row>
    <row r="1983" spans="14:25" x14ac:dyDescent="0.25">
      <c r="N1983" s="61"/>
      <c r="O1983" s="61"/>
      <c r="P1983" s="62"/>
      <c r="Q1983" s="13"/>
      <c r="R1983" s="13"/>
      <c r="S1983" s="14"/>
      <c r="T1983" s="1"/>
      <c r="U1983" s="15"/>
      <c r="V1983" s="1"/>
      <c r="W1983" s="15"/>
      <c r="X1983" s="16"/>
      <c r="Y1983" s="17"/>
    </row>
    <row r="1984" spans="14:25" x14ac:dyDescent="0.25">
      <c r="N1984" s="61"/>
      <c r="O1984" s="61"/>
      <c r="P1984" s="62"/>
      <c r="Q1984" s="13"/>
      <c r="R1984" s="13"/>
      <c r="S1984" s="14"/>
      <c r="T1984" s="1"/>
      <c r="U1984" s="15"/>
      <c r="V1984" s="1"/>
      <c r="W1984" s="15"/>
      <c r="X1984" s="16"/>
      <c r="Y1984" s="17"/>
    </row>
    <row r="1985" spans="14:25" x14ac:dyDescent="0.25">
      <c r="N1985" s="61"/>
      <c r="O1985" s="61"/>
      <c r="P1985" s="62"/>
      <c r="Q1985" s="13"/>
      <c r="R1985" s="13"/>
      <c r="S1985" s="14"/>
      <c r="T1985" s="1"/>
      <c r="U1985" s="15"/>
      <c r="V1985" s="1"/>
      <c r="W1985" s="15"/>
      <c r="X1985" s="16"/>
      <c r="Y1985" s="17"/>
    </row>
    <row r="1986" spans="14:25" x14ac:dyDescent="0.25">
      <c r="N1986" s="61"/>
      <c r="O1986" s="61"/>
      <c r="P1986" s="62"/>
      <c r="Q1986" s="13"/>
      <c r="R1986" s="13"/>
      <c r="S1986" s="14"/>
      <c r="T1986" s="1"/>
      <c r="U1986" s="15"/>
      <c r="V1986" s="1"/>
      <c r="W1986" s="15"/>
      <c r="X1986" s="16"/>
      <c r="Y1986" s="17"/>
    </row>
    <row r="1987" spans="14:25" x14ac:dyDescent="0.25">
      <c r="N1987" s="61"/>
      <c r="O1987" s="61"/>
      <c r="P1987" s="62"/>
      <c r="Q1987" s="13"/>
      <c r="R1987" s="13"/>
      <c r="S1987" s="14"/>
      <c r="T1987" s="1"/>
      <c r="U1987" s="15"/>
      <c r="V1987" s="1"/>
      <c r="W1987" s="15"/>
      <c r="X1987" s="16"/>
      <c r="Y1987" s="17"/>
    </row>
    <row r="1988" spans="14:25" x14ac:dyDescent="0.25">
      <c r="N1988" s="61"/>
      <c r="O1988" s="61"/>
      <c r="P1988" s="62"/>
      <c r="Q1988" s="13"/>
      <c r="R1988" s="13"/>
      <c r="S1988" s="14"/>
      <c r="T1988" s="1"/>
      <c r="U1988" s="15"/>
      <c r="V1988" s="1"/>
      <c r="W1988" s="15"/>
      <c r="X1988" s="16"/>
      <c r="Y1988" s="17"/>
    </row>
    <row r="1989" spans="14:25" x14ac:dyDescent="0.25">
      <c r="N1989" s="61"/>
      <c r="O1989" s="61"/>
      <c r="P1989" s="62"/>
      <c r="Q1989" s="13"/>
      <c r="R1989" s="13"/>
      <c r="S1989" s="14"/>
      <c r="T1989" s="1"/>
      <c r="U1989" s="15"/>
      <c r="V1989" s="1"/>
      <c r="W1989" s="15"/>
      <c r="X1989" s="16"/>
      <c r="Y1989" s="17"/>
    </row>
    <row r="1990" spans="14:25" x14ac:dyDescent="0.25">
      <c r="N1990" s="61"/>
      <c r="O1990" s="61"/>
      <c r="P1990" s="62"/>
      <c r="Q1990" s="13"/>
      <c r="R1990" s="13"/>
      <c r="S1990" s="14"/>
      <c r="T1990" s="1"/>
      <c r="U1990" s="15"/>
      <c r="V1990" s="1"/>
      <c r="W1990" s="15"/>
      <c r="X1990" s="16"/>
      <c r="Y1990" s="17"/>
    </row>
    <row r="1991" spans="14:25" x14ac:dyDescent="0.25">
      <c r="N1991" s="61"/>
      <c r="O1991" s="61"/>
      <c r="P1991" s="62"/>
      <c r="Q1991" s="13"/>
      <c r="R1991" s="13"/>
      <c r="S1991" s="14"/>
      <c r="T1991" s="1"/>
      <c r="U1991" s="15"/>
      <c r="V1991" s="1"/>
      <c r="W1991" s="15"/>
      <c r="X1991" s="16"/>
      <c r="Y1991" s="17"/>
    </row>
    <row r="1992" spans="14:25" x14ac:dyDescent="0.25">
      <c r="N1992" s="61"/>
      <c r="O1992" s="61"/>
      <c r="P1992" s="62"/>
      <c r="Q1992" s="13"/>
      <c r="R1992" s="13"/>
      <c r="S1992" s="14"/>
      <c r="T1992" s="1"/>
      <c r="U1992" s="15"/>
      <c r="V1992" s="1"/>
      <c r="W1992" s="15"/>
      <c r="X1992" s="16"/>
      <c r="Y1992" s="17"/>
    </row>
    <row r="1993" spans="14:25" x14ac:dyDescent="0.25">
      <c r="N1993" s="61"/>
      <c r="O1993" s="61"/>
      <c r="P1993" s="62"/>
      <c r="Q1993" s="13"/>
      <c r="R1993" s="13"/>
      <c r="S1993" s="14"/>
      <c r="T1993" s="1"/>
      <c r="U1993" s="15"/>
      <c r="V1993" s="1"/>
      <c r="W1993" s="15"/>
      <c r="X1993" s="16"/>
      <c r="Y1993" s="17"/>
    </row>
    <row r="1994" spans="14:25" x14ac:dyDescent="0.25">
      <c r="N1994" s="61"/>
      <c r="O1994" s="61"/>
      <c r="P1994" s="62"/>
      <c r="Q1994" s="13"/>
      <c r="R1994" s="13"/>
      <c r="S1994" s="14"/>
      <c r="T1994" s="1"/>
      <c r="U1994" s="15"/>
      <c r="V1994" s="1"/>
      <c r="W1994" s="15"/>
      <c r="X1994" s="16"/>
      <c r="Y1994" s="17"/>
    </row>
    <row r="1995" spans="14:25" x14ac:dyDescent="0.25">
      <c r="N1995" s="61"/>
      <c r="O1995" s="61"/>
      <c r="P1995" s="62"/>
      <c r="Q1995" s="13"/>
      <c r="R1995" s="13"/>
      <c r="S1995" s="14"/>
      <c r="T1995" s="1"/>
      <c r="U1995" s="15"/>
      <c r="V1995" s="1"/>
      <c r="W1995" s="15"/>
      <c r="X1995" s="16"/>
      <c r="Y1995" s="17"/>
    </row>
    <row r="1996" spans="14:25" x14ac:dyDescent="0.25">
      <c r="N1996" s="61"/>
      <c r="O1996" s="61"/>
      <c r="P1996" s="62"/>
      <c r="Q1996" s="13"/>
      <c r="R1996" s="13"/>
      <c r="S1996" s="14"/>
      <c r="T1996" s="1"/>
      <c r="U1996" s="15"/>
      <c r="V1996" s="1"/>
      <c r="W1996" s="15"/>
      <c r="X1996" s="16"/>
      <c r="Y1996" s="17"/>
    </row>
    <row r="1997" spans="14:25" x14ac:dyDescent="0.25">
      <c r="N1997" s="61"/>
      <c r="O1997" s="61"/>
      <c r="P1997" s="62"/>
      <c r="Q1997" s="13"/>
      <c r="R1997" s="13"/>
      <c r="S1997" s="14"/>
      <c r="T1997" s="1"/>
      <c r="U1997" s="15"/>
      <c r="V1997" s="1"/>
      <c r="W1997" s="15"/>
      <c r="X1997" s="16"/>
      <c r="Y1997" s="17"/>
    </row>
    <row r="1998" spans="14:25" x14ac:dyDescent="0.25">
      <c r="N1998" s="61"/>
      <c r="O1998" s="61"/>
      <c r="P1998" s="62"/>
      <c r="Q1998" s="13"/>
      <c r="R1998" s="13"/>
      <c r="S1998" s="14"/>
      <c r="T1998" s="1"/>
      <c r="U1998" s="15"/>
      <c r="V1998" s="1"/>
      <c r="W1998" s="15"/>
      <c r="X1998" s="16"/>
      <c r="Y1998" s="17"/>
    </row>
    <row r="1999" spans="14:25" x14ac:dyDescent="0.25">
      <c r="N1999" s="61"/>
      <c r="O1999" s="61"/>
      <c r="P1999" s="62"/>
      <c r="Q1999" s="13"/>
      <c r="R1999" s="13"/>
      <c r="S1999" s="14"/>
      <c r="T1999" s="1"/>
      <c r="U1999" s="15"/>
      <c r="V1999" s="1"/>
      <c r="W1999" s="15"/>
      <c r="X1999" s="16"/>
      <c r="Y1999" s="17"/>
    </row>
    <row r="2000" spans="14:25" x14ac:dyDescent="0.25">
      <c r="N2000" s="61"/>
      <c r="O2000" s="61"/>
      <c r="P2000" s="62"/>
      <c r="Q2000" s="13"/>
      <c r="R2000" s="13"/>
      <c r="S2000" s="14"/>
      <c r="T2000" s="1"/>
      <c r="U2000" s="15"/>
      <c r="V2000" s="1"/>
      <c r="W2000" s="15"/>
      <c r="X2000" s="16"/>
      <c r="Y2000" s="17"/>
    </row>
    <row r="2001" spans="14:25" x14ac:dyDescent="0.25">
      <c r="N2001" s="61"/>
      <c r="O2001" s="61"/>
      <c r="P2001" s="62"/>
      <c r="Q2001" s="13"/>
      <c r="R2001" s="13"/>
      <c r="S2001" s="14"/>
      <c r="T2001" s="1"/>
      <c r="U2001" s="15"/>
      <c r="V2001" s="1"/>
      <c r="W2001" s="15"/>
      <c r="X2001" s="16"/>
      <c r="Y2001" s="17"/>
    </row>
    <row r="2002" spans="14:25" x14ac:dyDescent="0.25">
      <c r="N2002" s="61"/>
      <c r="O2002" s="61"/>
      <c r="P2002" s="62"/>
      <c r="Q2002" s="13"/>
      <c r="R2002" s="13"/>
      <c r="S2002" s="14"/>
      <c r="T2002" s="1"/>
      <c r="U2002" s="15"/>
      <c r="V2002" s="1"/>
      <c r="W2002" s="15"/>
      <c r="X2002" s="16"/>
      <c r="Y2002" s="17"/>
    </row>
    <row r="2003" spans="14:25" x14ac:dyDescent="0.25">
      <c r="N2003" s="61"/>
      <c r="O2003" s="61"/>
      <c r="P2003" s="62"/>
      <c r="Q2003" s="13"/>
      <c r="R2003" s="13"/>
      <c r="S2003" s="14"/>
      <c r="T2003" s="1"/>
      <c r="U2003" s="15"/>
      <c r="V2003" s="1"/>
      <c r="W2003" s="15"/>
      <c r="X2003" s="16"/>
      <c r="Y2003" s="17"/>
    </row>
    <row r="2004" spans="14:25" x14ac:dyDescent="0.25">
      <c r="N2004" s="61"/>
      <c r="O2004" s="61"/>
      <c r="P2004" s="62"/>
      <c r="Q2004" s="13"/>
      <c r="R2004" s="13"/>
      <c r="S2004" s="14"/>
      <c r="T2004" s="1"/>
      <c r="U2004" s="15"/>
      <c r="V2004" s="1"/>
      <c r="W2004" s="15"/>
      <c r="X2004" s="16"/>
      <c r="Y2004" s="17"/>
    </row>
    <row r="2005" spans="14:25" x14ac:dyDescent="0.25">
      <c r="N2005" s="61"/>
      <c r="O2005" s="61"/>
      <c r="P2005" s="62"/>
      <c r="Q2005" s="13"/>
      <c r="R2005" s="13"/>
      <c r="S2005" s="14"/>
      <c r="T2005" s="1"/>
      <c r="U2005" s="15"/>
      <c r="V2005" s="1"/>
      <c r="W2005" s="15"/>
      <c r="X2005" s="16"/>
      <c r="Y2005" s="17"/>
    </row>
    <row r="2006" spans="14:25" x14ac:dyDescent="0.25">
      <c r="N2006" s="61"/>
      <c r="O2006" s="61"/>
      <c r="P2006" s="62"/>
      <c r="Q2006" s="13"/>
      <c r="R2006" s="13"/>
      <c r="S2006" s="14"/>
      <c r="T2006" s="1"/>
      <c r="U2006" s="15"/>
      <c r="V2006" s="1"/>
      <c r="W2006" s="15"/>
      <c r="X2006" s="16"/>
      <c r="Y2006" s="17"/>
    </row>
    <row r="2007" spans="14:25" x14ac:dyDescent="0.25">
      <c r="N2007" s="61"/>
      <c r="O2007" s="61"/>
      <c r="P2007" s="62"/>
      <c r="Q2007" s="13"/>
      <c r="R2007" s="13"/>
      <c r="S2007" s="14"/>
      <c r="T2007" s="1"/>
      <c r="U2007" s="15"/>
      <c r="V2007" s="1"/>
      <c r="W2007" s="15"/>
      <c r="X2007" s="16"/>
      <c r="Y2007" s="17"/>
    </row>
    <row r="2008" spans="14:25" x14ac:dyDescent="0.25">
      <c r="N2008" s="61"/>
      <c r="O2008" s="61"/>
      <c r="P2008" s="62"/>
      <c r="Q2008" s="13"/>
      <c r="R2008" s="13"/>
      <c r="S2008" s="14"/>
      <c r="T2008" s="1"/>
      <c r="U2008" s="15"/>
      <c r="V2008" s="1"/>
      <c r="W2008" s="15"/>
      <c r="X2008" s="16"/>
      <c r="Y2008" s="17"/>
    </row>
    <row r="2009" spans="14:25" x14ac:dyDescent="0.25">
      <c r="N2009" s="61"/>
      <c r="O2009" s="61"/>
      <c r="P2009" s="62"/>
      <c r="Q2009" s="13"/>
      <c r="R2009" s="13"/>
      <c r="S2009" s="14"/>
      <c r="T2009" s="1"/>
      <c r="U2009" s="15"/>
      <c r="V2009" s="1"/>
      <c r="W2009" s="15"/>
      <c r="X2009" s="16"/>
      <c r="Y2009" s="17"/>
    </row>
    <row r="2010" spans="14:25" x14ac:dyDescent="0.25">
      <c r="N2010" s="61"/>
      <c r="O2010" s="61"/>
      <c r="P2010" s="62"/>
      <c r="Q2010" s="13"/>
      <c r="R2010" s="13"/>
      <c r="S2010" s="14"/>
      <c r="T2010" s="1"/>
      <c r="U2010" s="15"/>
      <c r="V2010" s="1"/>
      <c r="W2010" s="15"/>
      <c r="X2010" s="16"/>
      <c r="Y2010" s="17"/>
    </row>
    <row r="2011" spans="14:25" x14ac:dyDescent="0.25">
      <c r="N2011" s="61"/>
      <c r="O2011" s="61"/>
      <c r="P2011" s="62"/>
      <c r="Q2011" s="13"/>
      <c r="R2011" s="13"/>
      <c r="S2011" s="14"/>
      <c r="T2011" s="1"/>
      <c r="U2011" s="15"/>
      <c r="V2011" s="1"/>
      <c r="W2011" s="15"/>
      <c r="X2011" s="16"/>
      <c r="Y2011" s="17"/>
    </row>
    <row r="2012" spans="14:25" x14ac:dyDescent="0.25">
      <c r="N2012" s="61"/>
      <c r="O2012" s="61"/>
      <c r="P2012" s="62"/>
      <c r="Q2012" s="13"/>
      <c r="R2012" s="13"/>
      <c r="S2012" s="14"/>
      <c r="T2012" s="1"/>
      <c r="U2012" s="15"/>
      <c r="V2012" s="1"/>
      <c r="W2012" s="15"/>
      <c r="X2012" s="16"/>
      <c r="Y2012" s="17"/>
    </row>
    <row r="2013" spans="14:25" x14ac:dyDescent="0.25">
      <c r="N2013" s="61"/>
      <c r="O2013" s="61"/>
      <c r="P2013" s="62"/>
      <c r="Q2013" s="13"/>
      <c r="R2013" s="13"/>
      <c r="S2013" s="14"/>
      <c r="T2013" s="1"/>
      <c r="U2013" s="15"/>
      <c r="V2013" s="1"/>
      <c r="W2013" s="15"/>
      <c r="X2013" s="16"/>
      <c r="Y2013" s="17"/>
    </row>
    <row r="2014" spans="14:25" x14ac:dyDescent="0.25">
      <c r="N2014" s="61"/>
      <c r="O2014" s="61"/>
      <c r="P2014" s="62"/>
      <c r="Q2014" s="13"/>
      <c r="R2014" s="13"/>
      <c r="S2014" s="14"/>
      <c r="T2014" s="1"/>
      <c r="U2014" s="15"/>
      <c r="V2014" s="1"/>
      <c r="W2014" s="15"/>
      <c r="X2014" s="16"/>
      <c r="Y2014" s="17"/>
    </row>
    <row r="2015" spans="14:25" x14ac:dyDescent="0.25">
      <c r="N2015" s="61"/>
      <c r="O2015" s="61"/>
      <c r="P2015" s="62"/>
      <c r="Q2015" s="13"/>
      <c r="R2015" s="13"/>
      <c r="S2015" s="14"/>
      <c r="T2015" s="1"/>
      <c r="U2015" s="15"/>
      <c r="V2015" s="1"/>
      <c r="W2015" s="15"/>
      <c r="X2015" s="16"/>
      <c r="Y2015" s="17"/>
    </row>
    <row r="2016" spans="14:25" x14ac:dyDescent="0.25">
      <c r="N2016" s="61"/>
      <c r="O2016" s="61"/>
      <c r="P2016" s="62"/>
      <c r="Q2016" s="13"/>
      <c r="R2016" s="13"/>
      <c r="S2016" s="14"/>
      <c r="T2016" s="1"/>
      <c r="U2016" s="15"/>
      <c r="V2016" s="1"/>
      <c r="W2016" s="15"/>
      <c r="X2016" s="16"/>
      <c r="Y2016" s="17"/>
    </row>
    <row r="2017" spans="14:25" x14ac:dyDescent="0.25">
      <c r="N2017" s="61"/>
      <c r="O2017" s="61"/>
      <c r="P2017" s="62"/>
      <c r="Q2017" s="13"/>
      <c r="R2017" s="13"/>
      <c r="S2017" s="14"/>
      <c r="T2017" s="1"/>
      <c r="U2017" s="15"/>
      <c r="V2017" s="1"/>
      <c r="W2017" s="15"/>
      <c r="X2017" s="16"/>
      <c r="Y2017" s="17"/>
    </row>
    <row r="2018" spans="14:25" x14ac:dyDescent="0.25">
      <c r="N2018" s="61"/>
      <c r="O2018" s="61"/>
      <c r="P2018" s="62"/>
      <c r="Q2018" s="13"/>
      <c r="R2018" s="13"/>
      <c r="S2018" s="14"/>
      <c r="T2018" s="1"/>
      <c r="U2018" s="15"/>
      <c r="V2018" s="1"/>
      <c r="W2018" s="15"/>
      <c r="X2018" s="16"/>
      <c r="Y2018" s="17"/>
    </row>
    <row r="2019" spans="14:25" x14ac:dyDescent="0.25">
      <c r="N2019" s="61"/>
      <c r="O2019" s="61"/>
      <c r="P2019" s="62"/>
      <c r="Q2019" s="13"/>
      <c r="R2019" s="13"/>
      <c r="S2019" s="14"/>
      <c r="T2019" s="1"/>
      <c r="U2019" s="15"/>
      <c r="V2019" s="1"/>
      <c r="W2019" s="15"/>
      <c r="X2019" s="16"/>
      <c r="Y2019" s="17"/>
    </row>
    <row r="2020" spans="14:25" x14ac:dyDescent="0.25">
      <c r="N2020" s="61"/>
      <c r="O2020" s="61"/>
      <c r="P2020" s="62"/>
      <c r="Q2020" s="13"/>
      <c r="R2020" s="13"/>
      <c r="S2020" s="14"/>
      <c r="T2020" s="1"/>
      <c r="U2020" s="15"/>
      <c r="V2020" s="1"/>
      <c r="W2020" s="15"/>
      <c r="X2020" s="16"/>
      <c r="Y2020" s="17"/>
    </row>
    <row r="2021" spans="14:25" x14ac:dyDescent="0.25">
      <c r="N2021" s="61"/>
      <c r="O2021" s="61"/>
      <c r="P2021" s="62"/>
      <c r="Q2021" s="13"/>
      <c r="R2021" s="13"/>
      <c r="S2021" s="14"/>
      <c r="T2021" s="1"/>
      <c r="U2021" s="15"/>
      <c r="V2021" s="1"/>
      <c r="W2021" s="15"/>
      <c r="X2021" s="16"/>
      <c r="Y2021" s="17"/>
    </row>
    <row r="2022" spans="14:25" x14ac:dyDescent="0.25">
      <c r="N2022" s="61"/>
      <c r="O2022" s="61"/>
      <c r="P2022" s="62"/>
      <c r="Q2022" s="13"/>
      <c r="R2022" s="13"/>
      <c r="S2022" s="14"/>
      <c r="T2022" s="1"/>
      <c r="U2022" s="15"/>
      <c r="V2022" s="1"/>
      <c r="W2022" s="15"/>
      <c r="X2022" s="16"/>
      <c r="Y2022" s="17"/>
    </row>
    <row r="2023" spans="14:25" x14ac:dyDescent="0.25">
      <c r="N2023" s="61"/>
      <c r="O2023" s="61"/>
      <c r="P2023" s="62"/>
      <c r="Q2023" s="13"/>
      <c r="R2023" s="13"/>
      <c r="S2023" s="14"/>
      <c r="T2023" s="1"/>
      <c r="U2023" s="15"/>
      <c r="V2023" s="1"/>
      <c r="W2023" s="15"/>
      <c r="X2023" s="16"/>
      <c r="Y2023" s="17"/>
    </row>
    <row r="2024" spans="14:25" x14ac:dyDescent="0.25">
      <c r="N2024" s="61"/>
      <c r="O2024" s="61"/>
      <c r="P2024" s="62"/>
      <c r="Q2024" s="13"/>
      <c r="R2024" s="13"/>
      <c r="S2024" s="14"/>
      <c r="T2024" s="1"/>
      <c r="U2024" s="15"/>
      <c r="V2024" s="1"/>
      <c r="W2024" s="15"/>
      <c r="X2024" s="16"/>
      <c r="Y2024" s="17"/>
    </row>
    <row r="2025" spans="14:25" x14ac:dyDescent="0.25">
      <c r="N2025" s="61"/>
      <c r="O2025" s="61"/>
      <c r="P2025" s="62"/>
      <c r="Q2025" s="13"/>
      <c r="R2025" s="13"/>
      <c r="S2025" s="14"/>
      <c r="T2025" s="1"/>
      <c r="U2025" s="15"/>
      <c r="V2025" s="1"/>
      <c r="W2025" s="15"/>
      <c r="X2025" s="16"/>
      <c r="Y2025" s="17"/>
    </row>
    <row r="2026" spans="14:25" x14ac:dyDescent="0.25">
      <c r="N2026" s="61"/>
      <c r="O2026" s="61"/>
      <c r="P2026" s="62"/>
      <c r="Q2026" s="13"/>
      <c r="R2026" s="13"/>
      <c r="S2026" s="14"/>
      <c r="T2026" s="1"/>
      <c r="U2026" s="15"/>
      <c r="V2026" s="1"/>
      <c r="W2026" s="15"/>
      <c r="X2026" s="16"/>
      <c r="Y2026" s="17"/>
    </row>
    <row r="2027" spans="14:25" x14ac:dyDescent="0.25">
      <c r="N2027" s="61"/>
      <c r="O2027" s="61"/>
      <c r="P2027" s="62"/>
      <c r="Q2027" s="13"/>
      <c r="R2027" s="13"/>
      <c r="S2027" s="14"/>
      <c r="T2027" s="1"/>
      <c r="U2027" s="15"/>
      <c r="V2027" s="1"/>
      <c r="W2027" s="15"/>
      <c r="X2027" s="16"/>
      <c r="Y2027" s="17"/>
    </row>
    <row r="2028" spans="14:25" x14ac:dyDescent="0.25">
      <c r="N2028" s="61"/>
      <c r="O2028" s="61"/>
      <c r="P2028" s="62"/>
      <c r="Q2028" s="13"/>
      <c r="R2028" s="13"/>
      <c r="S2028" s="14"/>
      <c r="T2028" s="1"/>
      <c r="U2028" s="15"/>
      <c r="V2028" s="1"/>
      <c r="W2028" s="15"/>
      <c r="X2028" s="16"/>
      <c r="Y2028" s="17"/>
    </row>
    <row r="2029" spans="14:25" x14ac:dyDescent="0.25">
      <c r="N2029" s="61"/>
      <c r="O2029" s="61"/>
      <c r="P2029" s="62"/>
      <c r="Q2029" s="13"/>
      <c r="R2029" s="13"/>
      <c r="S2029" s="14"/>
      <c r="T2029" s="1"/>
      <c r="U2029" s="15"/>
      <c r="V2029" s="1"/>
      <c r="W2029" s="15"/>
      <c r="X2029" s="16"/>
      <c r="Y2029" s="17"/>
    </row>
    <row r="2030" spans="14:25" x14ac:dyDescent="0.25">
      <c r="N2030" s="61"/>
      <c r="O2030" s="61"/>
      <c r="P2030" s="62"/>
      <c r="Q2030" s="13"/>
      <c r="R2030" s="13"/>
      <c r="S2030" s="14"/>
      <c r="T2030" s="1"/>
      <c r="U2030" s="15"/>
      <c r="V2030" s="1"/>
      <c r="W2030" s="15"/>
      <c r="X2030" s="16"/>
      <c r="Y2030" s="17"/>
    </row>
    <row r="2031" spans="14:25" x14ac:dyDescent="0.25">
      <c r="N2031" s="61"/>
      <c r="O2031" s="61"/>
      <c r="P2031" s="62"/>
      <c r="Q2031" s="13"/>
      <c r="R2031" s="13"/>
      <c r="S2031" s="14"/>
      <c r="T2031" s="1"/>
      <c r="U2031" s="15"/>
      <c r="V2031" s="1"/>
      <c r="W2031" s="15"/>
      <c r="X2031" s="16"/>
      <c r="Y2031" s="17"/>
    </row>
    <row r="2032" spans="14:25" x14ac:dyDescent="0.25">
      <c r="N2032" s="61"/>
      <c r="O2032" s="61"/>
      <c r="P2032" s="62"/>
      <c r="Q2032" s="13"/>
      <c r="R2032" s="13"/>
      <c r="S2032" s="14"/>
      <c r="T2032" s="1"/>
      <c r="U2032" s="15"/>
      <c r="V2032" s="1"/>
      <c r="W2032" s="15"/>
      <c r="X2032" s="16"/>
      <c r="Y2032" s="17"/>
    </row>
    <row r="2033" spans="14:25" x14ac:dyDescent="0.25">
      <c r="N2033" s="61"/>
      <c r="O2033" s="61"/>
      <c r="P2033" s="62"/>
      <c r="Q2033" s="13"/>
      <c r="R2033" s="13"/>
      <c r="S2033" s="14"/>
      <c r="T2033" s="1"/>
      <c r="U2033" s="15"/>
      <c r="V2033" s="1"/>
      <c r="W2033" s="15"/>
      <c r="X2033" s="16"/>
      <c r="Y2033" s="17"/>
    </row>
    <row r="2034" spans="14:25" x14ac:dyDescent="0.25">
      <c r="N2034" s="61"/>
      <c r="O2034" s="61"/>
      <c r="P2034" s="62"/>
      <c r="Q2034" s="13"/>
      <c r="R2034" s="13"/>
      <c r="S2034" s="14"/>
      <c r="T2034" s="1"/>
      <c r="U2034" s="15"/>
      <c r="V2034" s="1"/>
      <c r="W2034" s="15"/>
      <c r="X2034" s="16"/>
      <c r="Y2034" s="17"/>
    </row>
    <row r="2035" spans="14:25" x14ac:dyDescent="0.25">
      <c r="N2035" s="61"/>
      <c r="O2035" s="61"/>
      <c r="P2035" s="62"/>
      <c r="Q2035" s="13"/>
      <c r="R2035" s="13"/>
      <c r="S2035" s="14"/>
      <c r="T2035" s="1"/>
      <c r="U2035" s="15"/>
      <c r="V2035" s="1"/>
      <c r="W2035" s="15"/>
      <c r="X2035" s="16"/>
      <c r="Y2035" s="17"/>
    </row>
    <row r="2036" spans="14:25" x14ac:dyDescent="0.25">
      <c r="N2036" s="61"/>
      <c r="O2036" s="61"/>
      <c r="P2036" s="62"/>
      <c r="Q2036" s="13"/>
      <c r="R2036" s="13"/>
      <c r="S2036" s="14"/>
      <c r="T2036" s="1"/>
      <c r="U2036" s="15"/>
      <c r="V2036" s="1"/>
      <c r="W2036" s="15"/>
      <c r="X2036" s="16"/>
      <c r="Y2036" s="17"/>
    </row>
    <row r="2037" spans="14:25" x14ac:dyDescent="0.25">
      <c r="N2037" s="61"/>
      <c r="O2037" s="61"/>
      <c r="P2037" s="62"/>
      <c r="Q2037" s="13"/>
      <c r="R2037" s="13"/>
      <c r="S2037" s="14"/>
      <c r="T2037" s="1"/>
      <c r="U2037" s="15"/>
      <c r="V2037" s="1"/>
      <c r="W2037" s="15"/>
      <c r="X2037" s="16"/>
      <c r="Y2037" s="17"/>
    </row>
    <row r="2038" spans="14:25" x14ac:dyDescent="0.25">
      <c r="N2038" s="61"/>
      <c r="O2038" s="61"/>
      <c r="P2038" s="62"/>
      <c r="Q2038" s="13"/>
      <c r="R2038" s="13"/>
      <c r="S2038" s="14"/>
      <c r="T2038" s="1"/>
      <c r="U2038" s="15"/>
      <c r="V2038" s="1"/>
      <c r="W2038" s="15"/>
      <c r="X2038" s="16"/>
      <c r="Y2038" s="17"/>
    </row>
    <row r="2039" spans="14:25" x14ac:dyDescent="0.25">
      <c r="N2039" s="61"/>
      <c r="O2039" s="61"/>
      <c r="P2039" s="62"/>
      <c r="Q2039" s="13"/>
      <c r="R2039" s="13"/>
      <c r="S2039" s="14"/>
      <c r="T2039" s="1"/>
      <c r="U2039" s="15"/>
      <c r="V2039" s="1"/>
      <c r="W2039" s="15"/>
      <c r="X2039" s="16"/>
      <c r="Y2039" s="17"/>
    </row>
    <row r="2040" spans="14:25" x14ac:dyDescent="0.25">
      <c r="N2040" s="61"/>
      <c r="O2040" s="61"/>
      <c r="P2040" s="62"/>
      <c r="Q2040" s="13"/>
      <c r="R2040" s="13"/>
      <c r="S2040" s="14"/>
      <c r="T2040" s="1"/>
      <c r="U2040" s="15"/>
      <c r="V2040" s="1"/>
      <c r="W2040" s="15"/>
      <c r="X2040" s="16"/>
      <c r="Y2040" s="17"/>
    </row>
    <row r="2041" spans="14:25" x14ac:dyDescent="0.25">
      <c r="N2041" s="61"/>
      <c r="O2041" s="61"/>
      <c r="P2041" s="62"/>
      <c r="Q2041" s="13"/>
      <c r="R2041" s="13"/>
      <c r="S2041" s="14"/>
      <c r="T2041" s="1"/>
      <c r="U2041" s="15"/>
      <c r="V2041" s="1"/>
      <c r="W2041" s="15"/>
      <c r="X2041" s="16"/>
      <c r="Y2041" s="17"/>
    </row>
    <row r="2042" spans="14:25" x14ac:dyDescent="0.25">
      <c r="N2042" s="61"/>
      <c r="O2042" s="61"/>
      <c r="P2042" s="62"/>
      <c r="Q2042" s="13"/>
      <c r="R2042" s="13"/>
      <c r="S2042" s="14"/>
      <c r="T2042" s="1"/>
      <c r="U2042" s="15"/>
      <c r="V2042" s="1"/>
      <c r="W2042" s="15"/>
      <c r="X2042" s="16"/>
      <c r="Y2042" s="17"/>
    </row>
    <row r="2043" spans="14:25" x14ac:dyDescent="0.25">
      <c r="N2043" s="61"/>
      <c r="O2043" s="61"/>
      <c r="P2043" s="62"/>
      <c r="Q2043" s="13"/>
      <c r="R2043" s="13"/>
      <c r="S2043" s="14"/>
      <c r="T2043" s="1"/>
      <c r="U2043" s="15"/>
      <c r="V2043" s="1"/>
      <c r="W2043" s="15"/>
      <c r="X2043" s="16"/>
      <c r="Y2043" s="17"/>
    </row>
    <row r="2044" spans="14:25" x14ac:dyDescent="0.25">
      <c r="N2044" s="61"/>
      <c r="O2044" s="61"/>
      <c r="P2044" s="62"/>
      <c r="Q2044" s="13"/>
      <c r="R2044" s="13"/>
      <c r="S2044" s="14"/>
      <c r="T2044" s="1"/>
      <c r="U2044" s="15"/>
      <c r="V2044" s="1"/>
      <c r="W2044" s="15"/>
      <c r="X2044" s="16"/>
      <c r="Y2044" s="17"/>
    </row>
    <row r="2045" spans="14:25" x14ac:dyDescent="0.25">
      <c r="N2045" s="61"/>
      <c r="O2045" s="61"/>
      <c r="P2045" s="62"/>
      <c r="Q2045" s="13"/>
      <c r="R2045" s="13"/>
      <c r="S2045" s="14"/>
      <c r="T2045" s="1"/>
      <c r="U2045" s="15"/>
      <c r="V2045" s="1"/>
      <c r="W2045" s="15"/>
      <c r="X2045" s="16"/>
      <c r="Y2045" s="17"/>
    </row>
    <row r="2046" spans="14:25" x14ac:dyDescent="0.25">
      <c r="N2046" s="61"/>
      <c r="O2046" s="61"/>
      <c r="P2046" s="62"/>
      <c r="Q2046" s="13"/>
      <c r="R2046" s="13"/>
      <c r="S2046" s="14"/>
      <c r="T2046" s="1"/>
      <c r="U2046" s="15"/>
      <c r="V2046" s="1"/>
      <c r="W2046" s="15"/>
      <c r="X2046" s="16"/>
      <c r="Y2046" s="17"/>
    </row>
    <row r="2047" spans="14:25" x14ac:dyDescent="0.25">
      <c r="N2047" s="61"/>
      <c r="O2047" s="61"/>
      <c r="P2047" s="62"/>
      <c r="Q2047" s="13"/>
      <c r="R2047" s="13"/>
      <c r="S2047" s="14"/>
      <c r="T2047" s="1"/>
      <c r="U2047" s="15"/>
      <c r="V2047" s="1"/>
      <c r="W2047" s="15"/>
      <c r="X2047" s="16"/>
      <c r="Y2047" s="17"/>
    </row>
    <row r="2048" spans="14:25" x14ac:dyDescent="0.25">
      <c r="N2048" s="61"/>
      <c r="O2048" s="61"/>
      <c r="P2048" s="62"/>
      <c r="Q2048" s="13"/>
      <c r="R2048" s="13"/>
      <c r="S2048" s="14"/>
      <c r="T2048" s="1"/>
      <c r="U2048" s="15"/>
      <c r="V2048" s="1"/>
      <c r="W2048" s="15"/>
      <c r="X2048" s="16"/>
      <c r="Y2048" s="17"/>
    </row>
    <row r="2049" spans="14:25" x14ac:dyDescent="0.25">
      <c r="N2049" s="61"/>
      <c r="O2049" s="61"/>
      <c r="P2049" s="62"/>
      <c r="Q2049" s="13"/>
      <c r="R2049" s="13"/>
      <c r="S2049" s="14"/>
      <c r="T2049" s="1"/>
      <c r="U2049" s="15"/>
      <c r="V2049" s="1"/>
      <c r="W2049" s="15"/>
      <c r="X2049" s="16"/>
      <c r="Y2049" s="17"/>
    </row>
    <row r="2050" spans="14:25" x14ac:dyDescent="0.25">
      <c r="N2050" s="61"/>
      <c r="O2050" s="61"/>
      <c r="P2050" s="62"/>
      <c r="Q2050" s="13"/>
      <c r="R2050" s="13"/>
      <c r="S2050" s="14"/>
      <c r="T2050" s="1"/>
      <c r="U2050" s="15"/>
      <c r="V2050" s="1"/>
      <c r="W2050" s="15"/>
      <c r="X2050" s="16"/>
      <c r="Y2050" s="17"/>
    </row>
    <row r="2051" spans="14:25" x14ac:dyDescent="0.25">
      <c r="N2051" s="61"/>
      <c r="O2051" s="61"/>
      <c r="P2051" s="62"/>
      <c r="Q2051" s="13"/>
      <c r="R2051" s="13"/>
      <c r="S2051" s="14"/>
      <c r="T2051" s="1"/>
      <c r="U2051" s="15"/>
      <c r="V2051" s="1"/>
      <c r="W2051" s="15"/>
      <c r="X2051" s="16"/>
      <c r="Y2051" s="17"/>
    </row>
    <row r="2052" spans="14:25" x14ac:dyDescent="0.25">
      <c r="N2052" s="61"/>
      <c r="O2052" s="61"/>
      <c r="P2052" s="62"/>
      <c r="Q2052" s="13"/>
      <c r="R2052" s="13"/>
      <c r="S2052" s="14"/>
      <c r="T2052" s="1"/>
      <c r="U2052" s="15"/>
      <c r="V2052" s="1"/>
      <c r="W2052" s="15"/>
      <c r="X2052" s="16"/>
      <c r="Y2052" s="17"/>
    </row>
    <row r="2053" spans="14:25" x14ac:dyDescent="0.25">
      <c r="N2053" s="61"/>
      <c r="O2053" s="61"/>
      <c r="P2053" s="62"/>
      <c r="Q2053" s="13"/>
      <c r="R2053" s="13"/>
      <c r="S2053" s="14"/>
      <c r="T2053" s="1"/>
      <c r="U2053" s="15"/>
      <c r="V2053" s="1"/>
      <c r="W2053" s="15"/>
      <c r="X2053" s="16"/>
      <c r="Y2053" s="17"/>
    </row>
    <row r="2054" spans="14:25" x14ac:dyDescent="0.25">
      <c r="N2054" s="61"/>
      <c r="O2054" s="61"/>
      <c r="P2054" s="62"/>
      <c r="Q2054" s="13"/>
      <c r="R2054" s="13"/>
      <c r="S2054" s="14"/>
      <c r="T2054" s="1"/>
      <c r="U2054" s="15"/>
      <c r="V2054" s="1"/>
      <c r="W2054" s="15"/>
      <c r="X2054" s="16"/>
      <c r="Y2054" s="17"/>
    </row>
    <row r="2055" spans="14:25" x14ac:dyDescent="0.25">
      <c r="N2055" s="61"/>
      <c r="O2055" s="61"/>
      <c r="P2055" s="62"/>
      <c r="Q2055" s="13"/>
      <c r="R2055" s="13"/>
      <c r="S2055" s="14"/>
      <c r="T2055" s="1"/>
      <c r="U2055" s="15"/>
      <c r="V2055" s="1"/>
      <c r="W2055" s="15"/>
      <c r="X2055" s="16"/>
      <c r="Y2055" s="17"/>
    </row>
    <row r="2056" spans="14:25" x14ac:dyDescent="0.25">
      <c r="N2056" s="61"/>
      <c r="O2056" s="61"/>
      <c r="P2056" s="62"/>
      <c r="Q2056" s="13"/>
      <c r="R2056" s="13"/>
      <c r="S2056" s="14"/>
      <c r="T2056" s="1"/>
      <c r="U2056" s="15"/>
      <c r="V2056" s="1"/>
      <c r="W2056" s="15"/>
      <c r="X2056" s="16"/>
      <c r="Y2056" s="17"/>
    </row>
    <row r="2057" spans="14:25" x14ac:dyDescent="0.25">
      <c r="N2057" s="61"/>
      <c r="O2057" s="61"/>
      <c r="P2057" s="62"/>
      <c r="Q2057" s="13"/>
      <c r="R2057" s="13"/>
      <c r="S2057" s="14"/>
      <c r="T2057" s="1"/>
      <c r="U2057" s="15"/>
      <c r="V2057" s="1"/>
      <c r="W2057" s="15"/>
      <c r="X2057" s="16"/>
      <c r="Y2057" s="17"/>
    </row>
    <row r="2058" spans="14:25" x14ac:dyDescent="0.25">
      <c r="N2058" s="61"/>
      <c r="O2058" s="61"/>
      <c r="P2058" s="62"/>
      <c r="Q2058" s="13"/>
      <c r="R2058" s="13"/>
      <c r="S2058" s="14"/>
      <c r="T2058" s="1"/>
      <c r="U2058" s="15"/>
      <c r="V2058" s="1"/>
      <c r="W2058" s="15"/>
      <c r="X2058" s="16"/>
      <c r="Y2058" s="17"/>
    </row>
    <row r="2059" spans="14:25" x14ac:dyDescent="0.25">
      <c r="N2059" s="61"/>
      <c r="O2059" s="61"/>
      <c r="P2059" s="62"/>
      <c r="Q2059" s="13"/>
      <c r="R2059" s="13"/>
      <c r="S2059" s="14"/>
      <c r="T2059" s="1"/>
      <c r="U2059" s="15"/>
      <c r="V2059" s="1"/>
      <c r="W2059" s="15"/>
      <c r="X2059" s="16"/>
      <c r="Y2059" s="17"/>
    </row>
    <row r="2060" spans="14:25" x14ac:dyDescent="0.25">
      <c r="N2060" s="61"/>
      <c r="O2060" s="61"/>
      <c r="P2060" s="62"/>
      <c r="Q2060" s="13"/>
      <c r="R2060" s="13"/>
      <c r="S2060" s="14"/>
      <c r="T2060" s="1"/>
      <c r="U2060" s="15"/>
      <c r="V2060" s="1"/>
      <c r="W2060" s="15"/>
      <c r="X2060" s="16"/>
      <c r="Y2060" s="17"/>
    </row>
    <row r="2061" spans="14:25" x14ac:dyDescent="0.25">
      <c r="N2061" s="61"/>
      <c r="O2061" s="61"/>
      <c r="P2061" s="62"/>
      <c r="Q2061" s="13"/>
      <c r="R2061" s="13"/>
      <c r="S2061" s="14"/>
      <c r="T2061" s="1"/>
      <c r="U2061" s="15"/>
      <c r="V2061" s="1"/>
      <c r="W2061" s="15"/>
      <c r="X2061" s="16"/>
      <c r="Y2061" s="17"/>
    </row>
    <row r="2062" spans="14:25" x14ac:dyDescent="0.25">
      <c r="N2062" s="61"/>
      <c r="O2062" s="61"/>
      <c r="P2062" s="62"/>
      <c r="Q2062" s="13"/>
      <c r="R2062" s="13"/>
      <c r="S2062" s="14"/>
      <c r="T2062" s="1"/>
      <c r="U2062" s="15"/>
      <c r="V2062" s="1"/>
      <c r="W2062" s="15"/>
      <c r="X2062" s="16"/>
      <c r="Y2062" s="17"/>
    </row>
    <row r="2063" spans="14:25" x14ac:dyDescent="0.25">
      <c r="N2063" s="61"/>
      <c r="O2063" s="61"/>
      <c r="P2063" s="62"/>
      <c r="Q2063" s="13"/>
      <c r="R2063" s="13"/>
      <c r="S2063" s="14"/>
      <c r="T2063" s="1"/>
      <c r="U2063" s="15"/>
      <c r="V2063" s="1"/>
      <c r="W2063" s="15"/>
      <c r="X2063" s="16"/>
      <c r="Y2063" s="17"/>
    </row>
    <row r="2064" spans="14:25" x14ac:dyDescent="0.25">
      <c r="N2064" s="61"/>
      <c r="O2064" s="61"/>
      <c r="P2064" s="62"/>
      <c r="Q2064" s="13"/>
      <c r="R2064" s="13"/>
      <c r="S2064" s="14"/>
      <c r="T2064" s="1"/>
      <c r="U2064" s="15"/>
      <c r="V2064" s="1"/>
      <c r="W2064" s="15"/>
      <c r="X2064" s="16"/>
      <c r="Y2064" s="17"/>
    </row>
    <row r="2065" spans="14:25" x14ac:dyDescent="0.25">
      <c r="N2065" s="61"/>
      <c r="O2065" s="61"/>
      <c r="P2065" s="62"/>
      <c r="Q2065" s="13"/>
      <c r="R2065" s="13"/>
      <c r="S2065" s="14"/>
      <c r="T2065" s="1"/>
      <c r="U2065" s="15"/>
      <c r="V2065" s="1"/>
      <c r="W2065" s="15"/>
      <c r="X2065" s="16"/>
      <c r="Y2065" s="17"/>
    </row>
    <row r="2066" spans="14:25" x14ac:dyDescent="0.25">
      <c r="N2066" s="61"/>
      <c r="O2066" s="61"/>
      <c r="P2066" s="62"/>
      <c r="Q2066" s="13"/>
      <c r="R2066" s="13"/>
      <c r="S2066" s="14"/>
      <c r="T2066" s="1"/>
      <c r="U2066" s="15"/>
      <c r="V2066" s="1"/>
      <c r="W2066" s="15"/>
      <c r="X2066" s="16"/>
      <c r="Y2066" s="17"/>
    </row>
    <row r="2067" spans="14:25" x14ac:dyDescent="0.25">
      <c r="N2067" s="61"/>
      <c r="O2067" s="61"/>
      <c r="P2067" s="62"/>
      <c r="Q2067" s="13"/>
      <c r="R2067" s="13"/>
      <c r="S2067" s="14"/>
      <c r="T2067" s="1"/>
      <c r="U2067" s="15"/>
      <c r="V2067" s="1"/>
      <c r="W2067" s="15"/>
      <c r="X2067" s="16"/>
      <c r="Y2067" s="17"/>
    </row>
    <row r="2068" spans="14:25" x14ac:dyDescent="0.25">
      <c r="N2068" s="61"/>
      <c r="O2068" s="61"/>
      <c r="P2068" s="62"/>
      <c r="Q2068" s="13"/>
      <c r="R2068" s="13"/>
      <c r="S2068" s="14"/>
      <c r="T2068" s="1"/>
      <c r="U2068" s="15"/>
      <c r="V2068" s="1"/>
      <c r="W2068" s="15"/>
      <c r="X2068" s="16"/>
      <c r="Y2068" s="17"/>
    </row>
    <row r="2069" spans="14:25" x14ac:dyDescent="0.25">
      <c r="N2069" s="61"/>
      <c r="O2069" s="61"/>
      <c r="P2069" s="62"/>
      <c r="Q2069" s="13"/>
      <c r="R2069" s="13"/>
      <c r="S2069" s="14"/>
      <c r="T2069" s="1"/>
      <c r="U2069" s="15"/>
      <c r="V2069" s="1"/>
      <c r="W2069" s="15"/>
      <c r="X2069" s="16"/>
      <c r="Y2069" s="17"/>
    </row>
    <row r="2070" spans="14:25" x14ac:dyDescent="0.25">
      <c r="N2070" s="61"/>
      <c r="O2070" s="61"/>
      <c r="P2070" s="62"/>
      <c r="Q2070" s="13"/>
      <c r="R2070" s="13"/>
      <c r="S2070" s="14"/>
      <c r="T2070" s="1"/>
      <c r="U2070" s="15"/>
      <c r="V2070" s="1"/>
      <c r="W2070" s="15"/>
      <c r="X2070" s="16"/>
      <c r="Y2070" s="17"/>
    </row>
    <row r="2071" spans="14:25" x14ac:dyDescent="0.25">
      <c r="N2071" s="61"/>
      <c r="O2071" s="61"/>
      <c r="P2071" s="62"/>
      <c r="Q2071" s="13"/>
      <c r="R2071" s="13"/>
      <c r="S2071" s="14"/>
      <c r="T2071" s="1"/>
      <c r="U2071" s="15"/>
      <c r="V2071" s="1"/>
      <c r="W2071" s="15"/>
      <c r="X2071" s="16"/>
      <c r="Y2071" s="17"/>
    </row>
    <row r="2072" spans="14:25" x14ac:dyDescent="0.25">
      <c r="N2072" s="61"/>
      <c r="O2072" s="61"/>
      <c r="P2072" s="62"/>
      <c r="Q2072" s="13"/>
      <c r="R2072" s="13"/>
      <c r="S2072" s="14"/>
      <c r="T2072" s="1"/>
      <c r="U2072" s="15"/>
      <c r="V2072" s="1"/>
      <c r="W2072" s="15"/>
      <c r="X2072" s="16"/>
      <c r="Y2072" s="17"/>
    </row>
    <row r="2073" spans="14:25" x14ac:dyDescent="0.25">
      <c r="N2073" s="61"/>
      <c r="O2073" s="61"/>
      <c r="P2073" s="62"/>
      <c r="Q2073" s="13"/>
      <c r="R2073" s="13"/>
      <c r="S2073" s="14"/>
      <c r="T2073" s="1"/>
      <c r="U2073" s="15"/>
      <c r="V2073" s="1"/>
      <c r="W2073" s="15"/>
      <c r="X2073" s="16"/>
      <c r="Y2073" s="17"/>
    </row>
    <row r="2074" spans="14:25" x14ac:dyDescent="0.25">
      <c r="N2074" s="61"/>
      <c r="O2074" s="61"/>
      <c r="P2074" s="62"/>
      <c r="Q2074" s="13"/>
      <c r="R2074" s="13"/>
      <c r="S2074" s="14"/>
      <c r="T2074" s="1"/>
      <c r="U2074" s="15"/>
      <c r="V2074" s="1"/>
      <c r="W2074" s="15"/>
      <c r="X2074" s="16"/>
      <c r="Y2074" s="17"/>
    </row>
    <row r="2075" spans="14:25" x14ac:dyDescent="0.25">
      <c r="N2075" s="61"/>
      <c r="O2075" s="61"/>
      <c r="P2075" s="62"/>
      <c r="Q2075" s="13"/>
      <c r="R2075" s="13"/>
      <c r="S2075" s="14"/>
      <c r="T2075" s="1"/>
      <c r="U2075" s="15"/>
      <c r="V2075" s="1"/>
      <c r="W2075" s="15"/>
      <c r="X2075" s="16"/>
      <c r="Y2075" s="17"/>
    </row>
    <row r="2076" spans="14:25" x14ac:dyDescent="0.25">
      <c r="N2076" s="61"/>
      <c r="O2076" s="61"/>
      <c r="P2076" s="62"/>
      <c r="Q2076" s="13"/>
      <c r="R2076" s="13"/>
      <c r="S2076" s="14"/>
      <c r="T2076" s="1"/>
      <c r="U2076" s="15"/>
      <c r="V2076" s="1"/>
      <c r="W2076" s="15"/>
      <c r="X2076" s="16"/>
      <c r="Y2076" s="17"/>
    </row>
    <row r="2077" spans="14:25" x14ac:dyDescent="0.25">
      <c r="N2077" s="61"/>
      <c r="O2077" s="61"/>
      <c r="P2077" s="62"/>
      <c r="Q2077" s="13"/>
      <c r="R2077" s="13"/>
      <c r="S2077" s="14"/>
      <c r="T2077" s="1"/>
      <c r="U2077" s="15"/>
      <c r="V2077" s="1"/>
      <c r="W2077" s="15"/>
      <c r="X2077" s="16"/>
      <c r="Y2077" s="17"/>
    </row>
    <row r="2078" spans="14:25" x14ac:dyDescent="0.25">
      <c r="N2078" s="61"/>
      <c r="O2078" s="61"/>
      <c r="P2078" s="62"/>
      <c r="Q2078" s="13"/>
      <c r="R2078" s="13"/>
      <c r="S2078" s="14"/>
      <c r="T2078" s="1"/>
      <c r="U2078" s="15"/>
      <c r="V2078" s="1"/>
      <c r="W2078" s="15"/>
      <c r="X2078" s="16"/>
      <c r="Y2078" s="17"/>
    </row>
    <row r="2079" spans="14:25" x14ac:dyDescent="0.25">
      <c r="N2079" s="61"/>
      <c r="O2079" s="61"/>
      <c r="P2079" s="62"/>
      <c r="Q2079" s="13"/>
      <c r="R2079" s="13"/>
      <c r="S2079" s="14"/>
      <c r="T2079" s="1"/>
      <c r="U2079" s="15"/>
      <c r="V2079" s="1"/>
      <c r="W2079" s="15"/>
      <c r="X2079" s="16"/>
      <c r="Y2079" s="17"/>
    </row>
    <row r="2080" spans="14:25" x14ac:dyDescent="0.25">
      <c r="N2080" s="61"/>
      <c r="O2080" s="61"/>
      <c r="P2080" s="62"/>
      <c r="Q2080" s="13"/>
      <c r="R2080" s="13"/>
      <c r="S2080" s="14"/>
      <c r="T2080" s="1"/>
      <c r="U2080" s="15"/>
      <c r="V2080" s="1"/>
      <c r="W2080" s="15"/>
      <c r="X2080" s="16"/>
      <c r="Y2080" s="17"/>
    </row>
    <row r="2081" spans="14:25" x14ac:dyDescent="0.25">
      <c r="N2081" s="61"/>
      <c r="O2081" s="61"/>
      <c r="P2081" s="62"/>
      <c r="Q2081" s="13"/>
      <c r="R2081" s="13"/>
      <c r="S2081" s="14"/>
      <c r="T2081" s="1"/>
      <c r="U2081" s="15"/>
      <c r="V2081" s="1"/>
      <c r="W2081" s="15"/>
      <c r="X2081" s="16"/>
      <c r="Y2081" s="17"/>
    </row>
    <row r="2082" spans="14:25" x14ac:dyDescent="0.25">
      <c r="N2082" s="61"/>
      <c r="O2082" s="61"/>
      <c r="P2082" s="62"/>
      <c r="Q2082" s="13"/>
      <c r="R2082" s="13"/>
      <c r="S2082" s="14"/>
      <c r="T2082" s="1"/>
      <c r="U2082" s="15"/>
      <c r="V2082" s="1"/>
      <c r="W2082" s="15"/>
      <c r="X2082" s="16"/>
      <c r="Y2082" s="17"/>
    </row>
    <row r="2083" spans="14:25" x14ac:dyDescent="0.25">
      <c r="N2083" s="61"/>
      <c r="O2083" s="61"/>
      <c r="P2083" s="62"/>
      <c r="Q2083" s="13"/>
      <c r="R2083" s="13"/>
      <c r="S2083" s="14"/>
      <c r="T2083" s="1"/>
      <c r="U2083" s="15"/>
      <c r="V2083" s="1"/>
      <c r="W2083" s="15"/>
      <c r="X2083" s="16"/>
      <c r="Y2083" s="17"/>
    </row>
    <row r="2084" spans="14:25" x14ac:dyDescent="0.25">
      <c r="N2084" s="61"/>
      <c r="O2084" s="61"/>
      <c r="P2084" s="62"/>
      <c r="Q2084" s="13"/>
      <c r="R2084" s="13"/>
      <c r="S2084" s="14"/>
      <c r="T2084" s="1"/>
      <c r="U2084" s="15"/>
      <c r="V2084" s="1"/>
      <c r="W2084" s="15"/>
      <c r="X2084" s="16"/>
      <c r="Y2084" s="17"/>
    </row>
    <row r="2085" spans="14:25" x14ac:dyDescent="0.25">
      <c r="N2085" s="61"/>
      <c r="O2085" s="61"/>
      <c r="P2085" s="62"/>
      <c r="Q2085" s="13"/>
      <c r="R2085" s="13"/>
      <c r="S2085" s="14"/>
      <c r="T2085" s="1"/>
      <c r="U2085" s="15"/>
      <c r="V2085" s="1"/>
      <c r="W2085" s="15"/>
      <c r="X2085" s="16"/>
      <c r="Y2085" s="17"/>
    </row>
    <row r="2086" spans="14:25" x14ac:dyDescent="0.25">
      <c r="N2086" s="61"/>
      <c r="O2086" s="61"/>
      <c r="P2086" s="62"/>
      <c r="Q2086" s="13"/>
      <c r="R2086" s="13"/>
      <c r="S2086" s="14"/>
      <c r="T2086" s="1"/>
      <c r="U2086" s="15"/>
      <c r="V2086" s="1"/>
      <c r="W2086" s="15"/>
      <c r="X2086" s="16"/>
      <c r="Y2086" s="17"/>
    </row>
    <row r="2087" spans="14:25" x14ac:dyDescent="0.25">
      <c r="N2087" s="61"/>
      <c r="O2087" s="61"/>
      <c r="P2087" s="62"/>
      <c r="Q2087" s="13"/>
      <c r="R2087" s="13"/>
      <c r="S2087" s="14"/>
      <c r="T2087" s="1"/>
      <c r="U2087" s="15"/>
      <c r="V2087" s="1"/>
      <c r="W2087" s="15"/>
      <c r="X2087" s="16"/>
      <c r="Y2087" s="17"/>
    </row>
    <row r="2088" spans="14:25" x14ac:dyDescent="0.25">
      <c r="N2088" s="61"/>
      <c r="O2088" s="61"/>
      <c r="P2088" s="62"/>
      <c r="Q2088" s="13"/>
      <c r="R2088" s="13"/>
      <c r="S2088" s="14"/>
      <c r="T2088" s="1"/>
      <c r="U2088" s="15"/>
      <c r="V2088" s="1"/>
      <c r="W2088" s="15"/>
      <c r="X2088" s="16"/>
      <c r="Y2088" s="17"/>
    </row>
    <row r="2089" spans="14:25" x14ac:dyDescent="0.25">
      <c r="N2089" s="61"/>
      <c r="O2089" s="61"/>
      <c r="P2089" s="62"/>
      <c r="Q2089" s="13"/>
      <c r="R2089" s="13"/>
      <c r="S2089" s="14"/>
      <c r="T2089" s="1"/>
      <c r="U2089" s="15"/>
      <c r="V2089" s="1"/>
      <c r="W2089" s="15"/>
      <c r="X2089" s="16"/>
      <c r="Y2089" s="17"/>
    </row>
    <row r="2090" spans="14:25" x14ac:dyDescent="0.25">
      <c r="N2090" s="61"/>
      <c r="O2090" s="61"/>
      <c r="P2090" s="62"/>
      <c r="Q2090" s="13"/>
      <c r="R2090" s="13"/>
      <c r="S2090" s="14"/>
      <c r="T2090" s="1"/>
      <c r="U2090" s="15"/>
      <c r="V2090" s="1"/>
      <c r="W2090" s="15"/>
      <c r="X2090" s="16"/>
      <c r="Y2090" s="17"/>
    </row>
    <row r="2091" spans="14:25" x14ac:dyDescent="0.25">
      <c r="N2091" s="61"/>
      <c r="O2091" s="61"/>
      <c r="P2091" s="62"/>
      <c r="Q2091" s="13"/>
      <c r="R2091" s="13"/>
      <c r="S2091" s="14"/>
      <c r="T2091" s="1"/>
      <c r="U2091" s="15"/>
      <c r="V2091" s="1"/>
      <c r="W2091" s="15"/>
      <c r="X2091" s="16"/>
      <c r="Y2091" s="17"/>
    </row>
    <row r="2092" spans="14:25" x14ac:dyDescent="0.25">
      <c r="N2092" s="61"/>
      <c r="O2092" s="61"/>
      <c r="P2092" s="62"/>
      <c r="Q2092" s="13"/>
      <c r="R2092" s="13"/>
      <c r="S2092" s="14"/>
      <c r="T2092" s="1"/>
      <c r="U2092" s="15"/>
      <c r="V2092" s="1"/>
      <c r="W2092" s="15"/>
      <c r="X2092" s="16"/>
      <c r="Y2092" s="17"/>
    </row>
    <row r="2093" spans="14:25" x14ac:dyDescent="0.25">
      <c r="N2093" s="61"/>
      <c r="O2093" s="61"/>
      <c r="P2093" s="62"/>
      <c r="Q2093" s="13"/>
      <c r="R2093" s="13"/>
      <c r="S2093" s="14"/>
      <c r="T2093" s="1"/>
      <c r="U2093" s="15"/>
      <c r="V2093" s="1"/>
      <c r="W2093" s="15"/>
      <c r="X2093" s="16"/>
      <c r="Y2093" s="17"/>
    </row>
    <row r="2094" spans="14:25" x14ac:dyDescent="0.25">
      <c r="N2094" s="61"/>
      <c r="O2094" s="61"/>
      <c r="P2094" s="62"/>
      <c r="Q2094" s="13"/>
      <c r="R2094" s="13"/>
      <c r="S2094" s="14"/>
      <c r="T2094" s="1"/>
      <c r="U2094" s="15"/>
      <c r="V2094" s="1"/>
      <c r="W2094" s="15"/>
      <c r="X2094" s="16"/>
      <c r="Y2094" s="17"/>
    </row>
    <row r="2095" spans="14:25" x14ac:dyDescent="0.25">
      <c r="N2095" s="61"/>
      <c r="O2095" s="61"/>
      <c r="P2095" s="62"/>
      <c r="Q2095" s="13"/>
      <c r="R2095" s="13"/>
      <c r="S2095" s="14"/>
      <c r="T2095" s="1"/>
      <c r="U2095" s="15"/>
      <c r="V2095" s="1"/>
      <c r="W2095" s="15"/>
      <c r="X2095" s="16"/>
      <c r="Y2095" s="17"/>
    </row>
    <row r="2096" spans="14:25" x14ac:dyDescent="0.25">
      <c r="N2096" s="61"/>
      <c r="O2096" s="61"/>
      <c r="P2096" s="62"/>
      <c r="Q2096" s="13"/>
      <c r="R2096" s="13"/>
      <c r="S2096" s="14"/>
      <c r="T2096" s="1"/>
      <c r="U2096" s="15"/>
      <c r="V2096" s="1"/>
      <c r="W2096" s="15"/>
      <c r="X2096" s="16"/>
      <c r="Y2096" s="17"/>
    </row>
    <row r="2097" spans="14:25" x14ac:dyDescent="0.25">
      <c r="N2097" s="61"/>
      <c r="O2097" s="61"/>
      <c r="P2097" s="62"/>
      <c r="Q2097" s="13"/>
      <c r="R2097" s="13"/>
      <c r="S2097" s="14"/>
      <c r="T2097" s="1"/>
      <c r="U2097" s="15"/>
      <c r="V2097" s="1"/>
      <c r="W2097" s="15"/>
      <c r="X2097" s="16"/>
      <c r="Y2097" s="17"/>
    </row>
    <row r="2098" spans="14:25" x14ac:dyDescent="0.25">
      <c r="N2098" s="61"/>
      <c r="O2098" s="61"/>
      <c r="P2098" s="62"/>
      <c r="Q2098" s="13"/>
      <c r="R2098" s="13"/>
      <c r="S2098" s="14"/>
      <c r="T2098" s="1"/>
      <c r="U2098" s="15"/>
      <c r="V2098" s="1"/>
      <c r="W2098" s="15"/>
      <c r="X2098" s="16"/>
      <c r="Y2098" s="17"/>
    </row>
    <row r="2099" spans="14:25" x14ac:dyDescent="0.25">
      <c r="N2099" s="61"/>
      <c r="O2099" s="61"/>
      <c r="P2099" s="62"/>
      <c r="Q2099" s="13"/>
      <c r="R2099" s="13"/>
      <c r="S2099" s="14"/>
      <c r="T2099" s="1"/>
      <c r="U2099" s="15"/>
      <c r="V2099" s="1"/>
      <c r="W2099" s="15"/>
      <c r="X2099" s="16"/>
      <c r="Y2099" s="17"/>
    </row>
    <row r="2100" spans="14:25" x14ac:dyDescent="0.25">
      <c r="N2100" s="61"/>
      <c r="O2100" s="61"/>
      <c r="P2100" s="62"/>
      <c r="Q2100" s="13"/>
      <c r="R2100" s="13"/>
      <c r="S2100" s="14"/>
      <c r="T2100" s="1"/>
      <c r="U2100" s="15"/>
      <c r="V2100" s="1"/>
      <c r="W2100" s="15"/>
      <c r="X2100" s="16"/>
      <c r="Y2100" s="17"/>
    </row>
    <row r="2101" spans="14:25" x14ac:dyDescent="0.25">
      <c r="N2101" s="61"/>
      <c r="O2101" s="61"/>
      <c r="P2101" s="62"/>
      <c r="Q2101" s="13"/>
      <c r="R2101" s="13"/>
      <c r="S2101" s="14"/>
      <c r="T2101" s="1"/>
      <c r="U2101" s="15"/>
      <c r="V2101" s="1"/>
      <c r="W2101" s="15"/>
      <c r="X2101" s="16"/>
      <c r="Y2101" s="17"/>
    </row>
    <row r="2102" spans="14:25" x14ac:dyDescent="0.25">
      <c r="N2102" s="61"/>
      <c r="O2102" s="61"/>
      <c r="P2102" s="62"/>
      <c r="Q2102" s="13"/>
      <c r="R2102" s="13"/>
      <c r="S2102" s="14"/>
      <c r="T2102" s="1"/>
      <c r="U2102" s="15"/>
      <c r="V2102" s="1"/>
      <c r="W2102" s="15"/>
      <c r="X2102" s="16"/>
      <c r="Y2102" s="17"/>
    </row>
    <row r="2103" spans="14:25" x14ac:dyDescent="0.25">
      <c r="N2103" s="61"/>
      <c r="O2103" s="61"/>
      <c r="P2103" s="62"/>
      <c r="Q2103" s="13"/>
      <c r="R2103" s="13"/>
      <c r="S2103" s="14"/>
      <c r="T2103" s="1"/>
      <c r="U2103" s="15"/>
      <c r="V2103" s="1"/>
      <c r="W2103" s="15"/>
      <c r="X2103" s="16"/>
      <c r="Y2103" s="17"/>
    </row>
    <row r="2104" spans="14:25" x14ac:dyDescent="0.25">
      <c r="N2104" s="61"/>
      <c r="O2104" s="61"/>
      <c r="P2104" s="62"/>
      <c r="Q2104" s="13"/>
      <c r="R2104" s="13"/>
      <c r="S2104" s="14"/>
      <c r="T2104" s="1"/>
      <c r="U2104" s="15"/>
      <c r="V2104" s="1"/>
      <c r="W2104" s="15"/>
      <c r="X2104" s="16"/>
      <c r="Y2104" s="17"/>
    </row>
    <row r="2105" spans="14:25" x14ac:dyDescent="0.25">
      <c r="N2105" s="61"/>
      <c r="O2105" s="61"/>
      <c r="P2105" s="62"/>
      <c r="Q2105" s="13"/>
      <c r="R2105" s="13"/>
      <c r="S2105" s="14"/>
      <c r="T2105" s="1"/>
      <c r="U2105" s="15"/>
      <c r="V2105" s="1"/>
      <c r="W2105" s="15"/>
      <c r="X2105" s="16"/>
      <c r="Y2105" s="17"/>
    </row>
    <row r="2106" spans="14:25" x14ac:dyDescent="0.25">
      <c r="N2106" s="61"/>
      <c r="O2106" s="61"/>
      <c r="P2106" s="62"/>
      <c r="Q2106" s="13"/>
      <c r="R2106" s="13"/>
      <c r="S2106" s="14"/>
      <c r="T2106" s="1"/>
      <c r="U2106" s="15"/>
      <c r="V2106" s="1"/>
      <c r="W2106" s="15"/>
      <c r="X2106" s="16"/>
      <c r="Y2106" s="17"/>
    </row>
    <row r="2107" spans="14:25" x14ac:dyDescent="0.25">
      <c r="N2107" s="61"/>
      <c r="O2107" s="61"/>
      <c r="P2107" s="62"/>
      <c r="Q2107" s="13"/>
      <c r="R2107" s="13"/>
      <c r="S2107" s="14"/>
      <c r="T2107" s="1"/>
      <c r="U2107" s="15"/>
      <c r="V2107" s="1"/>
      <c r="W2107" s="15"/>
      <c r="X2107" s="16"/>
      <c r="Y2107" s="17"/>
    </row>
    <row r="2108" spans="14:25" x14ac:dyDescent="0.25">
      <c r="N2108" s="61"/>
      <c r="O2108" s="61"/>
      <c r="P2108" s="62"/>
      <c r="Q2108" s="13"/>
      <c r="R2108" s="13"/>
      <c r="S2108" s="14"/>
      <c r="T2108" s="1"/>
      <c r="U2108" s="15"/>
      <c r="V2108" s="1"/>
      <c r="W2108" s="15"/>
      <c r="X2108" s="16"/>
      <c r="Y2108" s="17"/>
    </row>
    <row r="2109" spans="14:25" x14ac:dyDescent="0.25">
      <c r="N2109" s="61"/>
      <c r="O2109" s="61"/>
      <c r="P2109" s="62"/>
      <c r="Q2109" s="13"/>
      <c r="R2109" s="13"/>
      <c r="S2109" s="14"/>
      <c r="T2109" s="1"/>
      <c r="U2109" s="15"/>
      <c r="V2109" s="1"/>
      <c r="W2109" s="15"/>
      <c r="X2109" s="16"/>
      <c r="Y2109" s="17"/>
    </row>
    <row r="2110" spans="14:25" x14ac:dyDescent="0.25">
      <c r="N2110" s="61"/>
      <c r="O2110" s="61"/>
      <c r="P2110" s="62"/>
      <c r="Q2110" s="13"/>
      <c r="R2110" s="13"/>
      <c r="S2110" s="14"/>
      <c r="T2110" s="1"/>
      <c r="U2110" s="15"/>
      <c r="V2110" s="1"/>
      <c r="W2110" s="15"/>
      <c r="X2110" s="16"/>
      <c r="Y2110" s="17"/>
    </row>
    <row r="2111" spans="14:25" x14ac:dyDescent="0.25">
      <c r="N2111" s="61"/>
      <c r="O2111" s="61"/>
      <c r="P2111" s="62"/>
      <c r="Q2111" s="13"/>
      <c r="R2111" s="13"/>
      <c r="S2111" s="14"/>
      <c r="T2111" s="1"/>
      <c r="U2111" s="15"/>
      <c r="V2111" s="1"/>
      <c r="W2111" s="15"/>
      <c r="X2111" s="16"/>
      <c r="Y2111" s="17"/>
    </row>
    <row r="2112" spans="14:25" x14ac:dyDescent="0.25">
      <c r="N2112" s="61"/>
      <c r="O2112" s="61"/>
      <c r="P2112" s="62"/>
      <c r="Q2112" s="13"/>
      <c r="R2112" s="13"/>
      <c r="S2112" s="14"/>
      <c r="T2112" s="1"/>
      <c r="U2112" s="15"/>
      <c r="V2112" s="1"/>
      <c r="W2112" s="15"/>
      <c r="X2112" s="16"/>
      <c r="Y2112" s="17"/>
    </row>
    <row r="2113" spans="14:25" x14ac:dyDescent="0.25">
      <c r="N2113" s="61"/>
      <c r="O2113" s="61"/>
      <c r="P2113" s="62"/>
      <c r="Q2113" s="13"/>
      <c r="R2113" s="13"/>
      <c r="S2113" s="14"/>
      <c r="T2113" s="1"/>
      <c r="U2113" s="15"/>
      <c r="V2113" s="1"/>
      <c r="W2113" s="15"/>
      <c r="X2113" s="16"/>
      <c r="Y2113" s="17"/>
    </row>
    <row r="2114" spans="14:25" x14ac:dyDescent="0.25">
      <c r="N2114" s="61"/>
      <c r="O2114" s="61"/>
      <c r="P2114" s="62"/>
      <c r="Q2114" s="13"/>
      <c r="R2114" s="13"/>
      <c r="S2114" s="14"/>
      <c r="T2114" s="1"/>
      <c r="U2114" s="15"/>
      <c r="V2114" s="1"/>
      <c r="W2114" s="15"/>
      <c r="X2114" s="16"/>
      <c r="Y2114" s="17"/>
    </row>
    <row r="2115" spans="14:25" x14ac:dyDescent="0.25">
      <c r="N2115" s="61"/>
      <c r="O2115" s="61"/>
      <c r="P2115" s="62"/>
      <c r="Q2115" s="13"/>
      <c r="R2115" s="13"/>
      <c r="S2115" s="14"/>
      <c r="T2115" s="1"/>
      <c r="U2115" s="15"/>
      <c r="V2115" s="1"/>
      <c r="W2115" s="15"/>
      <c r="X2115" s="16"/>
      <c r="Y2115" s="17"/>
    </row>
    <row r="2116" spans="14:25" x14ac:dyDescent="0.25">
      <c r="N2116" s="61"/>
      <c r="O2116" s="61"/>
      <c r="P2116" s="62"/>
      <c r="Q2116" s="13"/>
      <c r="R2116" s="13"/>
      <c r="S2116" s="14"/>
      <c r="T2116" s="1"/>
      <c r="U2116" s="15"/>
      <c r="V2116" s="1"/>
      <c r="W2116" s="15"/>
      <c r="X2116" s="16"/>
      <c r="Y2116" s="17"/>
    </row>
    <row r="2117" spans="14:25" x14ac:dyDescent="0.25">
      <c r="N2117" s="61"/>
      <c r="O2117" s="61"/>
      <c r="P2117" s="62"/>
      <c r="Q2117" s="13"/>
      <c r="R2117" s="13"/>
      <c r="S2117" s="14"/>
      <c r="T2117" s="1"/>
      <c r="U2117" s="15"/>
      <c r="V2117" s="1"/>
      <c r="W2117" s="15"/>
      <c r="X2117" s="16"/>
      <c r="Y2117" s="17"/>
    </row>
    <row r="2118" spans="14:25" x14ac:dyDescent="0.25">
      <c r="N2118" s="61"/>
      <c r="O2118" s="61"/>
      <c r="P2118" s="62"/>
      <c r="Q2118" s="13"/>
      <c r="R2118" s="13"/>
      <c r="S2118" s="14"/>
      <c r="T2118" s="1"/>
      <c r="U2118" s="15"/>
      <c r="V2118" s="1"/>
      <c r="W2118" s="15"/>
      <c r="X2118" s="16"/>
      <c r="Y2118" s="17"/>
    </row>
    <row r="2119" spans="14:25" x14ac:dyDescent="0.25">
      <c r="N2119" s="61"/>
      <c r="O2119" s="61"/>
      <c r="P2119" s="62"/>
      <c r="Q2119" s="13"/>
      <c r="R2119" s="13"/>
      <c r="S2119" s="14"/>
      <c r="T2119" s="1"/>
      <c r="U2119" s="15"/>
      <c r="V2119" s="1"/>
      <c r="W2119" s="15"/>
      <c r="X2119" s="16"/>
      <c r="Y2119" s="17"/>
    </row>
    <row r="2120" spans="14:25" x14ac:dyDescent="0.25">
      <c r="N2120" s="61"/>
      <c r="O2120" s="61"/>
      <c r="P2120" s="62"/>
      <c r="Q2120" s="13"/>
      <c r="R2120" s="13"/>
      <c r="S2120" s="14"/>
      <c r="T2120" s="1"/>
      <c r="U2120" s="15"/>
      <c r="V2120" s="1"/>
      <c r="W2120" s="15"/>
      <c r="X2120" s="16"/>
      <c r="Y2120" s="17"/>
    </row>
    <row r="2121" spans="14:25" x14ac:dyDescent="0.25">
      <c r="N2121" s="61"/>
      <c r="O2121" s="61"/>
      <c r="P2121" s="62"/>
      <c r="Q2121" s="13"/>
      <c r="R2121" s="13"/>
      <c r="S2121" s="14"/>
      <c r="T2121" s="1"/>
      <c r="U2121" s="15"/>
      <c r="V2121" s="1"/>
      <c r="W2121" s="15"/>
      <c r="X2121" s="16"/>
      <c r="Y2121" s="17"/>
    </row>
    <row r="2122" spans="14:25" x14ac:dyDescent="0.25">
      <c r="N2122" s="61"/>
      <c r="O2122" s="61"/>
      <c r="P2122" s="62"/>
      <c r="Q2122" s="13"/>
      <c r="R2122" s="13"/>
      <c r="S2122" s="14"/>
      <c r="T2122" s="1"/>
      <c r="U2122" s="15"/>
      <c r="V2122" s="1"/>
      <c r="W2122" s="15"/>
      <c r="X2122" s="16"/>
      <c r="Y2122" s="17"/>
    </row>
    <row r="2123" spans="14:25" x14ac:dyDescent="0.25">
      <c r="N2123" s="61"/>
      <c r="O2123" s="61"/>
      <c r="P2123" s="62"/>
      <c r="Q2123" s="13"/>
      <c r="R2123" s="13"/>
      <c r="S2123" s="14"/>
      <c r="T2123" s="1"/>
      <c r="U2123" s="15"/>
      <c r="V2123" s="1"/>
      <c r="W2123" s="15"/>
      <c r="X2123" s="16"/>
      <c r="Y2123" s="17"/>
    </row>
    <row r="2124" spans="14:25" x14ac:dyDescent="0.25">
      <c r="N2124" s="61"/>
      <c r="O2124" s="61"/>
      <c r="P2124" s="62"/>
      <c r="Q2124" s="13"/>
      <c r="R2124" s="13"/>
      <c r="S2124" s="14"/>
      <c r="T2124" s="1"/>
      <c r="U2124" s="15"/>
      <c r="V2124" s="1"/>
      <c r="W2124" s="15"/>
      <c r="X2124" s="16"/>
      <c r="Y2124" s="17"/>
    </row>
    <row r="2125" spans="14:25" x14ac:dyDescent="0.25">
      <c r="N2125" s="61"/>
      <c r="O2125" s="61"/>
      <c r="P2125" s="62"/>
      <c r="Q2125" s="13"/>
      <c r="R2125" s="13"/>
      <c r="S2125" s="14"/>
      <c r="T2125" s="1"/>
      <c r="U2125" s="15"/>
      <c r="V2125" s="1"/>
      <c r="W2125" s="15"/>
      <c r="X2125" s="16"/>
      <c r="Y2125" s="17"/>
    </row>
    <row r="2126" spans="14:25" x14ac:dyDescent="0.25">
      <c r="N2126" s="61"/>
      <c r="O2126" s="61"/>
      <c r="P2126" s="62"/>
      <c r="Q2126" s="13"/>
      <c r="R2126" s="13"/>
      <c r="S2126" s="14"/>
      <c r="T2126" s="1"/>
      <c r="U2126" s="15"/>
      <c r="V2126" s="1"/>
      <c r="W2126" s="15"/>
      <c r="X2126" s="16"/>
      <c r="Y2126" s="17"/>
    </row>
    <row r="2127" spans="14:25" x14ac:dyDescent="0.25">
      <c r="N2127" s="61"/>
      <c r="O2127" s="61"/>
      <c r="P2127" s="62"/>
      <c r="Q2127" s="13"/>
      <c r="R2127" s="13"/>
      <c r="S2127" s="14"/>
      <c r="T2127" s="1"/>
      <c r="U2127" s="15"/>
      <c r="V2127" s="1"/>
      <c r="W2127" s="15"/>
      <c r="X2127" s="16"/>
      <c r="Y2127" s="17"/>
    </row>
    <row r="2128" spans="14:25" x14ac:dyDescent="0.25">
      <c r="N2128" s="61"/>
      <c r="O2128" s="61"/>
      <c r="P2128" s="62"/>
      <c r="Q2128" s="13"/>
      <c r="R2128" s="13"/>
      <c r="S2128" s="14"/>
      <c r="T2128" s="1"/>
      <c r="U2128" s="15"/>
      <c r="V2128" s="1"/>
      <c r="W2128" s="15"/>
      <c r="X2128" s="16"/>
      <c r="Y2128" s="17"/>
    </row>
    <row r="2129" spans="14:25" x14ac:dyDescent="0.25">
      <c r="N2129" s="61"/>
      <c r="O2129" s="61"/>
      <c r="P2129" s="62"/>
      <c r="Q2129" s="13"/>
      <c r="R2129" s="13"/>
      <c r="S2129" s="14"/>
      <c r="T2129" s="1"/>
      <c r="U2129" s="15"/>
      <c r="V2129" s="1"/>
      <c r="W2129" s="15"/>
      <c r="X2129" s="16"/>
      <c r="Y2129" s="17"/>
    </row>
    <row r="2130" spans="14:25" x14ac:dyDescent="0.25">
      <c r="N2130" s="61"/>
      <c r="O2130" s="61"/>
      <c r="P2130" s="62"/>
      <c r="Q2130" s="13"/>
      <c r="R2130" s="13"/>
      <c r="S2130" s="14"/>
      <c r="T2130" s="1"/>
      <c r="U2130" s="15"/>
      <c r="V2130" s="1"/>
      <c r="W2130" s="15"/>
      <c r="X2130" s="16"/>
      <c r="Y2130" s="17"/>
    </row>
    <row r="2131" spans="14:25" x14ac:dyDescent="0.25">
      <c r="N2131" s="61"/>
      <c r="O2131" s="61"/>
      <c r="P2131" s="62"/>
      <c r="Q2131" s="13"/>
      <c r="R2131" s="13"/>
      <c r="S2131" s="14"/>
      <c r="T2131" s="1"/>
      <c r="U2131" s="15"/>
      <c r="V2131" s="1"/>
      <c r="W2131" s="15"/>
      <c r="X2131" s="16"/>
      <c r="Y2131" s="17"/>
    </row>
    <row r="2132" spans="14:25" x14ac:dyDescent="0.25">
      <c r="N2132" s="61"/>
      <c r="O2132" s="61"/>
      <c r="P2132" s="62"/>
      <c r="Q2132" s="13"/>
      <c r="R2132" s="13"/>
      <c r="S2132" s="14"/>
      <c r="T2132" s="1"/>
      <c r="U2132" s="15"/>
      <c r="V2132" s="1"/>
      <c r="W2132" s="15"/>
      <c r="X2132" s="16"/>
      <c r="Y2132" s="17"/>
    </row>
    <row r="2133" spans="14:25" x14ac:dyDescent="0.25">
      <c r="N2133" s="61"/>
      <c r="O2133" s="61"/>
      <c r="P2133" s="62"/>
      <c r="Q2133" s="13"/>
      <c r="R2133" s="13"/>
      <c r="S2133" s="14"/>
      <c r="T2133" s="1"/>
      <c r="U2133" s="15"/>
      <c r="V2133" s="1"/>
      <c r="W2133" s="15"/>
      <c r="X2133" s="16"/>
      <c r="Y2133" s="17"/>
    </row>
    <row r="2134" spans="14:25" x14ac:dyDescent="0.25">
      <c r="N2134" s="61"/>
      <c r="O2134" s="61"/>
      <c r="P2134" s="62"/>
      <c r="Q2134" s="13"/>
      <c r="R2134" s="13"/>
      <c r="S2134" s="14"/>
      <c r="T2134" s="1"/>
      <c r="U2134" s="15"/>
      <c r="V2134" s="1"/>
      <c r="W2134" s="15"/>
      <c r="X2134" s="16"/>
      <c r="Y2134" s="17"/>
    </row>
    <row r="2135" spans="14:25" x14ac:dyDescent="0.25">
      <c r="N2135" s="61"/>
      <c r="O2135" s="61"/>
      <c r="P2135" s="62"/>
      <c r="Q2135" s="13"/>
      <c r="R2135" s="13"/>
      <c r="S2135" s="14"/>
      <c r="T2135" s="1"/>
      <c r="U2135" s="15"/>
      <c r="V2135" s="1"/>
      <c r="W2135" s="15"/>
      <c r="X2135" s="16"/>
      <c r="Y2135" s="17"/>
    </row>
    <row r="2136" spans="14:25" x14ac:dyDescent="0.25">
      <c r="N2136" s="61"/>
      <c r="O2136" s="61"/>
      <c r="P2136" s="62"/>
      <c r="Q2136" s="13"/>
      <c r="R2136" s="13"/>
      <c r="S2136" s="14"/>
      <c r="T2136" s="1"/>
      <c r="U2136" s="15"/>
      <c r="V2136" s="1"/>
      <c r="W2136" s="15"/>
      <c r="X2136" s="16"/>
      <c r="Y2136" s="17"/>
    </row>
    <row r="2137" spans="14:25" x14ac:dyDescent="0.25">
      <c r="N2137" s="61"/>
      <c r="O2137" s="61"/>
      <c r="P2137" s="62"/>
      <c r="Q2137" s="13"/>
      <c r="R2137" s="13"/>
      <c r="S2137" s="14"/>
      <c r="T2137" s="1"/>
      <c r="U2137" s="15"/>
      <c r="V2137" s="1"/>
      <c r="W2137" s="15"/>
      <c r="X2137" s="16"/>
      <c r="Y2137" s="17"/>
    </row>
    <row r="2138" spans="14:25" x14ac:dyDescent="0.25">
      <c r="N2138" s="61"/>
      <c r="O2138" s="61"/>
      <c r="P2138" s="62"/>
      <c r="Q2138" s="13"/>
      <c r="R2138" s="13"/>
      <c r="S2138" s="14"/>
      <c r="T2138" s="1"/>
      <c r="U2138" s="15"/>
      <c r="V2138" s="1"/>
      <c r="W2138" s="15"/>
      <c r="X2138" s="16"/>
      <c r="Y2138" s="17"/>
    </row>
    <row r="2139" spans="14:25" x14ac:dyDescent="0.25">
      <c r="N2139" s="61"/>
      <c r="O2139" s="61"/>
      <c r="P2139" s="62"/>
      <c r="Q2139" s="13"/>
      <c r="R2139" s="13"/>
      <c r="S2139" s="14"/>
      <c r="T2139" s="1"/>
      <c r="U2139" s="15"/>
      <c r="V2139" s="1"/>
      <c r="W2139" s="15"/>
      <c r="X2139" s="16"/>
      <c r="Y2139" s="17"/>
    </row>
    <row r="2140" spans="14:25" x14ac:dyDescent="0.25">
      <c r="N2140" s="61"/>
      <c r="O2140" s="61"/>
      <c r="P2140" s="62"/>
      <c r="Q2140" s="13"/>
      <c r="R2140" s="13"/>
      <c r="S2140" s="14"/>
      <c r="T2140" s="1"/>
      <c r="U2140" s="15"/>
      <c r="V2140" s="1"/>
      <c r="W2140" s="15"/>
      <c r="X2140" s="16"/>
      <c r="Y2140" s="17"/>
    </row>
    <row r="2141" spans="14:25" x14ac:dyDescent="0.25">
      <c r="N2141" s="61"/>
      <c r="O2141" s="61"/>
      <c r="P2141" s="62"/>
      <c r="Q2141" s="13"/>
      <c r="R2141" s="13"/>
      <c r="S2141" s="14"/>
      <c r="T2141" s="1"/>
      <c r="U2141" s="15"/>
      <c r="V2141" s="1"/>
      <c r="W2141" s="15"/>
      <c r="X2141" s="16"/>
      <c r="Y2141" s="17"/>
    </row>
    <row r="2142" spans="14:25" x14ac:dyDescent="0.25">
      <c r="N2142" s="61"/>
      <c r="O2142" s="61"/>
      <c r="P2142" s="62"/>
      <c r="Q2142" s="13"/>
      <c r="R2142" s="13"/>
      <c r="S2142" s="14"/>
      <c r="T2142" s="1"/>
      <c r="U2142" s="15"/>
      <c r="V2142" s="1"/>
      <c r="W2142" s="15"/>
      <c r="X2142" s="16"/>
      <c r="Y2142" s="17"/>
    </row>
    <row r="2143" spans="14:25" x14ac:dyDescent="0.25">
      <c r="N2143" s="61"/>
      <c r="O2143" s="61"/>
      <c r="P2143" s="62"/>
      <c r="Q2143" s="13"/>
      <c r="R2143" s="13"/>
      <c r="S2143" s="14"/>
      <c r="T2143" s="1"/>
      <c r="U2143" s="15"/>
      <c r="V2143" s="1"/>
      <c r="W2143" s="15"/>
      <c r="X2143" s="16"/>
      <c r="Y2143" s="17"/>
    </row>
    <row r="2144" spans="14:25" x14ac:dyDescent="0.25">
      <c r="N2144" s="61"/>
      <c r="O2144" s="61"/>
      <c r="P2144" s="62"/>
      <c r="Q2144" s="13"/>
      <c r="R2144" s="13"/>
      <c r="S2144" s="14"/>
      <c r="T2144" s="1"/>
      <c r="U2144" s="15"/>
      <c r="V2144" s="1"/>
      <c r="W2144" s="15"/>
      <c r="X2144" s="16"/>
      <c r="Y2144" s="17"/>
    </row>
    <row r="2145" spans="14:25" x14ac:dyDescent="0.25">
      <c r="N2145" s="61"/>
      <c r="O2145" s="61"/>
      <c r="P2145" s="62"/>
      <c r="Q2145" s="13"/>
      <c r="R2145" s="13"/>
      <c r="S2145" s="14"/>
      <c r="T2145" s="1"/>
      <c r="U2145" s="15"/>
      <c r="V2145" s="1"/>
      <c r="W2145" s="15"/>
      <c r="X2145" s="16"/>
      <c r="Y2145" s="17"/>
    </row>
    <row r="2146" spans="14:25" x14ac:dyDescent="0.25">
      <c r="N2146" s="61"/>
      <c r="O2146" s="61"/>
      <c r="P2146" s="62"/>
      <c r="Q2146" s="13"/>
      <c r="R2146" s="13"/>
      <c r="S2146" s="14"/>
      <c r="T2146" s="1"/>
      <c r="U2146" s="15"/>
      <c r="V2146" s="1"/>
      <c r="W2146" s="15"/>
      <c r="X2146" s="16"/>
      <c r="Y2146" s="17"/>
    </row>
    <row r="2147" spans="14:25" x14ac:dyDescent="0.25">
      <c r="N2147" s="61"/>
      <c r="O2147" s="61"/>
      <c r="P2147" s="62"/>
      <c r="Q2147" s="13"/>
      <c r="R2147" s="13"/>
      <c r="S2147" s="14"/>
      <c r="T2147" s="1"/>
      <c r="U2147" s="15"/>
      <c r="V2147" s="1"/>
      <c r="W2147" s="15"/>
      <c r="X2147" s="16"/>
      <c r="Y2147" s="17"/>
    </row>
    <row r="2148" spans="14:25" x14ac:dyDescent="0.25">
      <c r="N2148" s="61"/>
      <c r="O2148" s="61"/>
      <c r="P2148" s="62"/>
      <c r="Q2148" s="13"/>
      <c r="R2148" s="13"/>
      <c r="S2148" s="14"/>
      <c r="T2148" s="1"/>
      <c r="U2148" s="15"/>
      <c r="V2148" s="1"/>
      <c r="W2148" s="15"/>
      <c r="X2148" s="16"/>
      <c r="Y2148" s="17"/>
    </row>
    <row r="2149" spans="14:25" x14ac:dyDescent="0.25">
      <c r="N2149" s="61"/>
      <c r="O2149" s="61"/>
      <c r="P2149" s="62"/>
      <c r="Q2149" s="13"/>
      <c r="R2149" s="13"/>
      <c r="S2149" s="14"/>
      <c r="T2149" s="1"/>
      <c r="U2149" s="15"/>
      <c r="V2149" s="1"/>
      <c r="W2149" s="15"/>
      <c r="X2149" s="16"/>
      <c r="Y2149" s="17"/>
    </row>
    <row r="2150" spans="14:25" x14ac:dyDescent="0.25">
      <c r="N2150" s="61"/>
      <c r="O2150" s="61"/>
      <c r="P2150" s="62"/>
      <c r="Q2150" s="13"/>
      <c r="R2150" s="13"/>
      <c r="S2150" s="14"/>
      <c r="T2150" s="1"/>
      <c r="U2150" s="15"/>
      <c r="V2150" s="1"/>
      <c r="W2150" s="15"/>
      <c r="X2150" s="16"/>
      <c r="Y2150" s="17"/>
    </row>
    <row r="2151" spans="14:25" x14ac:dyDescent="0.25">
      <c r="N2151" s="61"/>
      <c r="O2151" s="61"/>
      <c r="P2151" s="62"/>
      <c r="Q2151" s="13"/>
      <c r="R2151" s="13"/>
      <c r="S2151" s="14"/>
      <c r="T2151" s="1"/>
      <c r="U2151" s="15"/>
      <c r="V2151" s="1"/>
      <c r="W2151" s="15"/>
      <c r="X2151" s="16"/>
      <c r="Y2151" s="17"/>
    </row>
    <row r="2152" spans="14:25" x14ac:dyDescent="0.25">
      <c r="N2152" s="61"/>
      <c r="O2152" s="61"/>
      <c r="P2152" s="62"/>
      <c r="Q2152" s="13"/>
      <c r="R2152" s="13"/>
      <c r="S2152" s="14"/>
      <c r="T2152" s="1"/>
      <c r="U2152" s="15"/>
      <c r="V2152" s="1"/>
      <c r="W2152" s="15"/>
      <c r="X2152" s="16"/>
      <c r="Y2152" s="17"/>
    </row>
    <row r="2153" spans="14:25" x14ac:dyDescent="0.25">
      <c r="N2153" s="61"/>
      <c r="O2153" s="61"/>
      <c r="P2153" s="62"/>
      <c r="Q2153" s="13"/>
      <c r="R2153" s="13"/>
      <c r="S2153" s="14"/>
      <c r="T2153" s="1"/>
      <c r="U2153" s="15"/>
      <c r="V2153" s="1"/>
      <c r="W2153" s="15"/>
      <c r="X2153" s="16"/>
      <c r="Y2153" s="17"/>
    </row>
    <row r="2154" spans="14:25" x14ac:dyDescent="0.25">
      <c r="N2154" s="61"/>
      <c r="O2154" s="61"/>
      <c r="P2154" s="62"/>
      <c r="Q2154" s="13"/>
      <c r="R2154" s="13"/>
      <c r="S2154" s="14"/>
      <c r="T2154" s="1"/>
      <c r="U2154" s="15"/>
      <c r="V2154" s="1"/>
      <c r="W2154" s="15"/>
      <c r="X2154" s="16"/>
      <c r="Y2154" s="17"/>
    </row>
    <row r="2155" spans="14:25" x14ac:dyDescent="0.25">
      <c r="N2155" s="61"/>
      <c r="O2155" s="61"/>
      <c r="P2155" s="62"/>
      <c r="Q2155" s="13"/>
      <c r="R2155" s="13"/>
      <c r="S2155" s="14"/>
      <c r="T2155" s="1"/>
      <c r="U2155" s="15"/>
      <c r="V2155" s="1"/>
      <c r="W2155" s="15"/>
      <c r="X2155" s="16"/>
      <c r="Y2155" s="17"/>
    </row>
    <row r="2156" spans="14:25" x14ac:dyDescent="0.25">
      <c r="N2156" s="61"/>
      <c r="O2156" s="61"/>
      <c r="P2156" s="62"/>
      <c r="Q2156" s="13"/>
      <c r="R2156" s="13"/>
      <c r="S2156" s="14"/>
      <c r="T2156" s="1"/>
      <c r="U2156" s="15"/>
      <c r="V2156" s="1"/>
      <c r="W2156" s="15"/>
      <c r="X2156" s="16"/>
      <c r="Y2156" s="17"/>
    </row>
    <row r="2157" spans="14:25" x14ac:dyDescent="0.25">
      <c r="N2157" s="61"/>
      <c r="O2157" s="61"/>
      <c r="P2157" s="62"/>
      <c r="Q2157" s="13"/>
      <c r="R2157" s="13"/>
      <c r="S2157" s="14"/>
      <c r="T2157" s="1"/>
      <c r="U2157" s="15"/>
      <c r="V2157" s="1"/>
      <c r="W2157" s="15"/>
      <c r="X2157" s="16"/>
      <c r="Y2157" s="17"/>
    </row>
    <row r="2158" spans="14:25" x14ac:dyDescent="0.25">
      <c r="N2158" s="61"/>
      <c r="O2158" s="61"/>
      <c r="P2158" s="62"/>
      <c r="Q2158" s="13"/>
      <c r="R2158" s="13"/>
      <c r="S2158" s="14"/>
      <c r="T2158" s="1"/>
      <c r="U2158" s="15"/>
      <c r="V2158" s="1"/>
      <c r="W2158" s="15"/>
      <c r="X2158" s="16"/>
      <c r="Y2158" s="17"/>
    </row>
    <row r="2159" spans="14:25" x14ac:dyDescent="0.25">
      <c r="N2159" s="61"/>
      <c r="O2159" s="61"/>
      <c r="P2159" s="62"/>
      <c r="Q2159" s="13"/>
      <c r="R2159" s="13"/>
      <c r="S2159" s="14"/>
      <c r="T2159" s="1"/>
      <c r="U2159" s="15"/>
      <c r="V2159" s="1"/>
      <c r="W2159" s="15"/>
      <c r="X2159" s="16"/>
      <c r="Y2159" s="17"/>
    </row>
    <row r="2160" spans="14:25" x14ac:dyDescent="0.25">
      <c r="N2160" s="61"/>
      <c r="O2160" s="61"/>
      <c r="P2160" s="62"/>
      <c r="Q2160" s="13"/>
      <c r="R2160" s="13"/>
      <c r="S2160" s="14"/>
      <c r="T2160" s="1"/>
      <c r="U2160" s="15"/>
      <c r="V2160" s="1"/>
      <c r="W2160" s="15"/>
      <c r="X2160" s="16"/>
      <c r="Y2160" s="17"/>
    </row>
    <row r="2161" spans="14:25" x14ac:dyDescent="0.25">
      <c r="N2161" s="61"/>
      <c r="O2161" s="61"/>
      <c r="P2161" s="62"/>
      <c r="Q2161" s="13"/>
      <c r="R2161" s="13"/>
      <c r="S2161" s="14"/>
      <c r="T2161" s="1"/>
      <c r="U2161" s="15"/>
      <c r="V2161" s="1"/>
      <c r="W2161" s="15"/>
      <c r="X2161" s="16"/>
      <c r="Y2161" s="17"/>
    </row>
    <row r="2162" spans="14:25" x14ac:dyDescent="0.25">
      <c r="N2162" s="61"/>
      <c r="O2162" s="61"/>
      <c r="P2162" s="62"/>
      <c r="Q2162" s="13"/>
      <c r="R2162" s="13"/>
      <c r="S2162" s="14"/>
      <c r="T2162" s="1"/>
      <c r="U2162" s="15"/>
      <c r="V2162" s="1"/>
      <c r="W2162" s="15"/>
      <c r="X2162" s="16"/>
      <c r="Y2162" s="17"/>
    </row>
    <row r="2163" spans="14:25" x14ac:dyDescent="0.25">
      <c r="N2163" s="61"/>
      <c r="O2163" s="61"/>
      <c r="P2163" s="62"/>
      <c r="Q2163" s="13"/>
      <c r="R2163" s="13"/>
      <c r="S2163" s="14"/>
      <c r="T2163" s="1"/>
      <c r="U2163" s="15"/>
      <c r="V2163" s="1"/>
      <c r="W2163" s="15"/>
      <c r="X2163" s="16"/>
      <c r="Y2163" s="17"/>
    </row>
    <row r="2164" spans="14:25" x14ac:dyDescent="0.25">
      <c r="N2164" s="61"/>
      <c r="O2164" s="61"/>
      <c r="P2164" s="62"/>
      <c r="Q2164" s="13"/>
      <c r="R2164" s="13"/>
      <c r="S2164" s="14"/>
      <c r="T2164" s="1"/>
      <c r="U2164" s="15"/>
      <c r="V2164" s="1"/>
      <c r="W2164" s="15"/>
      <c r="X2164" s="16"/>
      <c r="Y2164" s="17"/>
    </row>
    <row r="2165" spans="14:25" x14ac:dyDescent="0.25">
      <c r="N2165" s="61"/>
      <c r="O2165" s="61"/>
      <c r="P2165" s="62"/>
      <c r="Q2165" s="13"/>
      <c r="R2165" s="13"/>
      <c r="S2165" s="14"/>
      <c r="T2165" s="1"/>
      <c r="U2165" s="15"/>
      <c r="V2165" s="1"/>
      <c r="W2165" s="15"/>
      <c r="X2165" s="16"/>
      <c r="Y2165" s="17"/>
    </row>
    <row r="2166" spans="14:25" x14ac:dyDescent="0.25">
      <c r="N2166" s="61"/>
      <c r="O2166" s="61"/>
      <c r="P2166" s="62"/>
      <c r="Q2166" s="13"/>
      <c r="R2166" s="13"/>
      <c r="S2166" s="14"/>
      <c r="T2166" s="1"/>
      <c r="U2166" s="15"/>
      <c r="V2166" s="1"/>
      <c r="W2166" s="15"/>
      <c r="X2166" s="16"/>
      <c r="Y2166" s="17"/>
    </row>
    <row r="2167" spans="14:25" x14ac:dyDescent="0.25">
      <c r="N2167" s="61"/>
      <c r="O2167" s="61"/>
      <c r="P2167" s="62"/>
      <c r="Q2167" s="13"/>
      <c r="R2167" s="13"/>
      <c r="S2167" s="14"/>
      <c r="T2167" s="1"/>
      <c r="U2167" s="15"/>
      <c r="V2167" s="1"/>
      <c r="W2167" s="15"/>
      <c r="X2167" s="16"/>
      <c r="Y2167" s="17"/>
    </row>
    <row r="2168" spans="14:25" x14ac:dyDescent="0.25">
      <c r="N2168" s="61"/>
      <c r="O2168" s="61"/>
      <c r="P2168" s="62"/>
      <c r="Q2168" s="13"/>
      <c r="R2168" s="13"/>
      <c r="S2168" s="14"/>
      <c r="T2168" s="1"/>
      <c r="U2168" s="15"/>
      <c r="V2168" s="1"/>
      <c r="W2168" s="15"/>
      <c r="X2168" s="16"/>
      <c r="Y2168" s="17"/>
    </row>
    <row r="2169" spans="14:25" x14ac:dyDescent="0.25">
      <c r="N2169" s="61"/>
      <c r="O2169" s="61"/>
      <c r="P2169" s="62"/>
      <c r="Q2169" s="13"/>
      <c r="R2169" s="13"/>
      <c r="S2169" s="14"/>
      <c r="T2169" s="1"/>
      <c r="U2169" s="15"/>
      <c r="V2169" s="1"/>
      <c r="W2169" s="15"/>
      <c r="X2169" s="16"/>
      <c r="Y2169" s="17"/>
    </row>
    <row r="2170" spans="14:25" x14ac:dyDescent="0.25">
      <c r="N2170" s="61"/>
      <c r="O2170" s="61"/>
      <c r="P2170" s="62"/>
      <c r="Q2170" s="13"/>
      <c r="R2170" s="13"/>
      <c r="S2170" s="14"/>
      <c r="T2170" s="1"/>
      <c r="U2170" s="15"/>
      <c r="V2170" s="1"/>
      <c r="W2170" s="15"/>
      <c r="X2170" s="16"/>
      <c r="Y2170" s="17"/>
    </row>
    <row r="2171" spans="14:25" x14ac:dyDescent="0.25">
      <c r="N2171" s="61"/>
      <c r="O2171" s="61"/>
      <c r="P2171" s="62"/>
      <c r="Q2171" s="13"/>
      <c r="R2171" s="13"/>
      <c r="S2171" s="14"/>
      <c r="T2171" s="1"/>
      <c r="U2171" s="15"/>
      <c r="V2171" s="1"/>
      <c r="W2171" s="15"/>
      <c r="X2171" s="16"/>
      <c r="Y2171" s="17"/>
    </row>
    <row r="2172" spans="14:25" x14ac:dyDescent="0.25">
      <c r="N2172" s="61"/>
      <c r="O2172" s="61"/>
      <c r="P2172" s="62"/>
      <c r="Q2172" s="13"/>
      <c r="R2172" s="13"/>
      <c r="S2172" s="14"/>
      <c r="T2172" s="1"/>
      <c r="U2172" s="15"/>
      <c r="V2172" s="1"/>
      <c r="W2172" s="15"/>
      <c r="X2172" s="16"/>
      <c r="Y2172" s="17"/>
    </row>
    <row r="2173" spans="14:25" x14ac:dyDescent="0.25">
      <c r="N2173" s="61"/>
      <c r="O2173" s="61"/>
      <c r="P2173" s="62"/>
      <c r="Q2173" s="13"/>
      <c r="R2173" s="13"/>
      <c r="S2173" s="14"/>
      <c r="T2173" s="1"/>
      <c r="U2173" s="15"/>
      <c r="V2173" s="1"/>
      <c r="W2173" s="15"/>
      <c r="X2173" s="16"/>
      <c r="Y2173" s="17"/>
    </row>
    <row r="2174" spans="14:25" x14ac:dyDescent="0.25">
      <c r="N2174" s="61"/>
      <c r="O2174" s="61"/>
      <c r="P2174" s="62"/>
      <c r="Q2174" s="13"/>
      <c r="R2174" s="13"/>
      <c r="S2174" s="14"/>
      <c r="T2174" s="1"/>
      <c r="U2174" s="15"/>
      <c r="V2174" s="1"/>
      <c r="W2174" s="15"/>
      <c r="X2174" s="16"/>
      <c r="Y2174" s="17"/>
    </row>
    <row r="2175" spans="14:25" x14ac:dyDescent="0.25">
      <c r="N2175" s="61"/>
      <c r="O2175" s="61"/>
      <c r="P2175" s="62"/>
      <c r="Q2175" s="13"/>
      <c r="R2175" s="13"/>
      <c r="S2175" s="14"/>
      <c r="T2175" s="1"/>
      <c r="U2175" s="15"/>
      <c r="V2175" s="1"/>
      <c r="W2175" s="15"/>
      <c r="X2175" s="16"/>
      <c r="Y2175" s="17"/>
    </row>
    <row r="2176" spans="14:25" x14ac:dyDescent="0.25">
      <c r="N2176" s="61"/>
      <c r="O2176" s="61"/>
      <c r="P2176" s="62"/>
      <c r="Q2176" s="13"/>
      <c r="R2176" s="13"/>
      <c r="S2176" s="14"/>
      <c r="T2176" s="1"/>
      <c r="U2176" s="15"/>
      <c r="V2176" s="1"/>
      <c r="W2176" s="15"/>
      <c r="X2176" s="16"/>
      <c r="Y2176" s="17"/>
    </row>
    <row r="2177" spans="14:25" x14ac:dyDescent="0.25">
      <c r="N2177" s="61"/>
      <c r="O2177" s="61"/>
      <c r="P2177" s="62"/>
      <c r="Q2177" s="13"/>
      <c r="R2177" s="13"/>
      <c r="S2177" s="14"/>
      <c r="T2177" s="1"/>
      <c r="U2177" s="15"/>
      <c r="V2177" s="1"/>
      <c r="W2177" s="15"/>
      <c r="X2177" s="16"/>
      <c r="Y2177" s="17"/>
    </row>
    <row r="2178" spans="14:25" x14ac:dyDescent="0.25">
      <c r="N2178" s="61"/>
      <c r="O2178" s="61"/>
      <c r="P2178" s="62"/>
      <c r="Q2178" s="13"/>
      <c r="R2178" s="13"/>
      <c r="S2178" s="14"/>
      <c r="T2178" s="1"/>
      <c r="U2178" s="15"/>
      <c r="V2178" s="1"/>
      <c r="W2178" s="15"/>
      <c r="X2178" s="16"/>
      <c r="Y2178" s="17"/>
    </row>
    <row r="2179" spans="14:25" x14ac:dyDescent="0.25">
      <c r="N2179" s="61"/>
      <c r="O2179" s="61"/>
      <c r="P2179" s="62"/>
      <c r="Q2179" s="13"/>
      <c r="R2179" s="13"/>
      <c r="S2179" s="14"/>
      <c r="T2179" s="1"/>
      <c r="U2179" s="15"/>
      <c r="V2179" s="1"/>
      <c r="W2179" s="15"/>
      <c r="X2179" s="16"/>
      <c r="Y2179" s="17"/>
    </row>
    <row r="2180" spans="14:25" x14ac:dyDescent="0.25">
      <c r="N2180" s="61"/>
      <c r="O2180" s="61"/>
      <c r="P2180" s="62"/>
      <c r="Q2180" s="13"/>
      <c r="R2180" s="13"/>
      <c r="S2180" s="14"/>
      <c r="T2180" s="1"/>
      <c r="U2180" s="15"/>
      <c r="V2180" s="1"/>
      <c r="W2180" s="15"/>
      <c r="X2180" s="16"/>
      <c r="Y2180" s="17"/>
    </row>
    <row r="2181" spans="14:25" x14ac:dyDescent="0.25">
      <c r="N2181" s="61"/>
      <c r="O2181" s="61"/>
      <c r="P2181" s="62"/>
      <c r="Q2181" s="13"/>
      <c r="R2181" s="13"/>
      <c r="S2181" s="14"/>
      <c r="T2181" s="1"/>
      <c r="U2181" s="15"/>
      <c r="V2181" s="1"/>
      <c r="W2181" s="15"/>
      <c r="X2181" s="16"/>
      <c r="Y2181" s="17"/>
    </row>
    <row r="2182" spans="14:25" x14ac:dyDescent="0.25">
      <c r="N2182" s="61"/>
      <c r="O2182" s="61"/>
      <c r="P2182" s="62"/>
      <c r="Q2182" s="13"/>
      <c r="R2182" s="13"/>
      <c r="S2182" s="14"/>
      <c r="T2182" s="1"/>
      <c r="U2182" s="15"/>
      <c r="V2182" s="1"/>
      <c r="W2182" s="15"/>
      <c r="X2182" s="16"/>
      <c r="Y2182" s="17"/>
    </row>
    <row r="2183" spans="14:25" x14ac:dyDescent="0.25">
      <c r="N2183" s="61"/>
      <c r="O2183" s="61"/>
      <c r="P2183" s="62"/>
      <c r="Q2183" s="13"/>
      <c r="R2183" s="13"/>
      <c r="S2183" s="14"/>
      <c r="T2183" s="1"/>
      <c r="U2183" s="15"/>
      <c r="V2183" s="1"/>
      <c r="W2183" s="15"/>
      <c r="X2183" s="16"/>
      <c r="Y2183" s="17"/>
    </row>
    <row r="2184" spans="14:25" x14ac:dyDescent="0.25">
      <c r="N2184" s="61"/>
      <c r="O2184" s="61"/>
      <c r="P2184" s="62"/>
      <c r="Q2184" s="13"/>
      <c r="R2184" s="13"/>
      <c r="S2184" s="14"/>
      <c r="T2184" s="1"/>
      <c r="U2184" s="15"/>
      <c r="V2184" s="1"/>
      <c r="W2184" s="15"/>
      <c r="X2184" s="16"/>
      <c r="Y2184" s="17"/>
    </row>
    <row r="2185" spans="14:25" x14ac:dyDescent="0.25">
      <c r="N2185" s="61"/>
      <c r="O2185" s="61"/>
      <c r="P2185" s="62"/>
      <c r="Q2185" s="13"/>
      <c r="R2185" s="13"/>
      <c r="S2185" s="14"/>
      <c r="T2185" s="1"/>
      <c r="U2185" s="15"/>
      <c r="V2185" s="1"/>
      <c r="W2185" s="15"/>
      <c r="X2185" s="16"/>
      <c r="Y2185" s="17"/>
    </row>
    <row r="2186" spans="14:25" x14ac:dyDescent="0.25">
      <c r="N2186" s="61"/>
      <c r="O2186" s="61"/>
      <c r="P2186" s="62"/>
      <c r="Q2186" s="13"/>
      <c r="R2186" s="13"/>
      <c r="S2186" s="14"/>
      <c r="T2186" s="1"/>
      <c r="U2186" s="15"/>
      <c r="V2186" s="1"/>
      <c r="W2186" s="15"/>
      <c r="X2186" s="16"/>
      <c r="Y2186" s="17"/>
    </row>
    <row r="2187" spans="14:25" x14ac:dyDescent="0.25">
      <c r="N2187" s="61"/>
      <c r="O2187" s="61"/>
      <c r="P2187" s="62"/>
      <c r="Q2187" s="13"/>
      <c r="R2187" s="13"/>
      <c r="S2187" s="14"/>
      <c r="T2187" s="1"/>
      <c r="U2187" s="15"/>
      <c r="V2187" s="1"/>
      <c r="W2187" s="15"/>
      <c r="X2187" s="16"/>
      <c r="Y2187" s="17"/>
    </row>
    <row r="2188" spans="14:25" x14ac:dyDescent="0.25">
      <c r="N2188" s="61"/>
      <c r="O2188" s="61"/>
      <c r="P2188" s="62"/>
      <c r="Q2188" s="13"/>
      <c r="R2188" s="13"/>
      <c r="S2188" s="14"/>
      <c r="T2188" s="1"/>
      <c r="U2188" s="15"/>
      <c r="V2188" s="1"/>
      <c r="W2188" s="15"/>
      <c r="X2188" s="16"/>
      <c r="Y2188" s="17"/>
    </row>
    <row r="2189" spans="14:25" x14ac:dyDescent="0.25">
      <c r="N2189" s="61"/>
      <c r="O2189" s="61"/>
      <c r="P2189" s="62"/>
      <c r="Q2189" s="13"/>
      <c r="R2189" s="13"/>
      <c r="S2189" s="14"/>
      <c r="T2189" s="1"/>
      <c r="U2189" s="15"/>
      <c r="V2189" s="1"/>
      <c r="W2189" s="15"/>
      <c r="X2189" s="16"/>
      <c r="Y2189" s="17"/>
    </row>
    <row r="2190" spans="14:25" x14ac:dyDescent="0.25">
      <c r="N2190" s="61"/>
      <c r="O2190" s="61"/>
      <c r="P2190" s="62"/>
      <c r="Q2190" s="13"/>
      <c r="R2190" s="13"/>
      <c r="S2190" s="14"/>
      <c r="T2190" s="1"/>
      <c r="U2190" s="15"/>
      <c r="V2190" s="1"/>
      <c r="W2190" s="15"/>
      <c r="X2190" s="16"/>
      <c r="Y2190" s="17"/>
    </row>
    <row r="2191" spans="14:25" x14ac:dyDescent="0.25">
      <c r="N2191" s="61"/>
      <c r="O2191" s="61"/>
      <c r="P2191" s="62"/>
      <c r="Q2191" s="13"/>
      <c r="R2191" s="13"/>
      <c r="S2191" s="14"/>
      <c r="T2191" s="1"/>
      <c r="U2191" s="15"/>
      <c r="V2191" s="1"/>
      <c r="W2191" s="15"/>
      <c r="X2191" s="16"/>
      <c r="Y2191" s="17"/>
    </row>
    <row r="2192" spans="14:25" x14ac:dyDescent="0.25">
      <c r="N2192" s="61"/>
      <c r="O2192" s="61"/>
      <c r="P2192" s="62"/>
      <c r="Q2192" s="13"/>
      <c r="R2192" s="13"/>
      <c r="S2192" s="14"/>
      <c r="T2192" s="1"/>
      <c r="U2192" s="15"/>
      <c r="V2192" s="1"/>
      <c r="W2192" s="15"/>
      <c r="X2192" s="16"/>
      <c r="Y2192" s="17"/>
    </row>
    <row r="2193" spans="14:25" x14ac:dyDescent="0.25">
      <c r="N2193" s="61"/>
      <c r="O2193" s="61"/>
      <c r="P2193" s="62"/>
      <c r="Q2193" s="13"/>
      <c r="R2193" s="13"/>
      <c r="S2193" s="14"/>
      <c r="T2193" s="1"/>
      <c r="U2193" s="15"/>
      <c r="V2193" s="1"/>
      <c r="W2193" s="15"/>
      <c r="X2193" s="16"/>
      <c r="Y2193" s="17"/>
    </row>
    <row r="2194" spans="14:25" x14ac:dyDescent="0.25">
      <c r="N2194" s="61"/>
      <c r="O2194" s="61"/>
      <c r="P2194" s="62"/>
      <c r="Q2194" s="13"/>
      <c r="R2194" s="13"/>
      <c r="S2194" s="14"/>
      <c r="T2194" s="1"/>
      <c r="U2194" s="15"/>
      <c r="V2194" s="1"/>
      <c r="W2194" s="15"/>
      <c r="X2194" s="16"/>
      <c r="Y2194" s="17"/>
    </row>
    <row r="2195" spans="14:25" x14ac:dyDescent="0.25">
      <c r="N2195" s="61"/>
      <c r="O2195" s="61"/>
      <c r="P2195" s="62"/>
      <c r="Q2195" s="13"/>
      <c r="R2195" s="13"/>
      <c r="S2195" s="14"/>
      <c r="T2195" s="1"/>
      <c r="U2195" s="15"/>
      <c r="V2195" s="1"/>
      <c r="W2195" s="15"/>
      <c r="X2195" s="16"/>
      <c r="Y2195" s="17"/>
    </row>
    <row r="2196" spans="14:25" x14ac:dyDescent="0.25">
      <c r="N2196" s="61"/>
      <c r="O2196" s="61"/>
      <c r="P2196" s="62"/>
      <c r="Q2196" s="13"/>
      <c r="R2196" s="13"/>
      <c r="S2196" s="14"/>
      <c r="T2196" s="1"/>
      <c r="U2196" s="15"/>
      <c r="V2196" s="1"/>
      <c r="W2196" s="15"/>
      <c r="X2196" s="16"/>
      <c r="Y2196" s="17"/>
    </row>
    <row r="2197" spans="14:25" x14ac:dyDescent="0.25">
      <c r="N2197" s="61"/>
      <c r="O2197" s="61"/>
      <c r="P2197" s="62"/>
      <c r="Q2197" s="13"/>
      <c r="R2197" s="13"/>
      <c r="S2197" s="14"/>
      <c r="T2197" s="1"/>
      <c r="U2197" s="15"/>
      <c r="V2197" s="1"/>
      <c r="W2197" s="15"/>
      <c r="X2197" s="16"/>
      <c r="Y2197" s="17"/>
    </row>
    <row r="2198" spans="14:25" x14ac:dyDescent="0.25">
      <c r="N2198" s="61"/>
      <c r="O2198" s="61"/>
      <c r="P2198" s="62"/>
      <c r="Q2198" s="13"/>
      <c r="R2198" s="13"/>
      <c r="S2198" s="14"/>
      <c r="T2198" s="1"/>
      <c r="U2198" s="15"/>
      <c r="V2198" s="1"/>
      <c r="W2198" s="15"/>
      <c r="X2198" s="16"/>
      <c r="Y2198" s="17"/>
    </row>
    <row r="2199" spans="14:25" x14ac:dyDescent="0.25">
      <c r="N2199" s="61"/>
      <c r="O2199" s="61"/>
      <c r="P2199" s="62"/>
      <c r="Q2199" s="13"/>
      <c r="R2199" s="13"/>
      <c r="S2199" s="14"/>
      <c r="T2199" s="1"/>
      <c r="U2199" s="15"/>
      <c r="V2199" s="1"/>
      <c r="W2199" s="15"/>
      <c r="X2199" s="16"/>
      <c r="Y2199" s="17"/>
    </row>
    <row r="2200" spans="14:25" x14ac:dyDescent="0.25">
      <c r="N2200" s="61"/>
      <c r="O2200" s="61"/>
      <c r="P2200" s="62"/>
      <c r="Q2200" s="13"/>
      <c r="R2200" s="13"/>
      <c r="S2200" s="14"/>
      <c r="T2200" s="1"/>
      <c r="U2200" s="15"/>
      <c r="V2200" s="1"/>
      <c r="W2200" s="15"/>
      <c r="X2200" s="16"/>
      <c r="Y2200" s="17"/>
    </row>
    <row r="2201" spans="14:25" x14ac:dyDescent="0.25">
      <c r="N2201" s="61"/>
      <c r="O2201" s="61"/>
      <c r="P2201" s="62"/>
      <c r="Q2201" s="13"/>
      <c r="R2201" s="13"/>
      <c r="S2201" s="14"/>
      <c r="T2201" s="1"/>
      <c r="U2201" s="15"/>
      <c r="V2201" s="1"/>
      <c r="W2201" s="15"/>
      <c r="X2201" s="16"/>
      <c r="Y2201" s="17"/>
    </row>
    <row r="2202" spans="14:25" x14ac:dyDescent="0.25">
      <c r="N2202" s="61"/>
      <c r="O2202" s="61"/>
      <c r="P2202" s="62"/>
      <c r="Q2202" s="13"/>
      <c r="R2202" s="13"/>
      <c r="S2202" s="14"/>
      <c r="T2202" s="1"/>
      <c r="U2202" s="15"/>
      <c r="V2202" s="1"/>
      <c r="W2202" s="15"/>
      <c r="X2202" s="16"/>
      <c r="Y2202" s="17"/>
    </row>
    <row r="2203" spans="14:25" x14ac:dyDescent="0.25">
      <c r="N2203" s="61"/>
      <c r="O2203" s="61"/>
      <c r="P2203" s="62"/>
      <c r="Q2203" s="13"/>
      <c r="R2203" s="13"/>
      <c r="S2203" s="14"/>
      <c r="T2203" s="1"/>
      <c r="U2203" s="15"/>
      <c r="V2203" s="1"/>
      <c r="W2203" s="15"/>
      <c r="X2203" s="16"/>
      <c r="Y2203" s="17"/>
    </row>
    <row r="2204" spans="14:25" x14ac:dyDescent="0.25">
      <c r="N2204" s="61"/>
      <c r="O2204" s="61"/>
      <c r="P2204" s="62"/>
      <c r="Q2204" s="13"/>
      <c r="R2204" s="13"/>
      <c r="S2204" s="14"/>
      <c r="T2204" s="1"/>
      <c r="U2204" s="15"/>
      <c r="V2204" s="1"/>
      <c r="W2204" s="15"/>
      <c r="X2204" s="16"/>
      <c r="Y2204" s="17"/>
    </row>
    <row r="2205" spans="14:25" x14ac:dyDescent="0.25">
      <c r="N2205" s="61"/>
      <c r="O2205" s="61"/>
      <c r="P2205" s="62"/>
      <c r="Q2205" s="13"/>
      <c r="R2205" s="13"/>
      <c r="S2205" s="14"/>
      <c r="T2205" s="1"/>
      <c r="U2205" s="15"/>
      <c r="V2205" s="1"/>
      <c r="W2205" s="15"/>
      <c r="X2205" s="16"/>
      <c r="Y2205" s="17"/>
    </row>
    <row r="2206" spans="14:25" x14ac:dyDescent="0.25">
      <c r="N2206" s="61"/>
      <c r="O2206" s="61"/>
      <c r="P2206" s="62"/>
      <c r="Q2206" s="13"/>
      <c r="R2206" s="13"/>
      <c r="S2206" s="14"/>
      <c r="T2206" s="1"/>
      <c r="U2206" s="15"/>
      <c r="V2206" s="1"/>
      <c r="W2206" s="15"/>
      <c r="X2206" s="16"/>
      <c r="Y2206" s="17"/>
    </row>
    <row r="2207" spans="14:25" x14ac:dyDescent="0.25">
      <c r="N2207" s="61"/>
      <c r="O2207" s="61"/>
      <c r="P2207" s="62"/>
      <c r="Q2207" s="13"/>
      <c r="R2207" s="13"/>
      <c r="S2207" s="14"/>
      <c r="T2207" s="1"/>
      <c r="U2207" s="15"/>
      <c r="V2207" s="1"/>
      <c r="W2207" s="15"/>
      <c r="X2207" s="16"/>
      <c r="Y2207" s="17"/>
    </row>
    <row r="2208" spans="14:25" x14ac:dyDescent="0.25">
      <c r="N2208" s="61"/>
      <c r="O2208" s="61"/>
      <c r="P2208" s="62"/>
      <c r="Q2208" s="13"/>
      <c r="R2208" s="13"/>
      <c r="S2208" s="14"/>
      <c r="T2208" s="1"/>
      <c r="U2208" s="15"/>
      <c r="V2208" s="1"/>
      <c r="W2208" s="15"/>
      <c r="X2208" s="16"/>
      <c r="Y2208" s="17"/>
    </row>
    <row r="2209" spans="14:25" x14ac:dyDescent="0.25">
      <c r="N2209" s="61"/>
      <c r="O2209" s="61"/>
      <c r="P2209" s="62"/>
      <c r="Q2209" s="13"/>
      <c r="R2209" s="13"/>
      <c r="S2209" s="14"/>
      <c r="T2209" s="1"/>
      <c r="U2209" s="15"/>
      <c r="V2209" s="1"/>
      <c r="W2209" s="15"/>
      <c r="X2209" s="16"/>
      <c r="Y2209" s="17"/>
    </row>
    <row r="2210" spans="14:25" x14ac:dyDescent="0.25">
      <c r="N2210" s="61"/>
      <c r="O2210" s="61"/>
      <c r="P2210" s="62"/>
      <c r="Q2210" s="13"/>
      <c r="R2210" s="13"/>
      <c r="S2210" s="14"/>
      <c r="T2210" s="1"/>
      <c r="U2210" s="15"/>
      <c r="V2210" s="1"/>
      <c r="W2210" s="15"/>
      <c r="X2210" s="16"/>
      <c r="Y2210" s="17"/>
    </row>
    <row r="2211" spans="14:25" x14ac:dyDescent="0.25">
      <c r="N2211" s="61"/>
      <c r="O2211" s="61"/>
      <c r="P2211" s="62"/>
      <c r="Q2211" s="13"/>
      <c r="R2211" s="13"/>
      <c r="S2211" s="14"/>
      <c r="T2211" s="1"/>
      <c r="U2211" s="15"/>
      <c r="V2211" s="1"/>
      <c r="W2211" s="15"/>
      <c r="X2211" s="16"/>
      <c r="Y2211" s="17"/>
    </row>
    <row r="2212" spans="14:25" x14ac:dyDescent="0.25">
      <c r="N2212" s="61"/>
      <c r="O2212" s="61"/>
      <c r="P2212" s="62"/>
      <c r="Q2212" s="13"/>
      <c r="R2212" s="13"/>
      <c r="S2212" s="14"/>
      <c r="T2212" s="1"/>
      <c r="U2212" s="15"/>
      <c r="V2212" s="1"/>
      <c r="W2212" s="15"/>
      <c r="X2212" s="16"/>
      <c r="Y2212" s="17"/>
    </row>
    <row r="2213" spans="14:25" x14ac:dyDescent="0.25">
      <c r="N2213" s="61"/>
      <c r="O2213" s="61"/>
      <c r="P2213" s="62"/>
      <c r="Q2213" s="13"/>
      <c r="R2213" s="13"/>
      <c r="S2213" s="14"/>
      <c r="T2213" s="1"/>
      <c r="U2213" s="15"/>
      <c r="V2213" s="1"/>
      <c r="W2213" s="15"/>
      <c r="X2213" s="16"/>
      <c r="Y2213" s="17"/>
    </row>
    <row r="2214" spans="14:25" x14ac:dyDescent="0.25">
      <c r="N2214" s="61"/>
      <c r="O2214" s="61"/>
      <c r="P2214" s="62"/>
      <c r="Q2214" s="13"/>
      <c r="R2214" s="13"/>
      <c r="S2214" s="14"/>
      <c r="T2214" s="1"/>
      <c r="U2214" s="15"/>
      <c r="V2214" s="1"/>
      <c r="W2214" s="15"/>
      <c r="X2214" s="16"/>
      <c r="Y2214" s="17"/>
    </row>
    <row r="2215" spans="14:25" x14ac:dyDescent="0.25">
      <c r="N2215" s="61"/>
      <c r="O2215" s="61"/>
      <c r="P2215" s="62"/>
      <c r="Q2215" s="13"/>
      <c r="R2215" s="13"/>
      <c r="S2215" s="14"/>
      <c r="T2215" s="1"/>
      <c r="U2215" s="15"/>
      <c r="V2215" s="1"/>
      <c r="W2215" s="15"/>
      <c r="X2215" s="16"/>
      <c r="Y2215" s="17"/>
    </row>
    <row r="2216" spans="14:25" x14ac:dyDescent="0.25">
      <c r="N2216" s="61"/>
      <c r="O2216" s="61"/>
      <c r="P2216" s="62"/>
      <c r="Q2216" s="13"/>
      <c r="R2216" s="13"/>
      <c r="S2216" s="14"/>
      <c r="T2216" s="1"/>
      <c r="U2216" s="15"/>
      <c r="V2216" s="1"/>
      <c r="W2216" s="15"/>
      <c r="X2216" s="16"/>
      <c r="Y2216" s="17"/>
    </row>
    <row r="2217" spans="14:25" x14ac:dyDescent="0.25">
      <c r="N2217" s="61"/>
      <c r="O2217" s="61"/>
      <c r="P2217" s="62"/>
      <c r="Q2217" s="13"/>
      <c r="R2217" s="13"/>
      <c r="S2217" s="14"/>
      <c r="T2217" s="1"/>
      <c r="U2217" s="15"/>
      <c r="V2217" s="1"/>
      <c r="W2217" s="15"/>
      <c r="X2217" s="16"/>
      <c r="Y2217" s="17"/>
    </row>
    <row r="2218" spans="14:25" x14ac:dyDescent="0.25">
      <c r="N2218" s="61"/>
      <c r="O2218" s="61"/>
      <c r="P2218" s="62"/>
      <c r="Q2218" s="13"/>
      <c r="R2218" s="13"/>
      <c r="S2218" s="14"/>
      <c r="T2218" s="1"/>
      <c r="U2218" s="15"/>
      <c r="V2218" s="1"/>
      <c r="W2218" s="15"/>
      <c r="X2218" s="16"/>
      <c r="Y2218" s="17"/>
    </row>
    <row r="2219" spans="14:25" x14ac:dyDescent="0.25">
      <c r="N2219" s="61"/>
      <c r="O2219" s="61"/>
      <c r="P2219" s="62"/>
      <c r="Q2219" s="13"/>
      <c r="R2219" s="13"/>
      <c r="S2219" s="14"/>
      <c r="T2219" s="1"/>
      <c r="U2219" s="15"/>
      <c r="V2219" s="1"/>
      <c r="W2219" s="15"/>
      <c r="X2219" s="16"/>
      <c r="Y2219" s="17"/>
    </row>
    <row r="2220" spans="14:25" x14ac:dyDescent="0.25">
      <c r="N2220" s="61"/>
      <c r="O2220" s="61"/>
      <c r="P2220" s="62"/>
      <c r="Q2220" s="13"/>
      <c r="R2220" s="13"/>
      <c r="S2220" s="14"/>
      <c r="T2220" s="1"/>
      <c r="U2220" s="15"/>
      <c r="V2220" s="1"/>
      <c r="W2220" s="15"/>
      <c r="X2220" s="16"/>
      <c r="Y2220" s="17"/>
    </row>
    <row r="2221" spans="14:25" x14ac:dyDescent="0.25">
      <c r="N2221" s="61"/>
      <c r="O2221" s="61"/>
      <c r="P2221" s="62"/>
      <c r="Q2221" s="13"/>
      <c r="R2221" s="13"/>
      <c r="S2221" s="14"/>
      <c r="T2221" s="1"/>
      <c r="U2221" s="15"/>
      <c r="V2221" s="1"/>
      <c r="W2221" s="15"/>
      <c r="X2221" s="16"/>
      <c r="Y2221" s="17"/>
    </row>
    <row r="2222" spans="14:25" x14ac:dyDescent="0.25">
      <c r="N2222" s="61"/>
      <c r="O2222" s="61"/>
      <c r="P2222" s="62"/>
      <c r="Q2222" s="13"/>
      <c r="R2222" s="13"/>
      <c r="S2222" s="14"/>
      <c r="T2222" s="1"/>
      <c r="U2222" s="15"/>
      <c r="V2222" s="1"/>
      <c r="W2222" s="15"/>
      <c r="X2222" s="16"/>
      <c r="Y2222" s="17"/>
    </row>
    <row r="2223" spans="14:25" x14ac:dyDescent="0.25">
      <c r="N2223" s="61"/>
      <c r="O2223" s="61"/>
      <c r="P2223" s="62"/>
      <c r="Q2223" s="13"/>
      <c r="R2223" s="13"/>
      <c r="S2223" s="14"/>
      <c r="T2223" s="1"/>
      <c r="U2223" s="15"/>
      <c r="V2223" s="1"/>
      <c r="W2223" s="15"/>
      <c r="X2223" s="16"/>
      <c r="Y2223" s="17"/>
    </row>
    <row r="2224" spans="14:25" x14ac:dyDescent="0.25">
      <c r="N2224" s="61"/>
      <c r="O2224" s="61"/>
      <c r="P2224" s="62"/>
      <c r="Q2224" s="13"/>
      <c r="R2224" s="13"/>
      <c r="S2224" s="14"/>
      <c r="T2224" s="1"/>
      <c r="U2224" s="15"/>
      <c r="V2224" s="1"/>
      <c r="W2224" s="15"/>
      <c r="X2224" s="16"/>
      <c r="Y2224" s="17"/>
    </row>
    <row r="2225" spans="14:25" x14ac:dyDescent="0.25">
      <c r="N2225" s="61"/>
      <c r="O2225" s="61"/>
      <c r="P2225" s="62"/>
      <c r="Q2225" s="13"/>
      <c r="R2225" s="13"/>
      <c r="S2225" s="14"/>
      <c r="T2225" s="1"/>
      <c r="U2225" s="15"/>
      <c r="V2225" s="1"/>
      <c r="W2225" s="15"/>
      <c r="X2225" s="16"/>
      <c r="Y2225" s="17"/>
    </row>
    <row r="2226" spans="14:25" x14ac:dyDescent="0.25">
      <c r="N2226" s="61"/>
      <c r="O2226" s="61"/>
      <c r="P2226" s="62"/>
      <c r="Q2226" s="13"/>
      <c r="R2226" s="13"/>
      <c r="S2226" s="14"/>
      <c r="T2226" s="1"/>
      <c r="U2226" s="15"/>
      <c r="V2226" s="1"/>
      <c r="W2226" s="15"/>
      <c r="X2226" s="16"/>
      <c r="Y2226" s="17"/>
    </row>
    <row r="2227" spans="14:25" x14ac:dyDescent="0.25">
      <c r="N2227" s="61"/>
      <c r="O2227" s="61"/>
      <c r="P2227" s="62"/>
      <c r="Q2227" s="13"/>
      <c r="R2227" s="13"/>
      <c r="S2227" s="14"/>
      <c r="T2227" s="1"/>
      <c r="U2227" s="15"/>
      <c r="V2227" s="1"/>
      <c r="W2227" s="15"/>
      <c r="X2227" s="16"/>
      <c r="Y2227" s="17"/>
    </row>
    <row r="2228" spans="14:25" x14ac:dyDescent="0.25">
      <c r="N2228" s="61"/>
      <c r="O2228" s="61"/>
      <c r="P2228" s="62"/>
      <c r="Q2228" s="13"/>
      <c r="R2228" s="13"/>
      <c r="S2228" s="14"/>
      <c r="T2228" s="1"/>
      <c r="U2228" s="15"/>
      <c r="V2228" s="1"/>
      <c r="W2228" s="15"/>
      <c r="X2228" s="16"/>
      <c r="Y2228" s="17"/>
    </row>
    <row r="2229" spans="14:25" x14ac:dyDescent="0.25">
      <c r="N2229" s="61"/>
      <c r="O2229" s="61"/>
      <c r="P2229" s="62"/>
      <c r="Q2229" s="13"/>
      <c r="R2229" s="13"/>
      <c r="S2229" s="14"/>
      <c r="T2229" s="1"/>
      <c r="U2229" s="15"/>
      <c r="V2229" s="1"/>
      <c r="W2229" s="15"/>
      <c r="X2229" s="16"/>
      <c r="Y2229" s="17"/>
    </row>
    <row r="2230" spans="14:25" x14ac:dyDescent="0.25">
      <c r="N2230" s="61"/>
      <c r="O2230" s="61"/>
      <c r="P2230" s="62"/>
      <c r="Q2230" s="13"/>
      <c r="R2230" s="13"/>
      <c r="S2230" s="14"/>
      <c r="T2230" s="1"/>
      <c r="U2230" s="15"/>
      <c r="V2230" s="1"/>
      <c r="W2230" s="15"/>
      <c r="X2230" s="16"/>
      <c r="Y2230" s="17"/>
    </row>
    <row r="2231" spans="14:25" x14ac:dyDescent="0.25">
      <c r="N2231" s="61"/>
      <c r="O2231" s="61"/>
      <c r="P2231" s="62"/>
      <c r="Q2231" s="13"/>
      <c r="R2231" s="13"/>
      <c r="S2231" s="14"/>
      <c r="T2231" s="1"/>
      <c r="U2231" s="15"/>
      <c r="V2231" s="1"/>
      <c r="W2231" s="15"/>
      <c r="X2231" s="16"/>
      <c r="Y2231" s="17"/>
    </row>
    <row r="2232" spans="14:25" x14ac:dyDescent="0.25">
      <c r="N2232" s="61"/>
      <c r="O2232" s="61"/>
      <c r="P2232" s="62"/>
      <c r="Q2232" s="13"/>
      <c r="R2232" s="13"/>
      <c r="S2232" s="14"/>
      <c r="T2232" s="1"/>
      <c r="U2232" s="15"/>
      <c r="V2232" s="1"/>
      <c r="W2232" s="15"/>
      <c r="X2232" s="16"/>
      <c r="Y2232" s="17"/>
    </row>
    <row r="2233" spans="14:25" x14ac:dyDescent="0.25">
      <c r="N2233" s="61"/>
      <c r="O2233" s="61"/>
      <c r="P2233" s="62"/>
      <c r="Q2233" s="13"/>
      <c r="R2233" s="13"/>
      <c r="S2233" s="14"/>
      <c r="T2233" s="1"/>
      <c r="U2233" s="15"/>
      <c r="V2233" s="1"/>
      <c r="W2233" s="15"/>
      <c r="X2233" s="16"/>
      <c r="Y2233" s="17"/>
    </row>
    <row r="2234" spans="14:25" x14ac:dyDescent="0.25">
      <c r="N2234" s="61"/>
      <c r="O2234" s="61"/>
      <c r="P2234" s="62"/>
      <c r="Q2234" s="13"/>
      <c r="R2234" s="13"/>
      <c r="S2234" s="14"/>
      <c r="T2234" s="1"/>
      <c r="U2234" s="15"/>
      <c r="V2234" s="1"/>
      <c r="W2234" s="15"/>
      <c r="X2234" s="16"/>
      <c r="Y2234" s="17"/>
    </row>
    <row r="2235" spans="14:25" x14ac:dyDescent="0.25">
      <c r="N2235" s="61"/>
      <c r="O2235" s="61"/>
      <c r="P2235" s="62"/>
      <c r="Q2235" s="13"/>
      <c r="R2235" s="13"/>
      <c r="S2235" s="14"/>
      <c r="T2235" s="1"/>
      <c r="U2235" s="15"/>
      <c r="V2235" s="1"/>
      <c r="W2235" s="15"/>
      <c r="X2235" s="16"/>
      <c r="Y2235" s="17"/>
    </row>
    <row r="2236" spans="14:25" x14ac:dyDescent="0.25">
      <c r="N2236" s="61"/>
      <c r="O2236" s="61"/>
      <c r="P2236" s="62"/>
      <c r="Q2236" s="13"/>
      <c r="R2236" s="13"/>
      <c r="S2236" s="14"/>
      <c r="T2236" s="1"/>
      <c r="U2236" s="15"/>
      <c r="V2236" s="1"/>
      <c r="W2236" s="15"/>
      <c r="X2236" s="16"/>
      <c r="Y2236" s="17"/>
    </row>
    <row r="2237" spans="14:25" x14ac:dyDescent="0.25">
      <c r="N2237" s="61"/>
      <c r="O2237" s="61"/>
      <c r="P2237" s="62"/>
      <c r="Q2237" s="13"/>
      <c r="R2237" s="13"/>
      <c r="S2237" s="14"/>
      <c r="T2237" s="1"/>
      <c r="U2237" s="15"/>
      <c r="V2237" s="1"/>
      <c r="W2237" s="15"/>
      <c r="X2237" s="16"/>
      <c r="Y2237" s="17"/>
    </row>
    <row r="2238" spans="14:25" x14ac:dyDescent="0.25">
      <c r="N2238" s="61"/>
      <c r="O2238" s="61"/>
      <c r="P2238" s="62"/>
      <c r="Q2238" s="13"/>
      <c r="R2238" s="13"/>
      <c r="S2238" s="14"/>
      <c r="T2238" s="1"/>
      <c r="U2238" s="15"/>
      <c r="V2238" s="1"/>
      <c r="W2238" s="15"/>
      <c r="X2238" s="16"/>
      <c r="Y2238" s="17"/>
    </row>
    <row r="2239" spans="14:25" x14ac:dyDescent="0.25">
      <c r="N2239" s="61"/>
      <c r="O2239" s="61"/>
      <c r="P2239" s="62"/>
      <c r="Q2239" s="13"/>
      <c r="R2239" s="13"/>
      <c r="S2239" s="14"/>
      <c r="T2239" s="1"/>
      <c r="U2239" s="15"/>
      <c r="V2239" s="1"/>
      <c r="W2239" s="15"/>
      <c r="X2239" s="16"/>
      <c r="Y2239" s="17"/>
    </row>
    <row r="2240" spans="14:25" x14ac:dyDescent="0.25">
      <c r="N2240" s="61"/>
      <c r="O2240" s="61"/>
      <c r="P2240" s="62"/>
      <c r="Q2240" s="13"/>
      <c r="R2240" s="13"/>
      <c r="S2240" s="14"/>
      <c r="T2240" s="1"/>
      <c r="U2240" s="15"/>
      <c r="V2240" s="1"/>
      <c r="W2240" s="15"/>
      <c r="X2240" s="16"/>
      <c r="Y2240" s="17"/>
    </row>
    <row r="2241" spans="14:25" x14ac:dyDescent="0.25">
      <c r="N2241" s="61"/>
      <c r="O2241" s="61"/>
      <c r="P2241" s="62"/>
      <c r="Q2241" s="13"/>
      <c r="R2241" s="13"/>
      <c r="S2241" s="14"/>
      <c r="T2241" s="1"/>
      <c r="U2241" s="15"/>
      <c r="V2241" s="1"/>
      <c r="W2241" s="15"/>
      <c r="X2241" s="16"/>
      <c r="Y2241" s="17"/>
    </row>
    <row r="2242" spans="14:25" x14ac:dyDescent="0.25">
      <c r="N2242" s="61"/>
      <c r="O2242" s="61"/>
      <c r="P2242" s="62"/>
      <c r="Q2242" s="13"/>
      <c r="R2242" s="13"/>
      <c r="S2242" s="14"/>
      <c r="T2242" s="1"/>
      <c r="U2242" s="15"/>
      <c r="V2242" s="1"/>
      <c r="W2242" s="15"/>
      <c r="X2242" s="16"/>
      <c r="Y2242" s="17"/>
    </row>
    <row r="2243" spans="14:25" x14ac:dyDescent="0.25">
      <c r="N2243" s="61"/>
      <c r="O2243" s="61"/>
      <c r="P2243" s="62"/>
      <c r="Q2243" s="13"/>
      <c r="R2243" s="13"/>
      <c r="S2243" s="14"/>
      <c r="T2243" s="1"/>
      <c r="U2243" s="15"/>
      <c r="V2243" s="1"/>
      <c r="W2243" s="15"/>
      <c r="X2243" s="16"/>
      <c r="Y2243" s="17"/>
    </row>
    <row r="2244" spans="14:25" x14ac:dyDescent="0.25">
      <c r="N2244" s="61"/>
      <c r="O2244" s="61"/>
      <c r="P2244" s="62"/>
      <c r="Q2244" s="13"/>
      <c r="R2244" s="13"/>
      <c r="S2244" s="14"/>
      <c r="T2244" s="1"/>
      <c r="U2244" s="15"/>
      <c r="V2244" s="1"/>
      <c r="W2244" s="15"/>
      <c r="X2244" s="16"/>
      <c r="Y2244" s="17"/>
    </row>
    <row r="2245" spans="14:25" x14ac:dyDescent="0.25">
      <c r="N2245" s="61"/>
      <c r="O2245" s="61"/>
      <c r="P2245" s="62"/>
      <c r="Q2245" s="13"/>
      <c r="R2245" s="13"/>
      <c r="S2245" s="14"/>
      <c r="T2245" s="1"/>
      <c r="U2245" s="15"/>
      <c r="V2245" s="1"/>
      <c r="W2245" s="15"/>
      <c r="X2245" s="16"/>
      <c r="Y2245" s="17"/>
    </row>
    <row r="2246" spans="14:25" x14ac:dyDescent="0.25">
      <c r="N2246" s="61"/>
      <c r="O2246" s="61"/>
      <c r="P2246" s="62"/>
      <c r="Q2246" s="13"/>
      <c r="R2246" s="13"/>
      <c r="S2246" s="14"/>
      <c r="T2246" s="1"/>
      <c r="U2246" s="15"/>
      <c r="V2246" s="1"/>
      <c r="W2246" s="15"/>
      <c r="X2246" s="16"/>
      <c r="Y2246" s="17"/>
    </row>
    <row r="2247" spans="14:25" x14ac:dyDescent="0.25">
      <c r="N2247" s="61"/>
      <c r="O2247" s="61"/>
      <c r="P2247" s="62"/>
      <c r="Q2247" s="13"/>
      <c r="R2247" s="13"/>
      <c r="S2247" s="14"/>
      <c r="T2247" s="1"/>
      <c r="U2247" s="15"/>
      <c r="V2247" s="1"/>
      <c r="W2247" s="15"/>
      <c r="X2247" s="16"/>
      <c r="Y2247" s="17"/>
    </row>
    <row r="2248" spans="14:25" x14ac:dyDescent="0.25">
      <c r="N2248" s="61"/>
      <c r="O2248" s="61"/>
      <c r="P2248" s="62"/>
      <c r="Q2248" s="13"/>
      <c r="R2248" s="13"/>
      <c r="S2248" s="14"/>
      <c r="T2248" s="1"/>
      <c r="U2248" s="15"/>
      <c r="V2248" s="1"/>
      <c r="W2248" s="15"/>
      <c r="X2248" s="16"/>
      <c r="Y2248" s="17"/>
    </row>
    <row r="2249" spans="14:25" x14ac:dyDescent="0.25">
      <c r="N2249" s="61"/>
      <c r="O2249" s="61"/>
      <c r="P2249" s="62"/>
      <c r="Q2249" s="13"/>
      <c r="R2249" s="13"/>
      <c r="S2249" s="14"/>
      <c r="T2249" s="1"/>
      <c r="U2249" s="15"/>
      <c r="V2249" s="1"/>
      <c r="W2249" s="15"/>
      <c r="X2249" s="16"/>
      <c r="Y2249" s="17"/>
    </row>
    <row r="2250" spans="14:25" x14ac:dyDescent="0.25">
      <c r="N2250" s="61"/>
      <c r="O2250" s="61"/>
      <c r="P2250" s="62"/>
      <c r="Q2250" s="13"/>
      <c r="R2250" s="13"/>
      <c r="S2250" s="14"/>
      <c r="T2250" s="1"/>
      <c r="U2250" s="15"/>
      <c r="V2250" s="1"/>
      <c r="W2250" s="15"/>
      <c r="X2250" s="16"/>
      <c r="Y2250" s="17"/>
    </row>
    <row r="2251" spans="14:25" x14ac:dyDescent="0.25">
      <c r="N2251" s="61"/>
      <c r="O2251" s="61"/>
      <c r="P2251" s="62"/>
      <c r="Q2251" s="13"/>
      <c r="R2251" s="13"/>
      <c r="S2251" s="14"/>
      <c r="T2251" s="1"/>
      <c r="U2251" s="15"/>
      <c r="V2251" s="1"/>
      <c r="W2251" s="15"/>
      <c r="X2251" s="16"/>
      <c r="Y2251" s="17"/>
    </row>
    <row r="2252" spans="14:25" x14ac:dyDescent="0.25">
      <c r="N2252" s="61"/>
      <c r="O2252" s="61"/>
      <c r="P2252" s="62"/>
      <c r="Q2252" s="13"/>
      <c r="R2252" s="13"/>
      <c r="S2252" s="14"/>
      <c r="T2252" s="1"/>
      <c r="U2252" s="15"/>
      <c r="V2252" s="1"/>
      <c r="W2252" s="15"/>
      <c r="X2252" s="16"/>
      <c r="Y2252" s="17"/>
    </row>
    <row r="2253" spans="14:25" x14ac:dyDescent="0.25">
      <c r="N2253" s="61"/>
      <c r="O2253" s="61"/>
      <c r="P2253" s="62"/>
      <c r="Q2253" s="13"/>
      <c r="R2253" s="13"/>
      <c r="S2253" s="14"/>
      <c r="T2253" s="1"/>
      <c r="U2253" s="15"/>
      <c r="V2253" s="1"/>
      <c r="W2253" s="15"/>
      <c r="X2253" s="16"/>
      <c r="Y2253" s="17"/>
    </row>
    <row r="2254" spans="14:25" x14ac:dyDescent="0.25">
      <c r="N2254" s="61"/>
      <c r="O2254" s="61"/>
      <c r="P2254" s="62"/>
      <c r="Q2254" s="13"/>
      <c r="R2254" s="13"/>
      <c r="S2254" s="14"/>
      <c r="T2254" s="1"/>
      <c r="U2254" s="15"/>
      <c r="V2254" s="1"/>
      <c r="W2254" s="15"/>
      <c r="X2254" s="16"/>
      <c r="Y2254" s="17"/>
    </row>
    <row r="2255" spans="14:25" x14ac:dyDescent="0.25">
      <c r="N2255" s="61"/>
      <c r="O2255" s="61"/>
      <c r="P2255" s="62"/>
      <c r="Q2255" s="13"/>
      <c r="R2255" s="13"/>
      <c r="S2255" s="14"/>
      <c r="T2255" s="1"/>
      <c r="U2255" s="15"/>
      <c r="V2255" s="1"/>
      <c r="W2255" s="15"/>
      <c r="X2255" s="16"/>
      <c r="Y2255" s="17"/>
    </row>
    <row r="2256" spans="14:25" x14ac:dyDescent="0.25">
      <c r="N2256" s="61"/>
      <c r="O2256" s="61"/>
      <c r="P2256" s="62"/>
      <c r="Q2256" s="13"/>
      <c r="R2256" s="13"/>
      <c r="S2256" s="14"/>
      <c r="T2256" s="1"/>
      <c r="U2256" s="15"/>
      <c r="V2256" s="1"/>
      <c r="W2256" s="15"/>
      <c r="X2256" s="16"/>
      <c r="Y2256" s="17"/>
    </row>
    <row r="2257" spans="14:25" x14ac:dyDescent="0.25">
      <c r="N2257" s="61"/>
      <c r="O2257" s="61"/>
      <c r="P2257" s="62"/>
      <c r="Q2257" s="13"/>
      <c r="R2257" s="13"/>
      <c r="S2257" s="14"/>
      <c r="T2257" s="1"/>
      <c r="U2257" s="15"/>
      <c r="V2257" s="1"/>
      <c r="W2257" s="15"/>
      <c r="X2257" s="16"/>
      <c r="Y2257" s="17"/>
    </row>
    <row r="2258" spans="14:25" x14ac:dyDescent="0.25">
      <c r="N2258" s="61"/>
      <c r="O2258" s="61"/>
      <c r="P2258" s="62"/>
      <c r="Q2258" s="13"/>
      <c r="R2258" s="13"/>
      <c r="S2258" s="14"/>
      <c r="T2258" s="1"/>
      <c r="U2258" s="15"/>
      <c r="V2258" s="1"/>
      <c r="W2258" s="15"/>
      <c r="X2258" s="16"/>
      <c r="Y2258" s="17"/>
    </row>
    <row r="2259" spans="14:25" x14ac:dyDescent="0.25">
      <c r="N2259" s="61"/>
      <c r="O2259" s="61"/>
      <c r="P2259" s="62"/>
      <c r="Q2259" s="13"/>
      <c r="R2259" s="13"/>
      <c r="S2259" s="14"/>
      <c r="T2259" s="1"/>
      <c r="U2259" s="15"/>
      <c r="V2259" s="1"/>
      <c r="W2259" s="15"/>
      <c r="X2259" s="16"/>
      <c r="Y2259" s="17"/>
    </row>
    <row r="2260" spans="14:25" x14ac:dyDescent="0.25">
      <c r="N2260" s="61"/>
      <c r="O2260" s="61"/>
      <c r="P2260" s="62"/>
      <c r="Q2260" s="13"/>
      <c r="R2260" s="13"/>
      <c r="S2260" s="14"/>
      <c r="T2260" s="1"/>
      <c r="U2260" s="15"/>
      <c r="V2260" s="1"/>
      <c r="W2260" s="15"/>
      <c r="X2260" s="16"/>
      <c r="Y2260" s="17"/>
    </row>
    <row r="2261" spans="14:25" x14ac:dyDescent="0.25">
      <c r="N2261" s="61"/>
      <c r="O2261" s="61"/>
      <c r="P2261" s="62"/>
      <c r="Q2261" s="13"/>
      <c r="R2261" s="13"/>
      <c r="S2261" s="14"/>
      <c r="T2261" s="1"/>
      <c r="U2261" s="15"/>
      <c r="V2261" s="1"/>
      <c r="W2261" s="15"/>
      <c r="X2261" s="16"/>
      <c r="Y2261" s="17"/>
    </row>
    <row r="2262" spans="14:25" x14ac:dyDescent="0.25">
      <c r="N2262" s="61"/>
      <c r="O2262" s="61"/>
      <c r="P2262" s="62"/>
      <c r="Q2262" s="13"/>
      <c r="R2262" s="13"/>
      <c r="S2262" s="14"/>
      <c r="T2262" s="1"/>
      <c r="U2262" s="15"/>
      <c r="V2262" s="1"/>
      <c r="W2262" s="15"/>
      <c r="X2262" s="16"/>
      <c r="Y2262" s="17"/>
    </row>
    <row r="2263" spans="14:25" x14ac:dyDescent="0.25">
      <c r="N2263" s="61"/>
      <c r="O2263" s="61"/>
      <c r="P2263" s="62"/>
      <c r="Q2263" s="13"/>
      <c r="R2263" s="13"/>
      <c r="S2263" s="14"/>
      <c r="T2263" s="1"/>
      <c r="U2263" s="15"/>
      <c r="V2263" s="1"/>
      <c r="W2263" s="15"/>
      <c r="X2263" s="16"/>
      <c r="Y2263" s="17"/>
    </row>
    <row r="2264" spans="14:25" x14ac:dyDescent="0.25">
      <c r="N2264" s="61"/>
      <c r="O2264" s="61"/>
      <c r="P2264" s="62"/>
      <c r="Q2264" s="13"/>
      <c r="R2264" s="13"/>
      <c r="S2264" s="14"/>
      <c r="T2264" s="1"/>
      <c r="U2264" s="15"/>
      <c r="V2264" s="1"/>
      <c r="W2264" s="15"/>
      <c r="X2264" s="16"/>
      <c r="Y2264" s="17"/>
    </row>
    <row r="2265" spans="14:25" x14ac:dyDescent="0.25">
      <c r="N2265" s="61"/>
      <c r="O2265" s="61"/>
      <c r="P2265" s="62"/>
      <c r="Q2265" s="13"/>
      <c r="R2265" s="13"/>
      <c r="S2265" s="14"/>
      <c r="T2265" s="1"/>
      <c r="U2265" s="15"/>
      <c r="V2265" s="1"/>
      <c r="W2265" s="15"/>
      <c r="X2265" s="16"/>
      <c r="Y2265" s="17"/>
    </row>
    <row r="2266" spans="14:25" x14ac:dyDescent="0.25">
      <c r="N2266" s="61"/>
      <c r="O2266" s="61"/>
      <c r="P2266" s="62"/>
      <c r="Q2266" s="13"/>
      <c r="R2266" s="13"/>
      <c r="S2266" s="14"/>
      <c r="T2266" s="1"/>
      <c r="U2266" s="15"/>
      <c r="V2266" s="1"/>
      <c r="W2266" s="15"/>
      <c r="X2266" s="16"/>
      <c r="Y2266" s="17"/>
    </row>
    <row r="2267" spans="14:25" x14ac:dyDescent="0.25">
      <c r="N2267" s="61"/>
      <c r="O2267" s="61"/>
      <c r="P2267" s="62"/>
      <c r="Q2267" s="13"/>
      <c r="R2267" s="13"/>
      <c r="S2267" s="14"/>
      <c r="T2267" s="1"/>
      <c r="U2267" s="15"/>
      <c r="V2267" s="1"/>
      <c r="W2267" s="15"/>
      <c r="X2267" s="16"/>
      <c r="Y2267" s="17"/>
    </row>
    <row r="2268" spans="14:25" x14ac:dyDescent="0.25">
      <c r="N2268" s="61"/>
      <c r="O2268" s="61"/>
      <c r="P2268" s="62"/>
      <c r="Q2268" s="13"/>
      <c r="R2268" s="13"/>
      <c r="S2268" s="14"/>
      <c r="T2268" s="1"/>
      <c r="U2268" s="15"/>
      <c r="V2268" s="1"/>
      <c r="W2268" s="15"/>
      <c r="X2268" s="16"/>
      <c r="Y2268" s="17"/>
    </row>
    <row r="2269" spans="14:25" x14ac:dyDescent="0.25">
      <c r="N2269" s="61"/>
      <c r="O2269" s="61"/>
      <c r="P2269" s="62"/>
      <c r="Q2269" s="13"/>
      <c r="R2269" s="13"/>
      <c r="S2269" s="14"/>
      <c r="T2269" s="1"/>
      <c r="U2269" s="15"/>
      <c r="V2269" s="1"/>
      <c r="W2269" s="15"/>
      <c r="X2269" s="16"/>
      <c r="Y2269" s="17"/>
    </row>
    <row r="2270" spans="14:25" x14ac:dyDescent="0.25">
      <c r="N2270" s="61"/>
      <c r="O2270" s="61"/>
      <c r="P2270" s="62"/>
      <c r="Q2270" s="13"/>
      <c r="R2270" s="13"/>
      <c r="S2270" s="14"/>
      <c r="T2270" s="1"/>
      <c r="U2270" s="15"/>
      <c r="V2270" s="1"/>
      <c r="W2270" s="15"/>
      <c r="X2270" s="16"/>
      <c r="Y2270" s="17"/>
    </row>
    <row r="2271" spans="14:25" x14ac:dyDescent="0.25">
      <c r="N2271" s="61"/>
      <c r="O2271" s="61"/>
      <c r="P2271" s="62"/>
      <c r="Q2271" s="13"/>
      <c r="R2271" s="13"/>
      <c r="S2271" s="14"/>
      <c r="T2271" s="1"/>
      <c r="U2271" s="15"/>
      <c r="V2271" s="1"/>
      <c r="W2271" s="15"/>
      <c r="X2271" s="16"/>
      <c r="Y2271" s="17"/>
    </row>
    <row r="2272" spans="14:25" x14ac:dyDescent="0.25">
      <c r="N2272" s="61"/>
      <c r="O2272" s="61"/>
      <c r="P2272" s="62"/>
      <c r="Q2272" s="13"/>
      <c r="R2272" s="13"/>
      <c r="S2272" s="14"/>
      <c r="T2272" s="1"/>
      <c r="U2272" s="15"/>
      <c r="V2272" s="1"/>
      <c r="W2272" s="15"/>
      <c r="X2272" s="16"/>
      <c r="Y2272" s="17"/>
    </row>
    <row r="2273" spans="14:25" x14ac:dyDescent="0.25">
      <c r="N2273" s="61"/>
      <c r="O2273" s="61"/>
      <c r="P2273" s="62"/>
      <c r="Q2273" s="13"/>
      <c r="R2273" s="13"/>
      <c r="S2273" s="14"/>
      <c r="T2273" s="1"/>
      <c r="U2273" s="15"/>
      <c r="V2273" s="1"/>
      <c r="W2273" s="15"/>
      <c r="X2273" s="16"/>
      <c r="Y2273" s="17"/>
    </row>
    <row r="2274" spans="14:25" x14ac:dyDescent="0.25">
      <c r="N2274" s="61"/>
      <c r="O2274" s="61"/>
      <c r="P2274" s="62"/>
      <c r="Q2274" s="13"/>
      <c r="R2274" s="13"/>
      <c r="S2274" s="14"/>
      <c r="T2274" s="1"/>
      <c r="U2274" s="15"/>
      <c r="V2274" s="1"/>
      <c r="W2274" s="15"/>
      <c r="X2274" s="16"/>
      <c r="Y2274" s="17"/>
    </row>
    <row r="2275" spans="14:25" x14ac:dyDescent="0.25">
      <c r="N2275" s="61"/>
      <c r="O2275" s="61"/>
      <c r="P2275" s="62"/>
      <c r="Q2275" s="13"/>
      <c r="R2275" s="13"/>
      <c r="S2275" s="14"/>
      <c r="T2275" s="1"/>
      <c r="U2275" s="15"/>
      <c r="V2275" s="1"/>
      <c r="W2275" s="15"/>
      <c r="X2275" s="16"/>
      <c r="Y2275" s="17"/>
    </row>
    <row r="2276" spans="14:25" x14ac:dyDescent="0.25">
      <c r="N2276" s="61"/>
      <c r="O2276" s="61"/>
      <c r="P2276" s="62"/>
      <c r="Q2276" s="13"/>
      <c r="R2276" s="13"/>
      <c r="S2276" s="14"/>
      <c r="T2276" s="1"/>
      <c r="U2276" s="15"/>
      <c r="V2276" s="1"/>
      <c r="W2276" s="15"/>
      <c r="X2276" s="16"/>
      <c r="Y2276" s="17"/>
    </row>
    <row r="2277" spans="14:25" x14ac:dyDescent="0.25">
      <c r="N2277" s="61"/>
      <c r="O2277" s="61"/>
      <c r="P2277" s="62"/>
      <c r="Q2277" s="13"/>
      <c r="R2277" s="13"/>
      <c r="S2277" s="14"/>
      <c r="T2277" s="1"/>
      <c r="U2277" s="15"/>
      <c r="V2277" s="1"/>
      <c r="W2277" s="15"/>
      <c r="X2277" s="16"/>
      <c r="Y2277" s="17"/>
    </row>
    <row r="2278" spans="14:25" x14ac:dyDescent="0.25">
      <c r="N2278" s="61"/>
      <c r="O2278" s="61"/>
      <c r="P2278" s="62"/>
      <c r="Q2278" s="13"/>
      <c r="R2278" s="13"/>
      <c r="S2278" s="14"/>
      <c r="T2278" s="1"/>
      <c r="U2278" s="15"/>
      <c r="V2278" s="1"/>
      <c r="W2278" s="15"/>
      <c r="X2278" s="16"/>
      <c r="Y2278" s="17"/>
    </row>
    <row r="2279" spans="14:25" x14ac:dyDescent="0.25">
      <c r="N2279" s="61"/>
      <c r="O2279" s="61"/>
      <c r="P2279" s="62"/>
      <c r="Q2279" s="13"/>
      <c r="R2279" s="13"/>
      <c r="S2279" s="14"/>
      <c r="T2279" s="1"/>
      <c r="U2279" s="15"/>
      <c r="V2279" s="1"/>
      <c r="W2279" s="15"/>
      <c r="X2279" s="16"/>
      <c r="Y2279" s="17"/>
    </row>
    <row r="2280" spans="14:25" x14ac:dyDescent="0.25">
      <c r="N2280" s="61"/>
      <c r="O2280" s="61"/>
      <c r="P2280" s="62"/>
      <c r="Q2280" s="13"/>
      <c r="R2280" s="13"/>
      <c r="S2280" s="14"/>
      <c r="T2280" s="1"/>
      <c r="U2280" s="15"/>
      <c r="V2280" s="1"/>
      <c r="W2280" s="15"/>
      <c r="X2280" s="16"/>
      <c r="Y2280" s="17"/>
    </row>
    <row r="2281" spans="14:25" x14ac:dyDescent="0.25">
      <c r="N2281" s="61"/>
      <c r="O2281" s="61"/>
      <c r="P2281" s="62"/>
      <c r="Q2281" s="13"/>
      <c r="R2281" s="13"/>
      <c r="S2281" s="14"/>
      <c r="T2281" s="1"/>
      <c r="U2281" s="15"/>
      <c r="V2281" s="1"/>
      <c r="W2281" s="15"/>
      <c r="X2281" s="16"/>
      <c r="Y2281" s="17"/>
    </row>
    <row r="2282" spans="14:25" x14ac:dyDescent="0.25">
      <c r="N2282" s="61"/>
      <c r="O2282" s="61"/>
      <c r="P2282" s="62"/>
      <c r="Q2282" s="13"/>
      <c r="R2282" s="13"/>
      <c r="S2282" s="14"/>
      <c r="T2282" s="1"/>
      <c r="U2282" s="15"/>
      <c r="V2282" s="1"/>
      <c r="W2282" s="15"/>
      <c r="X2282" s="16"/>
      <c r="Y2282" s="17"/>
    </row>
    <row r="2283" spans="14:25" x14ac:dyDescent="0.25">
      <c r="N2283" s="61"/>
      <c r="O2283" s="61"/>
      <c r="P2283" s="62"/>
      <c r="Q2283" s="13"/>
      <c r="R2283" s="13"/>
      <c r="S2283" s="14"/>
      <c r="T2283" s="1"/>
      <c r="U2283" s="15"/>
      <c r="V2283" s="1"/>
      <c r="W2283" s="15"/>
      <c r="X2283" s="16"/>
      <c r="Y2283" s="17"/>
    </row>
    <row r="2284" spans="14:25" x14ac:dyDescent="0.25">
      <c r="N2284" s="61"/>
      <c r="O2284" s="61"/>
      <c r="P2284" s="62"/>
      <c r="Q2284" s="13"/>
      <c r="R2284" s="13"/>
      <c r="S2284" s="14"/>
      <c r="T2284" s="1"/>
      <c r="U2284" s="15"/>
      <c r="V2284" s="1"/>
      <c r="W2284" s="15"/>
      <c r="X2284" s="16"/>
      <c r="Y2284" s="17"/>
    </row>
    <row r="2285" spans="14:25" x14ac:dyDescent="0.25">
      <c r="N2285" s="61"/>
      <c r="O2285" s="61"/>
      <c r="P2285" s="62"/>
      <c r="Q2285" s="13"/>
      <c r="R2285" s="13"/>
      <c r="S2285" s="14"/>
      <c r="T2285" s="1"/>
      <c r="U2285" s="15"/>
      <c r="V2285" s="1"/>
      <c r="W2285" s="15"/>
      <c r="X2285" s="16"/>
      <c r="Y2285" s="17"/>
    </row>
    <row r="2286" spans="14:25" x14ac:dyDescent="0.25">
      <c r="N2286" s="61"/>
      <c r="O2286" s="61"/>
      <c r="P2286" s="62"/>
      <c r="Q2286" s="13"/>
      <c r="R2286" s="13"/>
      <c r="S2286" s="14"/>
      <c r="T2286" s="1"/>
      <c r="U2286" s="15"/>
      <c r="V2286" s="1"/>
      <c r="W2286" s="15"/>
      <c r="X2286" s="16"/>
      <c r="Y2286" s="17"/>
    </row>
    <row r="2287" spans="14:25" x14ac:dyDescent="0.25">
      <c r="N2287" s="61"/>
      <c r="O2287" s="61"/>
      <c r="P2287" s="62"/>
      <c r="Q2287" s="13"/>
      <c r="R2287" s="13"/>
      <c r="S2287" s="14"/>
      <c r="T2287" s="1"/>
      <c r="U2287" s="15"/>
      <c r="V2287" s="1"/>
      <c r="W2287" s="15"/>
      <c r="X2287" s="16"/>
      <c r="Y2287" s="17"/>
    </row>
    <row r="2288" spans="14:25" x14ac:dyDescent="0.25">
      <c r="N2288" s="61"/>
      <c r="O2288" s="61"/>
      <c r="P2288" s="62"/>
      <c r="Q2288" s="13"/>
      <c r="R2288" s="13"/>
      <c r="S2288" s="14"/>
      <c r="T2288" s="1"/>
      <c r="U2288" s="15"/>
      <c r="V2288" s="1"/>
      <c r="W2288" s="15"/>
      <c r="X2288" s="16"/>
      <c r="Y2288" s="17"/>
    </row>
    <row r="2289" spans="14:25" x14ac:dyDescent="0.25">
      <c r="N2289" s="61"/>
      <c r="O2289" s="61"/>
      <c r="P2289" s="62"/>
      <c r="Q2289" s="13"/>
      <c r="R2289" s="13"/>
      <c r="S2289" s="14"/>
      <c r="T2289" s="1"/>
      <c r="U2289" s="15"/>
      <c r="V2289" s="1"/>
      <c r="W2289" s="15"/>
      <c r="X2289" s="16"/>
      <c r="Y2289" s="17"/>
    </row>
    <row r="2290" spans="14:25" x14ac:dyDescent="0.25">
      <c r="N2290" s="61"/>
      <c r="O2290" s="61"/>
      <c r="P2290" s="62"/>
      <c r="Q2290" s="13"/>
      <c r="R2290" s="13"/>
      <c r="S2290" s="14"/>
      <c r="T2290" s="1"/>
      <c r="U2290" s="15"/>
      <c r="V2290" s="1"/>
      <c r="W2290" s="15"/>
      <c r="X2290" s="16"/>
      <c r="Y2290" s="17"/>
    </row>
    <row r="2291" spans="14:25" x14ac:dyDescent="0.25">
      <c r="N2291" s="61"/>
      <c r="O2291" s="61"/>
      <c r="P2291" s="62"/>
      <c r="Q2291" s="13"/>
      <c r="R2291" s="13"/>
      <c r="S2291" s="14"/>
      <c r="T2291" s="1"/>
      <c r="U2291" s="15"/>
      <c r="V2291" s="1"/>
      <c r="W2291" s="15"/>
      <c r="X2291" s="16"/>
      <c r="Y2291" s="17"/>
    </row>
    <row r="2292" spans="14:25" x14ac:dyDescent="0.25">
      <c r="N2292" s="61"/>
      <c r="O2292" s="61"/>
      <c r="P2292" s="62"/>
      <c r="Q2292" s="13"/>
      <c r="R2292" s="13"/>
      <c r="S2292" s="14"/>
      <c r="T2292" s="1"/>
      <c r="U2292" s="15"/>
      <c r="V2292" s="1"/>
      <c r="W2292" s="15"/>
      <c r="X2292" s="16"/>
      <c r="Y2292" s="17"/>
    </row>
    <row r="2293" spans="14:25" x14ac:dyDescent="0.25">
      <c r="N2293" s="61"/>
      <c r="O2293" s="61"/>
      <c r="P2293" s="62"/>
      <c r="Q2293" s="13"/>
      <c r="R2293" s="13"/>
      <c r="S2293" s="14"/>
      <c r="T2293" s="1"/>
      <c r="U2293" s="15"/>
      <c r="V2293" s="1"/>
      <c r="W2293" s="15"/>
      <c r="X2293" s="16"/>
      <c r="Y2293" s="17"/>
    </row>
    <row r="2294" spans="14:25" x14ac:dyDescent="0.25">
      <c r="N2294" s="61"/>
      <c r="O2294" s="61"/>
      <c r="P2294" s="62"/>
      <c r="Q2294" s="13"/>
      <c r="R2294" s="13"/>
      <c r="S2294" s="14"/>
      <c r="T2294" s="1"/>
      <c r="U2294" s="15"/>
      <c r="V2294" s="1"/>
      <c r="W2294" s="15"/>
      <c r="X2294" s="16"/>
      <c r="Y2294" s="17"/>
    </row>
    <row r="2295" spans="14:25" x14ac:dyDescent="0.25">
      <c r="N2295" s="61"/>
      <c r="O2295" s="61"/>
      <c r="P2295" s="62"/>
      <c r="Q2295" s="13"/>
      <c r="R2295" s="13"/>
      <c r="S2295" s="14"/>
      <c r="T2295" s="1"/>
      <c r="U2295" s="15"/>
      <c r="V2295" s="1"/>
      <c r="W2295" s="15"/>
      <c r="X2295" s="16"/>
      <c r="Y2295" s="17"/>
    </row>
    <row r="2296" spans="14:25" x14ac:dyDescent="0.25">
      <c r="N2296" s="61"/>
      <c r="O2296" s="61"/>
      <c r="P2296" s="62"/>
      <c r="Q2296" s="13"/>
      <c r="R2296" s="13"/>
      <c r="S2296" s="14"/>
      <c r="T2296" s="1"/>
      <c r="U2296" s="15"/>
      <c r="V2296" s="1"/>
      <c r="W2296" s="15"/>
      <c r="X2296" s="16"/>
      <c r="Y2296" s="17"/>
    </row>
    <row r="2297" spans="14:25" x14ac:dyDescent="0.25">
      <c r="N2297" s="61"/>
      <c r="O2297" s="61"/>
      <c r="P2297" s="62"/>
      <c r="Q2297" s="13"/>
      <c r="R2297" s="13"/>
      <c r="S2297" s="14"/>
      <c r="T2297" s="1"/>
      <c r="U2297" s="15"/>
      <c r="V2297" s="1"/>
      <c r="W2297" s="15"/>
      <c r="X2297" s="16"/>
      <c r="Y2297" s="17"/>
    </row>
    <row r="2298" spans="14:25" x14ac:dyDescent="0.25">
      <c r="N2298" s="61"/>
      <c r="O2298" s="61"/>
      <c r="P2298" s="62"/>
      <c r="Q2298" s="13"/>
      <c r="R2298" s="13"/>
      <c r="S2298" s="14"/>
      <c r="T2298" s="1"/>
      <c r="U2298" s="15"/>
      <c r="V2298" s="1"/>
      <c r="W2298" s="15"/>
      <c r="X2298" s="16"/>
      <c r="Y2298" s="17"/>
    </row>
    <row r="2299" spans="14:25" x14ac:dyDescent="0.25">
      <c r="N2299" s="61"/>
      <c r="O2299" s="61"/>
      <c r="P2299" s="62"/>
      <c r="Q2299" s="13"/>
      <c r="R2299" s="13"/>
      <c r="S2299" s="14"/>
      <c r="T2299" s="1"/>
      <c r="U2299" s="15"/>
      <c r="V2299" s="1"/>
      <c r="W2299" s="15"/>
      <c r="X2299" s="16"/>
      <c r="Y2299" s="17"/>
    </row>
    <row r="2300" spans="14:25" x14ac:dyDescent="0.25">
      <c r="N2300" s="61"/>
      <c r="O2300" s="61"/>
      <c r="P2300" s="62"/>
      <c r="Q2300" s="13"/>
      <c r="R2300" s="13"/>
      <c r="S2300" s="14"/>
      <c r="T2300" s="1"/>
      <c r="U2300" s="15"/>
      <c r="V2300" s="1"/>
      <c r="W2300" s="15"/>
      <c r="X2300" s="16"/>
      <c r="Y2300" s="17"/>
    </row>
    <row r="2301" spans="14:25" x14ac:dyDescent="0.25">
      <c r="N2301" s="61"/>
      <c r="O2301" s="61"/>
      <c r="P2301" s="62"/>
      <c r="Q2301" s="13"/>
      <c r="R2301" s="13"/>
      <c r="S2301" s="14"/>
      <c r="T2301" s="1"/>
      <c r="U2301" s="15"/>
      <c r="V2301" s="1"/>
      <c r="W2301" s="15"/>
      <c r="X2301" s="16"/>
      <c r="Y2301" s="17"/>
    </row>
    <row r="2302" spans="14:25" x14ac:dyDescent="0.25">
      <c r="N2302" s="61"/>
      <c r="O2302" s="61"/>
      <c r="P2302" s="62"/>
      <c r="Q2302" s="13"/>
      <c r="R2302" s="13"/>
      <c r="S2302" s="14"/>
      <c r="T2302" s="1"/>
      <c r="U2302" s="15"/>
      <c r="V2302" s="1"/>
      <c r="W2302" s="15"/>
      <c r="X2302" s="16"/>
      <c r="Y2302" s="17"/>
    </row>
    <row r="2303" spans="14:25" x14ac:dyDescent="0.25">
      <c r="N2303" s="61"/>
      <c r="O2303" s="61"/>
      <c r="P2303" s="62"/>
      <c r="Q2303" s="13"/>
      <c r="R2303" s="13"/>
      <c r="S2303" s="14"/>
      <c r="T2303" s="1"/>
      <c r="U2303" s="15"/>
      <c r="V2303" s="1"/>
      <c r="W2303" s="15"/>
      <c r="X2303" s="16"/>
      <c r="Y2303" s="17"/>
    </row>
    <row r="2304" spans="14:25" x14ac:dyDescent="0.25">
      <c r="N2304" s="61"/>
      <c r="O2304" s="61"/>
      <c r="P2304" s="62"/>
      <c r="Q2304" s="13"/>
      <c r="R2304" s="13"/>
      <c r="S2304" s="14"/>
      <c r="T2304" s="1"/>
      <c r="U2304" s="15"/>
      <c r="V2304" s="1"/>
      <c r="W2304" s="15"/>
      <c r="X2304" s="16"/>
      <c r="Y2304" s="17"/>
    </row>
    <row r="2305" spans="14:25" x14ac:dyDescent="0.25">
      <c r="N2305" s="61"/>
      <c r="O2305" s="61"/>
      <c r="P2305" s="62"/>
      <c r="Q2305" s="13"/>
      <c r="R2305" s="13"/>
      <c r="S2305" s="14"/>
      <c r="T2305" s="1"/>
      <c r="U2305" s="15"/>
      <c r="V2305" s="1"/>
      <c r="W2305" s="15"/>
      <c r="X2305" s="16"/>
      <c r="Y2305" s="17"/>
    </row>
    <row r="2306" spans="14:25" x14ac:dyDescent="0.25">
      <c r="N2306" s="61"/>
      <c r="O2306" s="61"/>
      <c r="P2306" s="62"/>
      <c r="Q2306" s="13"/>
      <c r="R2306" s="13"/>
      <c r="S2306" s="14"/>
      <c r="T2306" s="1"/>
      <c r="U2306" s="15"/>
      <c r="V2306" s="1"/>
      <c r="W2306" s="15"/>
      <c r="X2306" s="16"/>
      <c r="Y2306" s="17"/>
    </row>
    <row r="2307" spans="14:25" x14ac:dyDescent="0.25">
      <c r="N2307" s="61"/>
      <c r="O2307" s="61"/>
      <c r="P2307" s="62"/>
      <c r="Q2307" s="13"/>
      <c r="R2307" s="13"/>
      <c r="S2307" s="14"/>
      <c r="T2307" s="1"/>
      <c r="U2307" s="15"/>
      <c r="V2307" s="1"/>
      <c r="W2307" s="15"/>
      <c r="X2307" s="16"/>
      <c r="Y2307" s="17"/>
    </row>
    <row r="2308" spans="14:25" x14ac:dyDescent="0.25">
      <c r="N2308" s="61"/>
      <c r="O2308" s="61"/>
      <c r="P2308" s="62"/>
      <c r="Q2308" s="13"/>
      <c r="R2308" s="13"/>
      <c r="S2308" s="14"/>
      <c r="T2308" s="1"/>
      <c r="U2308" s="15"/>
      <c r="V2308" s="1"/>
      <c r="W2308" s="15"/>
      <c r="X2308" s="16"/>
      <c r="Y2308" s="17"/>
    </row>
    <row r="2309" spans="14:25" x14ac:dyDescent="0.25">
      <c r="N2309" s="61"/>
      <c r="O2309" s="61"/>
      <c r="P2309" s="62"/>
      <c r="Q2309" s="13"/>
      <c r="R2309" s="13"/>
      <c r="S2309" s="14"/>
      <c r="T2309" s="1"/>
      <c r="U2309" s="15"/>
      <c r="V2309" s="1"/>
      <c r="W2309" s="15"/>
      <c r="X2309" s="16"/>
      <c r="Y2309" s="17"/>
    </row>
    <row r="2310" spans="14:25" x14ac:dyDescent="0.25">
      <c r="N2310" s="61"/>
      <c r="O2310" s="61"/>
      <c r="P2310" s="62"/>
      <c r="Q2310" s="13"/>
      <c r="R2310" s="13"/>
      <c r="S2310" s="14"/>
      <c r="T2310" s="1"/>
      <c r="U2310" s="15"/>
      <c r="V2310" s="1"/>
      <c r="W2310" s="15"/>
      <c r="X2310" s="16"/>
      <c r="Y2310" s="17"/>
    </row>
    <row r="2311" spans="14:25" x14ac:dyDescent="0.25">
      <c r="N2311" s="61"/>
      <c r="O2311" s="61"/>
      <c r="P2311" s="62"/>
      <c r="Q2311" s="13"/>
      <c r="R2311" s="13"/>
      <c r="S2311" s="14"/>
      <c r="T2311" s="1"/>
      <c r="U2311" s="15"/>
      <c r="V2311" s="1"/>
      <c r="W2311" s="15"/>
      <c r="X2311" s="16"/>
      <c r="Y2311" s="17"/>
    </row>
    <row r="2312" spans="14:25" x14ac:dyDescent="0.25">
      <c r="N2312" s="61"/>
      <c r="O2312" s="61"/>
      <c r="P2312" s="62"/>
      <c r="Q2312" s="13"/>
      <c r="R2312" s="13"/>
      <c r="S2312" s="14"/>
      <c r="T2312" s="1"/>
      <c r="U2312" s="15"/>
      <c r="V2312" s="1"/>
      <c r="W2312" s="15"/>
      <c r="X2312" s="16"/>
      <c r="Y2312" s="17"/>
    </row>
    <row r="2313" spans="14:25" x14ac:dyDescent="0.25">
      <c r="N2313" s="61"/>
      <c r="O2313" s="61"/>
      <c r="P2313" s="62"/>
      <c r="Q2313" s="13"/>
      <c r="R2313" s="13"/>
      <c r="S2313" s="14"/>
      <c r="T2313" s="1"/>
      <c r="U2313" s="15"/>
      <c r="V2313" s="1"/>
      <c r="W2313" s="15"/>
      <c r="X2313" s="16"/>
      <c r="Y2313" s="17"/>
    </row>
    <row r="2314" spans="14:25" x14ac:dyDescent="0.25">
      <c r="N2314" s="61"/>
      <c r="O2314" s="61"/>
      <c r="P2314" s="62"/>
      <c r="Q2314" s="13"/>
      <c r="R2314" s="13"/>
      <c r="S2314" s="14"/>
      <c r="T2314" s="1"/>
      <c r="U2314" s="15"/>
      <c r="V2314" s="1"/>
      <c r="W2314" s="15"/>
      <c r="X2314" s="16"/>
      <c r="Y2314" s="17"/>
    </row>
    <row r="2315" spans="14:25" x14ac:dyDescent="0.25">
      <c r="N2315" s="61"/>
      <c r="O2315" s="61"/>
      <c r="P2315" s="62"/>
      <c r="Q2315" s="13"/>
      <c r="R2315" s="13"/>
      <c r="S2315" s="14"/>
      <c r="T2315" s="1"/>
      <c r="U2315" s="15"/>
      <c r="V2315" s="1"/>
      <c r="W2315" s="15"/>
      <c r="X2315" s="16"/>
      <c r="Y2315" s="17"/>
    </row>
    <row r="2316" spans="14:25" x14ac:dyDescent="0.25">
      <c r="N2316" s="61"/>
      <c r="O2316" s="61"/>
      <c r="P2316" s="62"/>
      <c r="Q2316" s="13"/>
      <c r="R2316" s="13"/>
      <c r="S2316" s="14"/>
      <c r="T2316" s="1"/>
      <c r="U2316" s="15"/>
      <c r="V2316" s="1"/>
      <c r="W2316" s="15"/>
      <c r="X2316" s="16"/>
      <c r="Y2316" s="17"/>
    </row>
    <row r="2317" spans="14:25" x14ac:dyDescent="0.25">
      <c r="N2317" s="61"/>
      <c r="O2317" s="61"/>
      <c r="P2317" s="62"/>
      <c r="Q2317" s="13"/>
      <c r="R2317" s="13"/>
      <c r="S2317" s="14"/>
      <c r="T2317" s="1"/>
      <c r="U2317" s="15"/>
      <c r="V2317" s="1"/>
      <c r="W2317" s="15"/>
      <c r="X2317" s="16"/>
      <c r="Y2317" s="17"/>
    </row>
    <row r="2318" spans="14:25" x14ac:dyDescent="0.25">
      <c r="N2318" s="61"/>
      <c r="O2318" s="61"/>
      <c r="P2318" s="62"/>
      <c r="Q2318" s="13"/>
      <c r="R2318" s="13"/>
      <c r="S2318" s="14"/>
      <c r="T2318" s="1"/>
      <c r="U2318" s="15"/>
      <c r="V2318" s="1"/>
      <c r="W2318" s="15"/>
      <c r="X2318" s="16"/>
      <c r="Y2318" s="17"/>
    </row>
    <row r="2319" spans="14:25" x14ac:dyDescent="0.25">
      <c r="N2319" s="61"/>
      <c r="O2319" s="61"/>
      <c r="P2319" s="62"/>
      <c r="Q2319" s="13"/>
      <c r="R2319" s="13"/>
      <c r="S2319" s="14"/>
      <c r="T2319" s="1"/>
      <c r="U2319" s="15"/>
      <c r="V2319" s="1"/>
      <c r="W2319" s="15"/>
      <c r="X2319" s="16"/>
      <c r="Y2319" s="17"/>
    </row>
    <row r="2320" spans="14:25" x14ac:dyDescent="0.25">
      <c r="N2320" s="61"/>
      <c r="O2320" s="61"/>
      <c r="P2320" s="62"/>
      <c r="Q2320" s="13"/>
      <c r="R2320" s="13"/>
      <c r="S2320" s="14"/>
      <c r="T2320" s="1"/>
      <c r="U2320" s="15"/>
      <c r="V2320" s="1"/>
      <c r="W2320" s="15"/>
      <c r="X2320" s="16"/>
      <c r="Y2320" s="17"/>
    </row>
    <row r="2321" spans="14:25" x14ac:dyDescent="0.25">
      <c r="N2321" s="61"/>
      <c r="O2321" s="61"/>
      <c r="P2321" s="62"/>
      <c r="Q2321" s="13"/>
      <c r="R2321" s="13"/>
      <c r="S2321" s="14"/>
      <c r="T2321" s="1"/>
      <c r="U2321" s="15"/>
      <c r="V2321" s="1"/>
      <c r="W2321" s="15"/>
      <c r="X2321" s="16"/>
      <c r="Y2321" s="17"/>
    </row>
    <row r="2322" spans="14:25" x14ac:dyDescent="0.25">
      <c r="N2322" s="61"/>
      <c r="O2322" s="61"/>
      <c r="P2322" s="62"/>
      <c r="Q2322" s="13"/>
      <c r="R2322" s="13"/>
      <c r="S2322" s="14"/>
      <c r="T2322" s="1"/>
      <c r="U2322" s="15"/>
      <c r="V2322" s="1"/>
      <c r="W2322" s="15"/>
      <c r="X2322" s="16"/>
      <c r="Y2322" s="17"/>
    </row>
    <row r="2323" spans="14:25" x14ac:dyDescent="0.25">
      <c r="N2323" s="61"/>
      <c r="O2323" s="61"/>
      <c r="P2323" s="62"/>
      <c r="Q2323" s="13"/>
      <c r="R2323" s="13"/>
      <c r="S2323" s="14"/>
      <c r="T2323" s="1"/>
      <c r="U2323" s="15"/>
      <c r="V2323" s="1"/>
      <c r="W2323" s="15"/>
      <c r="X2323" s="16"/>
      <c r="Y2323" s="17"/>
    </row>
    <row r="2324" spans="14:25" x14ac:dyDescent="0.25">
      <c r="N2324" s="61"/>
      <c r="O2324" s="61"/>
      <c r="P2324" s="62"/>
      <c r="Q2324" s="13"/>
      <c r="R2324" s="13"/>
      <c r="S2324" s="14"/>
      <c r="T2324" s="1"/>
      <c r="U2324" s="15"/>
      <c r="V2324" s="1"/>
      <c r="W2324" s="15"/>
      <c r="X2324" s="16"/>
      <c r="Y2324" s="17"/>
    </row>
    <row r="2325" spans="14:25" x14ac:dyDescent="0.25">
      <c r="N2325" s="61"/>
      <c r="O2325" s="61"/>
      <c r="P2325" s="62"/>
      <c r="Q2325" s="13"/>
      <c r="R2325" s="13"/>
      <c r="S2325" s="14"/>
      <c r="T2325" s="1"/>
      <c r="U2325" s="15"/>
      <c r="V2325" s="1"/>
      <c r="W2325" s="15"/>
      <c r="X2325" s="16"/>
      <c r="Y2325" s="17"/>
    </row>
    <row r="2326" spans="14:25" x14ac:dyDescent="0.25">
      <c r="N2326" s="61"/>
      <c r="O2326" s="61"/>
      <c r="P2326" s="62"/>
      <c r="Q2326" s="13"/>
      <c r="R2326" s="13"/>
      <c r="S2326" s="14"/>
      <c r="T2326" s="1"/>
      <c r="U2326" s="15"/>
      <c r="V2326" s="1"/>
      <c r="W2326" s="15"/>
      <c r="X2326" s="16"/>
      <c r="Y2326" s="17"/>
    </row>
    <row r="2327" spans="14:25" x14ac:dyDescent="0.25">
      <c r="N2327" s="61"/>
      <c r="O2327" s="61"/>
      <c r="P2327" s="62"/>
      <c r="Q2327" s="13"/>
      <c r="R2327" s="13"/>
      <c r="S2327" s="14"/>
      <c r="T2327" s="1"/>
      <c r="U2327" s="15"/>
      <c r="V2327" s="1"/>
      <c r="W2327" s="15"/>
      <c r="X2327" s="16"/>
      <c r="Y2327" s="17"/>
    </row>
    <row r="2328" spans="14:25" x14ac:dyDescent="0.25">
      <c r="N2328" s="61"/>
      <c r="O2328" s="61"/>
      <c r="P2328" s="62"/>
      <c r="Q2328" s="13"/>
      <c r="R2328" s="13"/>
      <c r="S2328" s="14"/>
      <c r="T2328" s="1"/>
      <c r="U2328" s="15"/>
      <c r="V2328" s="1"/>
      <c r="W2328" s="15"/>
      <c r="X2328" s="16"/>
      <c r="Y2328" s="17"/>
    </row>
    <row r="2329" spans="14:25" x14ac:dyDescent="0.25">
      <c r="N2329" s="61"/>
      <c r="O2329" s="61"/>
      <c r="P2329" s="62"/>
      <c r="Q2329" s="13"/>
      <c r="R2329" s="13"/>
      <c r="S2329" s="14"/>
      <c r="T2329" s="1"/>
      <c r="U2329" s="15"/>
      <c r="V2329" s="1"/>
      <c r="W2329" s="15"/>
      <c r="X2329" s="16"/>
      <c r="Y2329" s="17"/>
    </row>
    <row r="2330" spans="14:25" x14ac:dyDescent="0.25">
      <c r="N2330" s="61"/>
      <c r="O2330" s="61"/>
      <c r="P2330" s="62"/>
      <c r="Q2330" s="13"/>
      <c r="R2330" s="13"/>
      <c r="S2330" s="14"/>
      <c r="T2330" s="1"/>
      <c r="U2330" s="15"/>
      <c r="V2330" s="1"/>
      <c r="W2330" s="15"/>
      <c r="X2330" s="16"/>
      <c r="Y2330" s="17"/>
    </row>
    <row r="2331" spans="14:25" x14ac:dyDescent="0.25">
      <c r="N2331" s="61"/>
      <c r="O2331" s="61"/>
      <c r="P2331" s="62"/>
      <c r="Q2331" s="13"/>
      <c r="R2331" s="13"/>
      <c r="S2331" s="14"/>
      <c r="T2331" s="1"/>
      <c r="U2331" s="15"/>
      <c r="V2331" s="1"/>
      <c r="W2331" s="15"/>
      <c r="X2331" s="16"/>
      <c r="Y2331" s="17"/>
    </row>
    <row r="2332" spans="14:25" x14ac:dyDescent="0.25">
      <c r="N2332" s="61"/>
      <c r="O2332" s="61"/>
      <c r="P2332" s="62"/>
      <c r="Q2332" s="13"/>
      <c r="R2332" s="13"/>
      <c r="S2332" s="14"/>
      <c r="T2332" s="1"/>
      <c r="U2332" s="15"/>
      <c r="V2332" s="1"/>
      <c r="W2332" s="15"/>
      <c r="X2332" s="16"/>
      <c r="Y2332" s="17"/>
    </row>
    <row r="2333" spans="14:25" x14ac:dyDescent="0.25">
      <c r="N2333" s="61"/>
      <c r="O2333" s="61"/>
      <c r="P2333" s="62"/>
      <c r="Q2333" s="13"/>
      <c r="R2333" s="13"/>
      <c r="S2333" s="14"/>
      <c r="T2333" s="1"/>
      <c r="U2333" s="15"/>
      <c r="V2333" s="1"/>
      <c r="W2333" s="15"/>
      <c r="X2333" s="16"/>
      <c r="Y2333" s="17"/>
    </row>
    <row r="2334" spans="14:25" x14ac:dyDescent="0.25">
      <c r="N2334" s="61"/>
      <c r="O2334" s="61"/>
      <c r="P2334" s="62"/>
      <c r="Q2334" s="13"/>
      <c r="R2334" s="13"/>
      <c r="S2334" s="14"/>
      <c r="T2334" s="1"/>
      <c r="U2334" s="15"/>
      <c r="V2334" s="1"/>
      <c r="W2334" s="15"/>
      <c r="X2334" s="16"/>
      <c r="Y2334" s="17"/>
    </row>
    <row r="2335" spans="14:25" x14ac:dyDescent="0.25">
      <c r="N2335" s="61"/>
      <c r="O2335" s="61"/>
      <c r="P2335" s="62"/>
      <c r="Q2335" s="13"/>
      <c r="R2335" s="13"/>
      <c r="S2335" s="14"/>
      <c r="T2335" s="1"/>
      <c r="U2335" s="15"/>
      <c r="V2335" s="1"/>
      <c r="W2335" s="15"/>
      <c r="X2335" s="16"/>
      <c r="Y2335" s="17"/>
    </row>
    <row r="2336" spans="14:25" x14ac:dyDescent="0.25">
      <c r="N2336" s="61"/>
      <c r="O2336" s="61"/>
      <c r="P2336" s="62"/>
      <c r="Q2336" s="13"/>
      <c r="R2336" s="13"/>
      <c r="S2336" s="14"/>
      <c r="T2336" s="1"/>
      <c r="U2336" s="15"/>
      <c r="V2336" s="1"/>
      <c r="W2336" s="15"/>
      <c r="X2336" s="16"/>
      <c r="Y2336" s="17"/>
    </row>
    <row r="2337" spans="14:25" x14ac:dyDescent="0.25">
      <c r="N2337" s="61"/>
      <c r="O2337" s="61"/>
      <c r="P2337" s="62"/>
      <c r="Q2337" s="13"/>
      <c r="R2337" s="13"/>
      <c r="S2337" s="14"/>
      <c r="T2337" s="1"/>
      <c r="U2337" s="15"/>
      <c r="V2337" s="1"/>
      <c r="W2337" s="15"/>
      <c r="X2337" s="16"/>
      <c r="Y2337" s="17"/>
    </row>
    <row r="2338" spans="14:25" x14ac:dyDescent="0.25">
      <c r="N2338" s="61"/>
      <c r="O2338" s="61"/>
      <c r="P2338" s="62"/>
      <c r="Q2338" s="13"/>
      <c r="R2338" s="13"/>
      <c r="S2338" s="14"/>
      <c r="T2338" s="1"/>
      <c r="U2338" s="15"/>
      <c r="V2338" s="1"/>
      <c r="W2338" s="15"/>
      <c r="X2338" s="16"/>
      <c r="Y2338" s="17"/>
    </row>
    <row r="2339" spans="14:25" x14ac:dyDescent="0.25">
      <c r="N2339" s="61"/>
      <c r="O2339" s="61"/>
      <c r="P2339" s="62"/>
      <c r="Q2339" s="13"/>
      <c r="R2339" s="13"/>
      <c r="S2339" s="14"/>
      <c r="T2339" s="1"/>
      <c r="U2339" s="15"/>
      <c r="V2339" s="1"/>
      <c r="W2339" s="15"/>
      <c r="X2339" s="16"/>
      <c r="Y2339" s="17"/>
    </row>
    <row r="2340" spans="14:25" x14ac:dyDescent="0.25">
      <c r="N2340" s="61"/>
      <c r="O2340" s="61"/>
      <c r="P2340" s="62"/>
      <c r="Q2340" s="13"/>
      <c r="R2340" s="13"/>
      <c r="S2340" s="14"/>
      <c r="T2340" s="1"/>
      <c r="U2340" s="15"/>
      <c r="V2340" s="1"/>
      <c r="W2340" s="15"/>
      <c r="X2340" s="16"/>
      <c r="Y2340" s="17"/>
    </row>
    <row r="2341" spans="14:25" x14ac:dyDescent="0.25">
      <c r="N2341" s="61"/>
      <c r="O2341" s="61"/>
      <c r="P2341" s="62"/>
      <c r="Q2341" s="13"/>
      <c r="R2341" s="13"/>
      <c r="S2341" s="14"/>
      <c r="T2341" s="1"/>
      <c r="U2341" s="15"/>
      <c r="V2341" s="1"/>
      <c r="W2341" s="15"/>
      <c r="X2341" s="16"/>
      <c r="Y2341" s="17"/>
    </row>
    <row r="2342" spans="14:25" x14ac:dyDescent="0.25">
      <c r="N2342" s="61"/>
      <c r="O2342" s="61"/>
      <c r="P2342" s="62"/>
      <c r="Q2342" s="13"/>
      <c r="R2342" s="13"/>
      <c r="S2342" s="14"/>
      <c r="T2342" s="1"/>
      <c r="U2342" s="15"/>
      <c r="V2342" s="1"/>
      <c r="W2342" s="15"/>
      <c r="X2342" s="16"/>
      <c r="Y2342" s="17"/>
    </row>
    <row r="2343" spans="14:25" x14ac:dyDescent="0.25">
      <c r="N2343" s="61"/>
      <c r="O2343" s="61"/>
      <c r="P2343" s="62"/>
      <c r="Q2343" s="13"/>
      <c r="R2343" s="13"/>
      <c r="S2343" s="14"/>
      <c r="T2343" s="1"/>
      <c r="U2343" s="15"/>
      <c r="V2343" s="1"/>
      <c r="W2343" s="15"/>
      <c r="X2343" s="16"/>
      <c r="Y2343" s="17"/>
    </row>
    <row r="2344" spans="14:25" x14ac:dyDescent="0.25">
      <c r="N2344" s="61"/>
      <c r="O2344" s="61"/>
      <c r="P2344" s="62"/>
      <c r="Q2344" s="13"/>
      <c r="R2344" s="13"/>
      <c r="S2344" s="14"/>
      <c r="T2344" s="1"/>
      <c r="U2344" s="15"/>
      <c r="V2344" s="1"/>
      <c r="W2344" s="15"/>
      <c r="X2344" s="16"/>
      <c r="Y2344" s="17"/>
    </row>
    <row r="2345" spans="14:25" x14ac:dyDescent="0.25">
      <c r="N2345" s="61"/>
      <c r="O2345" s="61"/>
      <c r="P2345" s="62"/>
      <c r="Q2345" s="13"/>
      <c r="R2345" s="13"/>
      <c r="S2345" s="14"/>
      <c r="T2345" s="1"/>
      <c r="U2345" s="15"/>
      <c r="V2345" s="1"/>
      <c r="W2345" s="15"/>
      <c r="X2345" s="16"/>
      <c r="Y2345" s="17"/>
    </row>
    <row r="2346" spans="14:25" x14ac:dyDescent="0.25">
      <c r="N2346" s="61"/>
      <c r="O2346" s="61"/>
      <c r="P2346" s="62"/>
      <c r="Q2346" s="13"/>
      <c r="R2346" s="13"/>
      <c r="S2346" s="14"/>
      <c r="T2346" s="1"/>
      <c r="U2346" s="15"/>
      <c r="V2346" s="1"/>
      <c r="W2346" s="15"/>
      <c r="X2346" s="16"/>
      <c r="Y2346" s="17"/>
    </row>
    <row r="2347" spans="14:25" x14ac:dyDescent="0.25">
      <c r="N2347" s="61"/>
      <c r="O2347" s="61"/>
      <c r="P2347" s="62"/>
      <c r="Q2347" s="13"/>
      <c r="R2347" s="13"/>
      <c r="S2347" s="14"/>
      <c r="T2347" s="1"/>
      <c r="U2347" s="15"/>
      <c r="V2347" s="1"/>
      <c r="W2347" s="15"/>
      <c r="X2347" s="16"/>
      <c r="Y2347" s="17"/>
    </row>
    <row r="2348" spans="14:25" x14ac:dyDescent="0.25">
      <c r="N2348" s="61"/>
      <c r="O2348" s="61"/>
      <c r="P2348" s="62"/>
      <c r="Q2348" s="13"/>
      <c r="R2348" s="13"/>
      <c r="S2348" s="14"/>
      <c r="T2348" s="1"/>
      <c r="U2348" s="15"/>
      <c r="V2348" s="1"/>
      <c r="W2348" s="15"/>
      <c r="X2348" s="16"/>
      <c r="Y2348" s="17"/>
    </row>
    <row r="2349" spans="14:25" x14ac:dyDescent="0.25">
      <c r="N2349" s="61"/>
      <c r="O2349" s="61"/>
      <c r="P2349" s="62"/>
      <c r="Q2349" s="13"/>
      <c r="R2349" s="13"/>
      <c r="S2349" s="14"/>
      <c r="T2349" s="1"/>
      <c r="U2349" s="15"/>
      <c r="V2349" s="1"/>
      <c r="W2349" s="15"/>
      <c r="X2349" s="16"/>
      <c r="Y2349" s="17"/>
    </row>
    <row r="2350" spans="14:25" x14ac:dyDescent="0.25">
      <c r="N2350" s="61"/>
      <c r="O2350" s="61"/>
      <c r="P2350" s="62"/>
      <c r="Q2350" s="13"/>
      <c r="R2350" s="13"/>
      <c r="S2350" s="14"/>
      <c r="T2350" s="1"/>
      <c r="U2350" s="15"/>
      <c r="V2350" s="1"/>
      <c r="W2350" s="15"/>
      <c r="X2350" s="16"/>
      <c r="Y2350" s="17"/>
    </row>
    <row r="2351" spans="14:25" x14ac:dyDescent="0.25">
      <c r="N2351" s="61"/>
      <c r="O2351" s="61"/>
      <c r="P2351" s="62"/>
      <c r="Q2351" s="13"/>
      <c r="R2351" s="13"/>
      <c r="S2351" s="14"/>
      <c r="T2351" s="1"/>
      <c r="U2351" s="15"/>
      <c r="V2351" s="1"/>
      <c r="W2351" s="15"/>
      <c r="X2351" s="16"/>
      <c r="Y2351" s="17"/>
    </row>
    <row r="2352" spans="14:25" x14ac:dyDescent="0.25">
      <c r="N2352" s="61"/>
      <c r="O2352" s="61"/>
      <c r="P2352" s="62"/>
      <c r="Q2352" s="13"/>
      <c r="R2352" s="13"/>
      <c r="S2352" s="14"/>
      <c r="T2352" s="1"/>
      <c r="U2352" s="15"/>
      <c r="V2352" s="1"/>
      <c r="W2352" s="15"/>
      <c r="X2352" s="16"/>
      <c r="Y2352" s="17"/>
    </row>
    <row r="2353" spans="14:25" x14ac:dyDescent="0.25">
      <c r="N2353" s="61"/>
      <c r="O2353" s="61"/>
      <c r="P2353" s="62"/>
      <c r="Q2353" s="13"/>
      <c r="R2353" s="13"/>
      <c r="S2353" s="14"/>
      <c r="T2353" s="1"/>
      <c r="U2353" s="15"/>
      <c r="V2353" s="1"/>
      <c r="W2353" s="15"/>
      <c r="X2353" s="16"/>
      <c r="Y2353" s="17"/>
    </row>
    <row r="2354" spans="14:25" x14ac:dyDescent="0.25">
      <c r="N2354" s="61"/>
      <c r="O2354" s="61"/>
      <c r="P2354" s="62"/>
      <c r="Q2354" s="13"/>
      <c r="R2354" s="13"/>
      <c r="S2354" s="14"/>
      <c r="T2354" s="1"/>
      <c r="U2354" s="15"/>
      <c r="V2354" s="1"/>
      <c r="W2354" s="15"/>
      <c r="X2354" s="16"/>
      <c r="Y2354" s="17"/>
    </row>
    <row r="2355" spans="14:25" x14ac:dyDescent="0.25">
      <c r="N2355" s="61"/>
      <c r="O2355" s="61"/>
      <c r="P2355" s="62"/>
      <c r="Q2355" s="13"/>
      <c r="R2355" s="13"/>
      <c r="S2355" s="14"/>
      <c r="T2355" s="1"/>
      <c r="U2355" s="15"/>
      <c r="V2355" s="1"/>
      <c r="W2355" s="15"/>
      <c r="X2355" s="16"/>
      <c r="Y2355" s="17"/>
    </row>
    <row r="2356" spans="14:25" x14ac:dyDescent="0.25">
      <c r="N2356" s="61"/>
      <c r="O2356" s="61"/>
      <c r="P2356" s="62"/>
      <c r="Q2356" s="13"/>
      <c r="R2356" s="13"/>
      <c r="S2356" s="14"/>
      <c r="T2356" s="1"/>
      <c r="U2356" s="15"/>
      <c r="V2356" s="1"/>
      <c r="W2356" s="15"/>
      <c r="X2356" s="16"/>
      <c r="Y2356" s="17"/>
    </row>
    <row r="2357" spans="14:25" x14ac:dyDescent="0.25">
      <c r="N2357" s="61"/>
      <c r="O2357" s="61"/>
      <c r="P2357" s="62"/>
      <c r="Q2357" s="13"/>
      <c r="R2357" s="13"/>
      <c r="S2357" s="14"/>
      <c r="T2357" s="1"/>
      <c r="U2357" s="15"/>
      <c r="V2357" s="1"/>
      <c r="W2357" s="15"/>
      <c r="X2357" s="16"/>
      <c r="Y2357" s="17"/>
    </row>
    <row r="2358" spans="14:25" x14ac:dyDescent="0.25">
      <c r="N2358" s="61"/>
      <c r="O2358" s="61"/>
      <c r="P2358" s="62"/>
      <c r="Q2358" s="13"/>
      <c r="R2358" s="13"/>
      <c r="S2358" s="14"/>
      <c r="T2358" s="1"/>
      <c r="U2358" s="15"/>
      <c r="V2358" s="1"/>
      <c r="W2358" s="15"/>
      <c r="X2358" s="16"/>
      <c r="Y2358" s="17"/>
    </row>
    <row r="2359" spans="14:25" x14ac:dyDescent="0.25">
      <c r="N2359" s="61"/>
      <c r="O2359" s="61"/>
      <c r="P2359" s="62"/>
      <c r="Q2359" s="13"/>
      <c r="R2359" s="13"/>
      <c r="S2359" s="14"/>
      <c r="T2359" s="1"/>
      <c r="U2359" s="15"/>
      <c r="V2359" s="1"/>
      <c r="W2359" s="15"/>
      <c r="X2359" s="16"/>
      <c r="Y2359" s="17"/>
    </row>
    <row r="2360" spans="14:25" x14ac:dyDescent="0.25">
      <c r="N2360" s="61"/>
      <c r="O2360" s="61"/>
      <c r="P2360" s="62"/>
      <c r="Q2360" s="13"/>
      <c r="R2360" s="13"/>
      <c r="S2360" s="14"/>
      <c r="T2360" s="1"/>
      <c r="U2360" s="15"/>
      <c r="V2360" s="1"/>
      <c r="W2360" s="15"/>
      <c r="X2360" s="16"/>
      <c r="Y2360" s="17"/>
    </row>
    <row r="2361" spans="14:25" x14ac:dyDescent="0.25">
      <c r="N2361" s="61"/>
      <c r="O2361" s="61"/>
      <c r="P2361" s="62"/>
      <c r="Q2361" s="13"/>
      <c r="R2361" s="13"/>
      <c r="S2361" s="14"/>
      <c r="T2361" s="1"/>
      <c r="U2361" s="15"/>
      <c r="V2361" s="1"/>
      <c r="W2361" s="15"/>
      <c r="X2361" s="16"/>
      <c r="Y2361" s="17"/>
    </row>
    <row r="2362" spans="14:25" x14ac:dyDescent="0.25">
      <c r="N2362" s="61"/>
      <c r="O2362" s="61"/>
      <c r="P2362" s="62"/>
      <c r="Q2362" s="13"/>
      <c r="R2362" s="13"/>
      <c r="S2362" s="14"/>
      <c r="T2362" s="1"/>
      <c r="U2362" s="15"/>
      <c r="V2362" s="1"/>
      <c r="W2362" s="15"/>
      <c r="X2362" s="16"/>
      <c r="Y2362" s="17"/>
    </row>
    <row r="2363" spans="14:25" x14ac:dyDescent="0.25">
      <c r="N2363" s="61"/>
      <c r="O2363" s="61"/>
      <c r="P2363" s="62"/>
      <c r="Q2363" s="13"/>
      <c r="R2363" s="13"/>
      <c r="S2363" s="14"/>
      <c r="T2363" s="1"/>
      <c r="U2363" s="15"/>
      <c r="V2363" s="1"/>
      <c r="W2363" s="15"/>
      <c r="X2363" s="16"/>
      <c r="Y2363" s="17"/>
    </row>
    <row r="2364" spans="14:25" x14ac:dyDescent="0.25">
      <c r="N2364" s="61"/>
      <c r="O2364" s="61"/>
      <c r="P2364" s="62"/>
      <c r="Q2364" s="13"/>
      <c r="R2364" s="13"/>
      <c r="S2364" s="14"/>
      <c r="T2364" s="1"/>
      <c r="U2364" s="15"/>
      <c r="V2364" s="1"/>
      <c r="W2364" s="15"/>
      <c r="X2364" s="16"/>
      <c r="Y2364" s="17"/>
    </row>
    <row r="2365" spans="14:25" x14ac:dyDescent="0.25">
      <c r="N2365" s="61"/>
      <c r="O2365" s="61"/>
      <c r="P2365" s="62"/>
      <c r="Q2365" s="13"/>
      <c r="R2365" s="13"/>
      <c r="S2365" s="14"/>
      <c r="T2365" s="1"/>
      <c r="U2365" s="15"/>
      <c r="V2365" s="1"/>
      <c r="W2365" s="15"/>
      <c r="X2365" s="16"/>
      <c r="Y2365" s="17"/>
    </row>
    <row r="2366" spans="14:25" x14ac:dyDescent="0.25">
      <c r="N2366" s="61"/>
      <c r="O2366" s="61"/>
      <c r="P2366" s="62"/>
      <c r="Q2366" s="13"/>
      <c r="R2366" s="13"/>
      <c r="S2366" s="14"/>
      <c r="T2366" s="1"/>
      <c r="U2366" s="15"/>
      <c r="V2366" s="1"/>
      <c r="W2366" s="15"/>
      <c r="X2366" s="16"/>
      <c r="Y2366" s="17"/>
    </row>
    <row r="2367" spans="14:25" x14ac:dyDescent="0.25">
      <c r="N2367" s="61"/>
      <c r="O2367" s="61"/>
      <c r="P2367" s="62"/>
      <c r="Q2367" s="13"/>
      <c r="R2367" s="13"/>
      <c r="S2367" s="14"/>
      <c r="T2367" s="1"/>
      <c r="U2367" s="15"/>
      <c r="V2367" s="1"/>
      <c r="W2367" s="15"/>
      <c r="X2367" s="16"/>
      <c r="Y2367" s="17"/>
    </row>
    <row r="2368" spans="14:25" x14ac:dyDescent="0.25">
      <c r="N2368" s="61"/>
      <c r="O2368" s="61"/>
      <c r="P2368" s="62"/>
      <c r="Q2368" s="13"/>
      <c r="R2368" s="13"/>
      <c r="S2368" s="14"/>
      <c r="T2368" s="1"/>
      <c r="U2368" s="15"/>
      <c r="V2368" s="1"/>
      <c r="W2368" s="15"/>
      <c r="X2368" s="16"/>
      <c r="Y2368" s="17"/>
    </row>
    <row r="2369" spans="14:25" x14ac:dyDescent="0.25">
      <c r="N2369" s="61"/>
      <c r="O2369" s="61"/>
      <c r="P2369" s="62"/>
      <c r="Q2369" s="13"/>
      <c r="R2369" s="13"/>
      <c r="S2369" s="14"/>
      <c r="T2369" s="1"/>
      <c r="U2369" s="15"/>
      <c r="V2369" s="1"/>
      <c r="W2369" s="15"/>
      <c r="X2369" s="16"/>
      <c r="Y2369" s="17"/>
    </row>
    <row r="2370" spans="14:25" x14ac:dyDescent="0.25">
      <c r="N2370" s="61"/>
      <c r="O2370" s="61"/>
      <c r="P2370" s="62"/>
      <c r="Q2370" s="13"/>
      <c r="R2370" s="13"/>
      <c r="S2370" s="14"/>
      <c r="T2370" s="1"/>
      <c r="U2370" s="15"/>
      <c r="V2370" s="1"/>
      <c r="W2370" s="15"/>
      <c r="X2370" s="16"/>
      <c r="Y2370" s="17"/>
    </row>
    <row r="2371" spans="14:25" x14ac:dyDescent="0.25">
      <c r="N2371" s="61"/>
      <c r="O2371" s="61"/>
      <c r="P2371" s="62"/>
      <c r="Q2371" s="13"/>
      <c r="R2371" s="13"/>
      <c r="S2371" s="14"/>
      <c r="T2371" s="1"/>
      <c r="U2371" s="15"/>
      <c r="V2371" s="1"/>
      <c r="W2371" s="15"/>
      <c r="X2371" s="16"/>
      <c r="Y2371" s="17"/>
    </row>
    <row r="2372" spans="14:25" x14ac:dyDescent="0.25">
      <c r="N2372" s="61"/>
      <c r="O2372" s="61"/>
      <c r="P2372" s="62"/>
      <c r="Q2372" s="13"/>
      <c r="R2372" s="13"/>
      <c r="S2372" s="14"/>
      <c r="T2372" s="1"/>
      <c r="U2372" s="15"/>
      <c r="V2372" s="1"/>
      <c r="W2372" s="15"/>
      <c r="X2372" s="16"/>
      <c r="Y2372" s="17"/>
    </row>
    <row r="2373" spans="14:25" x14ac:dyDescent="0.25">
      <c r="N2373" s="61"/>
      <c r="O2373" s="61"/>
      <c r="P2373" s="62"/>
      <c r="Q2373" s="13"/>
      <c r="R2373" s="13"/>
      <c r="S2373" s="14"/>
      <c r="T2373" s="1"/>
      <c r="U2373" s="15"/>
      <c r="V2373" s="1"/>
      <c r="W2373" s="15"/>
      <c r="X2373" s="16"/>
      <c r="Y2373" s="17"/>
    </row>
    <row r="2374" spans="14:25" x14ac:dyDescent="0.25">
      <c r="N2374" s="61"/>
      <c r="O2374" s="61"/>
      <c r="P2374" s="62"/>
      <c r="Q2374" s="13"/>
      <c r="R2374" s="13"/>
      <c r="S2374" s="14"/>
      <c r="T2374" s="1"/>
      <c r="U2374" s="15"/>
      <c r="V2374" s="1"/>
      <c r="W2374" s="15"/>
      <c r="X2374" s="16"/>
      <c r="Y2374" s="17"/>
    </row>
    <row r="2375" spans="14:25" x14ac:dyDescent="0.25">
      <c r="N2375" s="61"/>
      <c r="O2375" s="61"/>
      <c r="P2375" s="62"/>
      <c r="Q2375" s="13"/>
      <c r="R2375" s="13"/>
      <c r="S2375" s="14"/>
      <c r="T2375" s="1"/>
      <c r="U2375" s="15"/>
      <c r="V2375" s="1"/>
      <c r="W2375" s="15"/>
      <c r="X2375" s="16"/>
      <c r="Y2375" s="17"/>
    </row>
    <row r="2376" spans="14:25" x14ac:dyDescent="0.25">
      <c r="N2376" s="61"/>
      <c r="O2376" s="61"/>
      <c r="P2376" s="62"/>
      <c r="Q2376" s="13"/>
      <c r="R2376" s="13"/>
      <c r="S2376" s="14"/>
      <c r="T2376" s="1"/>
      <c r="U2376" s="15"/>
      <c r="V2376" s="1"/>
      <c r="W2376" s="15"/>
      <c r="X2376" s="16"/>
      <c r="Y2376" s="17"/>
    </row>
    <row r="2377" spans="14:25" x14ac:dyDescent="0.25">
      <c r="N2377" s="61"/>
      <c r="O2377" s="61"/>
      <c r="P2377" s="62"/>
      <c r="Q2377" s="13"/>
      <c r="R2377" s="13"/>
      <c r="S2377" s="14"/>
      <c r="T2377" s="1"/>
      <c r="U2377" s="15"/>
      <c r="V2377" s="1"/>
      <c r="W2377" s="15"/>
      <c r="X2377" s="16"/>
      <c r="Y2377" s="17"/>
    </row>
    <row r="2378" spans="14:25" x14ac:dyDescent="0.25">
      <c r="N2378" s="61"/>
      <c r="O2378" s="61"/>
      <c r="P2378" s="62"/>
      <c r="Q2378" s="13"/>
      <c r="R2378" s="13"/>
      <c r="S2378" s="14"/>
      <c r="T2378" s="1"/>
      <c r="U2378" s="15"/>
      <c r="V2378" s="1"/>
      <c r="W2378" s="15"/>
      <c r="X2378" s="16"/>
      <c r="Y2378" s="17"/>
    </row>
    <row r="2379" spans="14:25" x14ac:dyDescent="0.25">
      <c r="N2379" s="61"/>
      <c r="O2379" s="61"/>
      <c r="P2379" s="62"/>
      <c r="Q2379" s="13"/>
      <c r="R2379" s="13"/>
      <c r="S2379" s="14"/>
      <c r="T2379" s="1"/>
      <c r="U2379" s="15"/>
      <c r="V2379" s="1"/>
      <c r="W2379" s="15"/>
      <c r="X2379" s="16"/>
      <c r="Y2379" s="17"/>
    </row>
    <row r="2380" spans="14:25" x14ac:dyDescent="0.25">
      <c r="N2380" s="61"/>
      <c r="O2380" s="61"/>
      <c r="P2380" s="62"/>
      <c r="Q2380" s="13"/>
      <c r="R2380" s="13"/>
      <c r="S2380" s="14"/>
      <c r="T2380" s="1"/>
      <c r="U2380" s="15"/>
      <c r="V2380" s="1"/>
      <c r="W2380" s="15"/>
      <c r="X2380" s="16"/>
      <c r="Y2380" s="17"/>
    </row>
    <row r="2381" spans="14:25" x14ac:dyDescent="0.25">
      <c r="N2381" s="61"/>
      <c r="O2381" s="61"/>
      <c r="P2381" s="62"/>
      <c r="Q2381" s="13"/>
      <c r="R2381" s="13"/>
      <c r="S2381" s="14"/>
      <c r="T2381" s="1"/>
      <c r="U2381" s="15"/>
      <c r="V2381" s="1"/>
      <c r="W2381" s="15"/>
      <c r="X2381" s="16"/>
      <c r="Y2381" s="17"/>
    </row>
    <row r="2382" spans="14:25" x14ac:dyDescent="0.25">
      <c r="N2382" s="61"/>
      <c r="O2382" s="61"/>
      <c r="P2382" s="62"/>
      <c r="Q2382" s="13"/>
      <c r="R2382" s="13"/>
      <c r="S2382" s="14"/>
      <c r="T2382" s="1"/>
      <c r="U2382" s="15"/>
      <c r="V2382" s="1"/>
      <c r="W2382" s="15"/>
      <c r="X2382" s="16"/>
      <c r="Y2382" s="17"/>
    </row>
    <row r="2383" spans="14:25" x14ac:dyDescent="0.25">
      <c r="N2383" s="61"/>
      <c r="O2383" s="61"/>
      <c r="P2383" s="62"/>
      <c r="Q2383" s="13"/>
      <c r="R2383" s="13"/>
      <c r="S2383" s="14"/>
      <c r="T2383" s="1"/>
      <c r="U2383" s="15"/>
      <c r="V2383" s="1"/>
      <c r="W2383" s="15"/>
      <c r="X2383" s="16"/>
      <c r="Y2383" s="17"/>
    </row>
    <row r="2384" spans="14:25" x14ac:dyDescent="0.25">
      <c r="N2384" s="61"/>
      <c r="O2384" s="61"/>
      <c r="P2384" s="62"/>
      <c r="Q2384" s="13"/>
      <c r="R2384" s="13"/>
      <c r="S2384" s="14"/>
      <c r="T2384" s="1"/>
      <c r="U2384" s="15"/>
      <c r="V2384" s="1"/>
      <c r="W2384" s="15"/>
      <c r="X2384" s="16"/>
      <c r="Y2384" s="17"/>
    </row>
    <row r="2385" spans="14:25" x14ac:dyDescent="0.25">
      <c r="N2385" s="61"/>
      <c r="O2385" s="61"/>
      <c r="P2385" s="62"/>
      <c r="Q2385" s="13"/>
      <c r="R2385" s="13"/>
      <c r="S2385" s="14"/>
      <c r="T2385" s="1"/>
      <c r="U2385" s="15"/>
      <c r="V2385" s="1"/>
      <c r="W2385" s="15"/>
      <c r="X2385" s="16"/>
      <c r="Y2385" s="17"/>
    </row>
    <row r="2386" spans="14:25" x14ac:dyDescent="0.25">
      <c r="N2386" s="61"/>
      <c r="O2386" s="61"/>
      <c r="P2386" s="62"/>
      <c r="Q2386" s="13"/>
      <c r="R2386" s="13"/>
      <c r="S2386" s="14"/>
      <c r="T2386" s="1"/>
      <c r="U2386" s="15"/>
      <c r="V2386" s="1"/>
      <c r="W2386" s="15"/>
      <c r="X2386" s="16"/>
      <c r="Y2386" s="17"/>
    </row>
    <row r="2387" spans="14:25" x14ac:dyDescent="0.25">
      <c r="N2387" s="61"/>
      <c r="O2387" s="61"/>
      <c r="P2387" s="62"/>
      <c r="Q2387" s="13"/>
      <c r="R2387" s="13"/>
      <c r="S2387" s="14"/>
      <c r="T2387" s="1"/>
      <c r="U2387" s="15"/>
      <c r="V2387" s="1"/>
      <c r="W2387" s="15"/>
      <c r="X2387" s="16"/>
      <c r="Y2387" s="17"/>
    </row>
    <row r="2388" spans="14:25" x14ac:dyDescent="0.25">
      <c r="N2388" s="61"/>
      <c r="O2388" s="61"/>
      <c r="P2388" s="62"/>
      <c r="Q2388" s="13"/>
      <c r="R2388" s="13"/>
      <c r="S2388" s="14"/>
      <c r="T2388" s="1"/>
      <c r="U2388" s="15"/>
      <c r="V2388" s="1"/>
      <c r="W2388" s="15"/>
      <c r="X2388" s="16"/>
      <c r="Y2388" s="17"/>
    </row>
    <row r="2389" spans="14:25" x14ac:dyDescent="0.25">
      <c r="N2389" s="61"/>
      <c r="O2389" s="61"/>
      <c r="P2389" s="62"/>
      <c r="Q2389" s="13"/>
      <c r="R2389" s="13"/>
      <c r="S2389" s="14"/>
      <c r="T2389" s="1"/>
      <c r="U2389" s="15"/>
      <c r="V2389" s="1"/>
      <c r="W2389" s="15"/>
      <c r="X2389" s="16"/>
      <c r="Y2389" s="17"/>
    </row>
    <row r="2390" spans="14:25" x14ac:dyDescent="0.25">
      <c r="N2390" s="61"/>
      <c r="O2390" s="61"/>
      <c r="P2390" s="62"/>
      <c r="Q2390" s="13"/>
      <c r="R2390" s="13"/>
      <c r="S2390" s="14"/>
      <c r="T2390" s="1"/>
      <c r="U2390" s="15"/>
      <c r="V2390" s="1"/>
      <c r="W2390" s="15"/>
      <c r="X2390" s="16"/>
      <c r="Y2390" s="17"/>
    </row>
    <row r="2391" spans="14:25" x14ac:dyDescent="0.25">
      <c r="N2391" s="61"/>
      <c r="O2391" s="61"/>
      <c r="P2391" s="62"/>
      <c r="Q2391" s="13"/>
      <c r="R2391" s="13"/>
      <c r="S2391" s="14"/>
      <c r="T2391" s="1"/>
      <c r="U2391" s="15"/>
      <c r="V2391" s="1"/>
      <c r="W2391" s="15"/>
      <c r="X2391" s="16"/>
      <c r="Y2391" s="17"/>
    </row>
    <row r="2392" spans="14:25" x14ac:dyDescent="0.25">
      <c r="N2392" s="61"/>
      <c r="O2392" s="61"/>
      <c r="P2392" s="62"/>
      <c r="Q2392" s="13"/>
      <c r="R2392" s="13"/>
      <c r="S2392" s="14"/>
      <c r="T2392" s="1"/>
      <c r="U2392" s="15"/>
      <c r="V2392" s="1"/>
      <c r="W2392" s="15"/>
      <c r="X2392" s="16"/>
      <c r="Y2392" s="17"/>
    </row>
    <row r="2393" spans="14:25" x14ac:dyDescent="0.25">
      <c r="N2393" s="61"/>
      <c r="O2393" s="61"/>
      <c r="P2393" s="62"/>
      <c r="Q2393" s="13"/>
      <c r="R2393" s="13"/>
      <c r="S2393" s="14"/>
      <c r="T2393" s="1"/>
      <c r="U2393" s="15"/>
      <c r="V2393" s="1"/>
      <c r="W2393" s="15"/>
      <c r="X2393" s="16"/>
      <c r="Y2393" s="17"/>
    </row>
    <row r="2394" spans="14:25" x14ac:dyDescent="0.25">
      <c r="N2394" s="61"/>
      <c r="O2394" s="61"/>
      <c r="P2394" s="62"/>
      <c r="Q2394" s="13"/>
      <c r="R2394" s="13"/>
      <c r="S2394" s="14"/>
      <c r="T2394" s="1"/>
      <c r="U2394" s="15"/>
      <c r="V2394" s="1"/>
      <c r="W2394" s="15"/>
      <c r="X2394" s="16"/>
      <c r="Y2394" s="17"/>
    </row>
    <row r="2395" spans="14:25" x14ac:dyDescent="0.25">
      <c r="N2395" s="61"/>
      <c r="O2395" s="61"/>
      <c r="P2395" s="62"/>
      <c r="Q2395" s="13"/>
      <c r="R2395" s="13"/>
      <c r="S2395" s="14"/>
      <c r="T2395" s="1"/>
      <c r="U2395" s="15"/>
      <c r="V2395" s="1"/>
      <c r="W2395" s="15"/>
      <c r="X2395" s="16"/>
      <c r="Y2395" s="17"/>
    </row>
    <row r="2396" spans="14:25" x14ac:dyDescent="0.25">
      <c r="N2396" s="61"/>
      <c r="O2396" s="61"/>
      <c r="P2396" s="62"/>
      <c r="Q2396" s="13"/>
      <c r="R2396" s="13"/>
      <c r="S2396" s="14"/>
      <c r="T2396" s="1"/>
      <c r="U2396" s="15"/>
      <c r="V2396" s="1"/>
      <c r="W2396" s="15"/>
      <c r="X2396" s="16"/>
      <c r="Y2396" s="17"/>
    </row>
    <row r="2397" spans="14:25" x14ac:dyDescent="0.25">
      <c r="N2397" s="61"/>
      <c r="O2397" s="61"/>
      <c r="P2397" s="62"/>
      <c r="Q2397" s="13"/>
      <c r="R2397" s="13"/>
      <c r="S2397" s="14"/>
      <c r="T2397" s="1"/>
      <c r="U2397" s="15"/>
      <c r="V2397" s="1"/>
      <c r="W2397" s="15"/>
      <c r="X2397" s="16"/>
      <c r="Y2397" s="17"/>
    </row>
    <row r="2398" spans="14:25" x14ac:dyDescent="0.25">
      <c r="N2398" s="61"/>
      <c r="O2398" s="61"/>
      <c r="P2398" s="62"/>
      <c r="Q2398" s="13"/>
      <c r="R2398" s="13"/>
      <c r="S2398" s="14"/>
      <c r="T2398" s="1"/>
      <c r="U2398" s="15"/>
      <c r="V2398" s="1"/>
      <c r="W2398" s="15"/>
      <c r="X2398" s="16"/>
      <c r="Y2398" s="17"/>
    </row>
    <row r="2399" spans="14:25" x14ac:dyDescent="0.25">
      <c r="N2399" s="61"/>
      <c r="O2399" s="61"/>
      <c r="P2399" s="62"/>
      <c r="Q2399" s="13"/>
      <c r="R2399" s="13"/>
      <c r="S2399" s="14"/>
      <c r="T2399" s="1"/>
      <c r="U2399" s="15"/>
      <c r="V2399" s="1"/>
      <c r="W2399" s="15"/>
      <c r="X2399" s="16"/>
      <c r="Y2399" s="17"/>
    </row>
    <row r="2400" spans="14:25" x14ac:dyDescent="0.25">
      <c r="N2400" s="61"/>
      <c r="O2400" s="61"/>
      <c r="P2400" s="62"/>
      <c r="Q2400" s="13"/>
      <c r="R2400" s="13"/>
      <c r="S2400" s="14"/>
      <c r="T2400" s="1"/>
      <c r="U2400" s="15"/>
      <c r="V2400" s="1"/>
      <c r="W2400" s="15"/>
      <c r="X2400" s="16"/>
      <c r="Y2400" s="17"/>
    </row>
    <row r="2401" spans="14:25" x14ac:dyDescent="0.25">
      <c r="N2401" s="61"/>
      <c r="O2401" s="61"/>
      <c r="P2401" s="62"/>
      <c r="Q2401" s="13"/>
      <c r="R2401" s="13"/>
      <c r="S2401" s="14"/>
      <c r="T2401" s="1"/>
      <c r="U2401" s="15"/>
      <c r="V2401" s="1"/>
      <c r="W2401" s="15"/>
      <c r="X2401" s="16"/>
      <c r="Y2401" s="17"/>
    </row>
    <row r="2402" spans="14:25" x14ac:dyDescent="0.25">
      <c r="N2402" s="61"/>
      <c r="O2402" s="61"/>
      <c r="P2402" s="62"/>
      <c r="Q2402" s="13"/>
      <c r="R2402" s="13"/>
      <c r="S2402" s="14"/>
      <c r="T2402" s="1"/>
      <c r="U2402" s="15"/>
      <c r="V2402" s="1"/>
      <c r="W2402" s="15"/>
      <c r="X2402" s="16"/>
      <c r="Y2402" s="17"/>
    </row>
    <row r="2403" spans="14:25" x14ac:dyDescent="0.25">
      <c r="N2403" s="61"/>
      <c r="O2403" s="61"/>
      <c r="P2403" s="62"/>
      <c r="Q2403" s="13"/>
      <c r="R2403" s="13"/>
      <c r="S2403" s="14"/>
      <c r="T2403" s="1"/>
      <c r="U2403" s="15"/>
      <c r="V2403" s="1"/>
      <c r="W2403" s="15"/>
      <c r="X2403" s="16"/>
      <c r="Y2403" s="17"/>
    </row>
    <row r="2404" spans="14:25" x14ac:dyDescent="0.25">
      <c r="N2404" s="61"/>
      <c r="O2404" s="61"/>
      <c r="P2404" s="62"/>
      <c r="Q2404" s="13"/>
      <c r="R2404" s="13"/>
      <c r="S2404" s="14"/>
      <c r="T2404" s="1"/>
      <c r="U2404" s="15"/>
      <c r="V2404" s="1"/>
      <c r="W2404" s="15"/>
      <c r="X2404" s="16"/>
      <c r="Y2404" s="17"/>
    </row>
    <row r="2405" spans="14:25" x14ac:dyDescent="0.25">
      <c r="N2405" s="61"/>
      <c r="O2405" s="61"/>
      <c r="P2405" s="62"/>
      <c r="Q2405" s="13"/>
      <c r="R2405" s="13"/>
      <c r="S2405" s="14"/>
      <c r="T2405" s="1"/>
      <c r="U2405" s="15"/>
      <c r="V2405" s="1"/>
      <c r="W2405" s="15"/>
      <c r="X2405" s="16"/>
      <c r="Y2405" s="17"/>
    </row>
    <row r="2406" spans="14:25" x14ac:dyDescent="0.25">
      <c r="N2406" s="61"/>
      <c r="O2406" s="61"/>
      <c r="P2406" s="62"/>
      <c r="Q2406" s="13"/>
      <c r="R2406" s="13"/>
      <c r="S2406" s="14"/>
      <c r="T2406" s="1"/>
      <c r="U2406" s="15"/>
      <c r="V2406" s="1"/>
      <c r="W2406" s="15"/>
      <c r="X2406" s="16"/>
      <c r="Y2406" s="17"/>
    </row>
    <row r="2407" spans="14:25" x14ac:dyDescent="0.25">
      <c r="N2407" s="61"/>
      <c r="O2407" s="61"/>
      <c r="P2407" s="62"/>
      <c r="Q2407" s="13"/>
      <c r="R2407" s="13"/>
      <c r="S2407" s="14"/>
      <c r="T2407" s="1"/>
      <c r="U2407" s="15"/>
      <c r="V2407" s="1"/>
      <c r="W2407" s="15"/>
      <c r="X2407" s="16"/>
      <c r="Y2407" s="17"/>
    </row>
    <row r="2408" spans="14:25" x14ac:dyDescent="0.25">
      <c r="N2408" s="61"/>
      <c r="O2408" s="61"/>
      <c r="P2408" s="62"/>
      <c r="Q2408" s="13"/>
      <c r="R2408" s="13"/>
      <c r="S2408" s="14"/>
      <c r="T2408" s="1"/>
      <c r="U2408" s="15"/>
      <c r="V2408" s="1"/>
      <c r="W2408" s="15"/>
      <c r="X2408" s="16"/>
      <c r="Y2408" s="17"/>
    </row>
    <row r="2409" spans="14:25" x14ac:dyDescent="0.25">
      <c r="N2409" s="61"/>
      <c r="O2409" s="61"/>
      <c r="P2409" s="62"/>
      <c r="Q2409" s="13"/>
      <c r="R2409" s="13"/>
      <c r="S2409" s="14"/>
      <c r="T2409" s="1"/>
      <c r="U2409" s="15"/>
      <c r="V2409" s="1"/>
      <c r="W2409" s="15"/>
      <c r="X2409" s="16"/>
      <c r="Y2409" s="17"/>
    </row>
    <row r="2410" spans="14:25" x14ac:dyDescent="0.25">
      <c r="N2410" s="61"/>
      <c r="O2410" s="61"/>
      <c r="P2410" s="62"/>
      <c r="Q2410" s="13"/>
      <c r="R2410" s="13"/>
      <c r="S2410" s="14"/>
      <c r="T2410" s="1"/>
      <c r="U2410" s="15"/>
      <c r="V2410" s="1"/>
      <c r="W2410" s="15"/>
      <c r="X2410" s="16"/>
      <c r="Y2410" s="17"/>
    </row>
    <row r="2411" spans="14:25" x14ac:dyDescent="0.25">
      <c r="N2411" s="61"/>
      <c r="O2411" s="61"/>
      <c r="P2411" s="62"/>
      <c r="Q2411" s="13"/>
      <c r="R2411" s="13"/>
      <c r="S2411" s="14"/>
      <c r="T2411" s="1"/>
      <c r="U2411" s="15"/>
      <c r="V2411" s="1"/>
      <c r="W2411" s="15"/>
      <c r="X2411" s="16"/>
      <c r="Y2411" s="17"/>
    </row>
    <row r="2412" spans="14:25" x14ac:dyDescent="0.25">
      <c r="N2412" s="61"/>
      <c r="O2412" s="61"/>
      <c r="P2412" s="62"/>
      <c r="Q2412" s="13"/>
      <c r="R2412" s="13"/>
      <c r="S2412" s="14"/>
      <c r="T2412" s="1"/>
      <c r="U2412" s="15"/>
      <c r="V2412" s="1"/>
      <c r="W2412" s="15"/>
      <c r="X2412" s="16"/>
      <c r="Y2412" s="17"/>
    </row>
    <row r="2413" spans="14:25" x14ac:dyDescent="0.25">
      <c r="N2413" s="61"/>
      <c r="O2413" s="61"/>
      <c r="P2413" s="62"/>
      <c r="Q2413" s="13"/>
      <c r="R2413" s="13"/>
      <c r="S2413" s="14"/>
      <c r="T2413" s="1"/>
      <c r="U2413" s="15"/>
      <c r="V2413" s="1"/>
      <c r="W2413" s="15"/>
      <c r="X2413" s="16"/>
      <c r="Y2413" s="17"/>
    </row>
    <row r="2414" spans="14:25" x14ac:dyDescent="0.25">
      <c r="N2414" s="61"/>
      <c r="O2414" s="61"/>
      <c r="P2414" s="62"/>
      <c r="Q2414" s="13"/>
      <c r="R2414" s="13"/>
      <c r="S2414" s="14"/>
      <c r="T2414" s="1"/>
      <c r="U2414" s="15"/>
      <c r="V2414" s="1"/>
      <c r="W2414" s="15"/>
      <c r="X2414" s="16"/>
      <c r="Y2414" s="17"/>
    </row>
    <row r="2415" spans="14:25" x14ac:dyDescent="0.25">
      <c r="N2415" s="61"/>
      <c r="O2415" s="61"/>
      <c r="P2415" s="62"/>
      <c r="Q2415" s="13"/>
      <c r="R2415" s="13"/>
      <c r="S2415" s="14"/>
      <c r="T2415" s="1"/>
      <c r="U2415" s="15"/>
      <c r="V2415" s="1"/>
      <c r="W2415" s="15"/>
      <c r="X2415" s="16"/>
      <c r="Y2415" s="17"/>
    </row>
    <row r="2416" spans="14:25" x14ac:dyDescent="0.25">
      <c r="N2416" s="61"/>
      <c r="O2416" s="61"/>
      <c r="P2416" s="62"/>
      <c r="Q2416" s="13"/>
      <c r="R2416" s="13"/>
      <c r="S2416" s="14"/>
      <c r="T2416" s="1"/>
      <c r="U2416" s="15"/>
      <c r="V2416" s="1"/>
      <c r="W2416" s="15"/>
      <c r="X2416" s="16"/>
      <c r="Y2416" s="17"/>
    </row>
    <row r="2417" spans="14:25" x14ac:dyDescent="0.25">
      <c r="N2417" s="61"/>
      <c r="O2417" s="61"/>
      <c r="P2417" s="62"/>
      <c r="Q2417" s="13"/>
      <c r="R2417" s="13"/>
      <c r="S2417" s="14"/>
      <c r="T2417" s="1"/>
      <c r="U2417" s="15"/>
      <c r="V2417" s="1"/>
      <c r="W2417" s="15"/>
      <c r="X2417" s="16"/>
      <c r="Y2417" s="17"/>
    </row>
    <row r="2418" spans="14:25" x14ac:dyDescent="0.25">
      <c r="N2418" s="61"/>
      <c r="O2418" s="61"/>
      <c r="P2418" s="62"/>
      <c r="Q2418" s="13"/>
      <c r="R2418" s="13"/>
      <c r="S2418" s="14"/>
      <c r="T2418" s="1"/>
      <c r="U2418" s="15"/>
      <c r="V2418" s="1"/>
      <c r="W2418" s="15"/>
      <c r="X2418" s="16"/>
      <c r="Y2418" s="17"/>
    </row>
    <row r="2419" spans="14:25" x14ac:dyDescent="0.25">
      <c r="N2419" s="61"/>
      <c r="O2419" s="61"/>
      <c r="P2419" s="62"/>
      <c r="Q2419" s="13"/>
      <c r="R2419" s="13"/>
      <c r="S2419" s="14"/>
      <c r="T2419" s="1"/>
      <c r="U2419" s="15"/>
      <c r="V2419" s="1"/>
      <c r="W2419" s="15"/>
      <c r="X2419" s="16"/>
      <c r="Y2419" s="17"/>
    </row>
    <row r="2420" spans="14:25" x14ac:dyDescent="0.25">
      <c r="N2420" s="61"/>
      <c r="O2420" s="61"/>
      <c r="P2420" s="62"/>
      <c r="Q2420" s="13"/>
      <c r="R2420" s="13"/>
      <c r="S2420" s="14"/>
      <c r="T2420" s="1"/>
      <c r="U2420" s="15"/>
      <c r="V2420" s="1"/>
      <c r="W2420" s="15"/>
      <c r="X2420" s="16"/>
      <c r="Y2420" s="17"/>
    </row>
    <row r="2421" spans="14:25" x14ac:dyDescent="0.25">
      <c r="N2421" s="61"/>
      <c r="O2421" s="61"/>
      <c r="P2421" s="62"/>
      <c r="Q2421" s="13"/>
      <c r="R2421" s="13"/>
      <c r="S2421" s="14"/>
      <c r="T2421" s="1"/>
      <c r="U2421" s="15"/>
      <c r="V2421" s="1"/>
      <c r="W2421" s="15"/>
      <c r="X2421" s="16"/>
      <c r="Y2421" s="17"/>
    </row>
    <row r="2422" spans="14:25" x14ac:dyDescent="0.25">
      <c r="N2422" s="61"/>
      <c r="O2422" s="61"/>
      <c r="P2422" s="62"/>
      <c r="Q2422" s="13"/>
      <c r="R2422" s="13"/>
      <c r="S2422" s="14"/>
      <c r="T2422" s="1"/>
      <c r="U2422" s="15"/>
      <c r="V2422" s="1"/>
      <c r="W2422" s="15"/>
      <c r="X2422" s="16"/>
      <c r="Y2422" s="17"/>
    </row>
    <row r="2423" spans="14:25" x14ac:dyDescent="0.25">
      <c r="N2423" s="61"/>
      <c r="O2423" s="61"/>
      <c r="P2423" s="62"/>
      <c r="Q2423" s="13"/>
      <c r="R2423" s="13"/>
      <c r="S2423" s="14"/>
      <c r="T2423" s="1"/>
      <c r="U2423" s="15"/>
      <c r="V2423" s="1"/>
      <c r="W2423" s="15"/>
      <c r="X2423" s="16"/>
      <c r="Y2423" s="17"/>
    </row>
    <row r="2424" spans="14:25" x14ac:dyDescent="0.25">
      <c r="N2424" s="61"/>
      <c r="O2424" s="61"/>
      <c r="P2424" s="62"/>
      <c r="Q2424" s="13"/>
      <c r="R2424" s="13"/>
      <c r="S2424" s="14"/>
      <c r="T2424" s="1"/>
      <c r="U2424" s="15"/>
      <c r="V2424" s="1"/>
      <c r="W2424" s="15"/>
      <c r="X2424" s="16"/>
      <c r="Y2424" s="17"/>
    </row>
  </sheetData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9C09-F533-4462-A101-419CAD836847}">
  <sheetPr codeName="Лист9">
    <pageSetUpPr fitToPage="1"/>
  </sheetPr>
  <dimension ref="A1:Q119"/>
  <sheetViews>
    <sheetView workbookViewId="0">
      <selection activeCell="I76" sqref="I76"/>
    </sheetView>
  </sheetViews>
  <sheetFormatPr defaultRowHeight="15" x14ac:dyDescent="0.25"/>
  <cols>
    <col min="1" max="1" width="9" style="237" customWidth="1"/>
    <col min="2" max="2" width="26" style="237" customWidth="1"/>
    <col min="3" max="3" width="12.28515625" style="237" customWidth="1"/>
    <col min="4" max="4" width="23.140625" style="237" customWidth="1"/>
    <col min="5" max="5" width="11.7109375" style="237" customWidth="1"/>
    <col min="6" max="6" width="9.140625" style="237"/>
    <col min="7" max="7" width="12" style="237" bestFit="1" customWidth="1"/>
    <col min="8" max="8" width="13.5703125" style="245" customWidth="1"/>
    <col min="9" max="9" width="12.85546875" style="237" customWidth="1"/>
    <col min="10" max="10" width="13.7109375" style="237" customWidth="1"/>
    <col min="11" max="11" width="16.7109375" style="237" customWidth="1"/>
    <col min="12" max="16384" width="9.140625" style="237"/>
  </cols>
  <sheetData>
    <row r="1" spans="1:17" x14ac:dyDescent="0.25">
      <c r="A1" s="67" t="s">
        <v>248</v>
      </c>
      <c r="B1" s="66" t="s">
        <v>249</v>
      </c>
      <c r="C1" s="67" t="s">
        <v>33</v>
      </c>
      <c r="D1" s="67" t="s">
        <v>14</v>
      </c>
      <c r="E1" s="67" t="s">
        <v>37</v>
      </c>
      <c r="F1" s="67" t="s">
        <v>35</v>
      </c>
      <c r="G1" s="67" t="s">
        <v>34</v>
      </c>
      <c r="H1" s="240" t="s">
        <v>36</v>
      </c>
      <c r="I1" s="66" t="s">
        <v>38</v>
      </c>
      <c r="J1" s="67" t="s">
        <v>56</v>
      </c>
    </row>
    <row r="2" spans="1:17" x14ac:dyDescent="0.25">
      <c r="A2" s="68">
        <v>1</v>
      </c>
      <c r="B2" s="69" t="s">
        <v>250</v>
      </c>
      <c r="C2" s="69" t="s">
        <v>251</v>
      </c>
      <c r="D2" s="69" t="s">
        <v>252</v>
      </c>
      <c r="E2" s="69" t="s">
        <v>253</v>
      </c>
      <c r="F2" s="69">
        <v>2023</v>
      </c>
      <c r="G2" s="69">
        <v>4116</v>
      </c>
      <c r="H2" s="143">
        <v>46174</v>
      </c>
      <c r="I2" s="69"/>
      <c r="J2" s="69"/>
      <c r="K2" s="70"/>
    </row>
    <row r="3" spans="1:17" x14ac:dyDescent="0.25">
      <c r="A3" s="68">
        <v>2</v>
      </c>
      <c r="B3" s="69" t="s">
        <v>2</v>
      </c>
      <c r="C3" s="69" t="s">
        <v>22</v>
      </c>
      <c r="D3" s="69" t="s">
        <v>23</v>
      </c>
      <c r="E3" s="69" t="s">
        <v>24</v>
      </c>
      <c r="F3" s="69">
        <v>2019</v>
      </c>
      <c r="G3" s="69">
        <v>237856</v>
      </c>
      <c r="H3" s="143">
        <v>46175</v>
      </c>
      <c r="I3" s="69"/>
      <c r="J3" s="69"/>
      <c r="K3" s="24"/>
      <c r="N3" s="24"/>
    </row>
    <row r="4" spans="1:17" x14ac:dyDescent="0.25">
      <c r="A4" s="68">
        <v>3</v>
      </c>
      <c r="B4" s="69" t="s">
        <v>1</v>
      </c>
      <c r="C4" s="69" t="s">
        <v>254</v>
      </c>
      <c r="D4" s="69" t="s">
        <v>255</v>
      </c>
      <c r="E4" s="69" t="s">
        <v>256</v>
      </c>
      <c r="F4" s="69">
        <v>2016</v>
      </c>
      <c r="G4" s="69">
        <v>142626</v>
      </c>
      <c r="H4" s="143">
        <v>46175</v>
      </c>
      <c r="I4" s="69"/>
      <c r="J4" s="69"/>
      <c r="K4" s="24"/>
      <c r="N4" s="24"/>
    </row>
    <row r="5" spans="1:17" x14ac:dyDescent="0.25">
      <c r="A5" s="71">
        <v>4</v>
      </c>
      <c r="B5" s="69" t="s">
        <v>2</v>
      </c>
      <c r="C5" s="69" t="s">
        <v>137</v>
      </c>
      <c r="D5" s="69" t="s">
        <v>138</v>
      </c>
      <c r="E5" s="69" t="s">
        <v>139</v>
      </c>
      <c r="F5" s="69">
        <v>2020</v>
      </c>
      <c r="G5" s="69">
        <v>209733</v>
      </c>
      <c r="H5" s="143">
        <v>46176</v>
      </c>
      <c r="I5" s="69"/>
      <c r="J5" s="69"/>
      <c r="K5" s="24"/>
      <c r="N5" s="24"/>
    </row>
    <row r="6" spans="1:17" x14ac:dyDescent="0.25">
      <c r="A6" s="68">
        <v>5</v>
      </c>
      <c r="B6" s="68" t="s">
        <v>1</v>
      </c>
      <c r="C6" s="71" t="s">
        <v>57</v>
      </c>
      <c r="D6" s="69" t="s">
        <v>58</v>
      </c>
      <c r="E6" s="72" t="s">
        <v>59</v>
      </c>
      <c r="F6" s="72">
        <v>2019</v>
      </c>
      <c r="G6" s="69">
        <v>138364</v>
      </c>
      <c r="H6" s="143">
        <v>46176</v>
      </c>
      <c r="I6" s="69"/>
      <c r="J6" s="69"/>
      <c r="K6" s="70" t="s">
        <v>1</v>
      </c>
      <c r="L6" s="237" t="s">
        <v>57</v>
      </c>
      <c r="N6" s="265"/>
      <c r="O6" s="262" t="s">
        <v>214</v>
      </c>
      <c r="P6" s="263" t="s">
        <v>215</v>
      </c>
      <c r="Q6" s="264"/>
    </row>
    <row r="7" spans="1:17" x14ac:dyDescent="0.25">
      <c r="A7" s="68">
        <v>6</v>
      </c>
      <c r="B7" s="69" t="s">
        <v>2</v>
      </c>
      <c r="C7" s="69" t="s">
        <v>134</v>
      </c>
      <c r="D7" s="69" t="s">
        <v>135</v>
      </c>
      <c r="E7" s="69" t="s">
        <v>136</v>
      </c>
      <c r="F7" s="69">
        <v>2018</v>
      </c>
      <c r="G7" s="69">
        <v>320689</v>
      </c>
      <c r="H7" s="143">
        <v>46176</v>
      </c>
      <c r="I7" s="69"/>
      <c r="J7" s="69"/>
      <c r="K7" s="24"/>
      <c r="N7" s="265"/>
      <c r="O7" s="262" t="s">
        <v>128</v>
      </c>
      <c r="P7" s="263" t="s">
        <v>190</v>
      </c>
      <c r="Q7" s="264"/>
    </row>
    <row r="8" spans="1:17" x14ac:dyDescent="0.25">
      <c r="A8" s="68">
        <v>7</v>
      </c>
      <c r="B8" s="68" t="s">
        <v>67</v>
      </c>
      <c r="C8" s="68" t="s">
        <v>68</v>
      </c>
      <c r="D8" s="69" t="s">
        <v>69</v>
      </c>
      <c r="E8" s="69" t="s">
        <v>70</v>
      </c>
      <c r="F8" s="69">
        <v>2020</v>
      </c>
      <c r="G8" s="69">
        <v>40010</v>
      </c>
      <c r="H8" s="143">
        <v>46176</v>
      </c>
      <c r="I8" s="69"/>
      <c r="J8" s="69"/>
      <c r="L8" s="24" t="s">
        <v>67</v>
      </c>
      <c r="M8" s="237" t="s">
        <v>68</v>
      </c>
      <c r="O8" s="263" t="s">
        <v>123</v>
      </c>
      <c r="P8" s="263" t="s">
        <v>133</v>
      </c>
    </row>
    <row r="9" spans="1:17" x14ac:dyDescent="0.25">
      <c r="A9" s="71">
        <v>8</v>
      </c>
      <c r="B9" s="69" t="s">
        <v>132</v>
      </c>
      <c r="C9" s="69" t="s">
        <v>257</v>
      </c>
      <c r="D9" s="69" t="s">
        <v>258</v>
      </c>
      <c r="E9" s="69" t="s">
        <v>259</v>
      </c>
      <c r="F9" s="69">
        <v>2014</v>
      </c>
      <c r="G9" s="69">
        <v>356419</v>
      </c>
      <c r="H9" s="143">
        <v>46177</v>
      </c>
      <c r="I9" s="69"/>
      <c r="J9" s="69"/>
      <c r="K9" s="70"/>
      <c r="O9" s="263" t="s">
        <v>216</v>
      </c>
      <c r="P9" s="263" t="s">
        <v>217</v>
      </c>
    </row>
    <row r="10" spans="1:17" x14ac:dyDescent="0.25">
      <c r="A10" s="68">
        <v>9</v>
      </c>
      <c r="B10" s="69" t="s">
        <v>230</v>
      </c>
      <c r="C10" s="69" t="s">
        <v>231</v>
      </c>
      <c r="D10" s="69" t="s">
        <v>232</v>
      </c>
      <c r="E10" s="69" t="s">
        <v>233</v>
      </c>
      <c r="F10" s="69">
        <v>2019</v>
      </c>
      <c r="G10" s="69">
        <v>126256</v>
      </c>
      <c r="H10" s="143">
        <v>46177</v>
      </c>
      <c r="I10" s="69"/>
      <c r="J10" s="69"/>
      <c r="K10" s="70"/>
      <c r="N10" s="70"/>
    </row>
    <row r="11" spans="1:17" x14ac:dyDescent="0.25">
      <c r="A11" s="68">
        <v>10</v>
      </c>
      <c r="B11" s="68" t="s">
        <v>30</v>
      </c>
      <c r="C11" s="71" t="s">
        <v>106</v>
      </c>
      <c r="D11" s="69" t="s">
        <v>107</v>
      </c>
      <c r="E11" s="72" t="s">
        <v>108</v>
      </c>
      <c r="F11" s="72">
        <v>2015</v>
      </c>
      <c r="G11" s="239">
        <v>275410</v>
      </c>
      <c r="H11" s="143">
        <v>46177</v>
      </c>
      <c r="I11" s="69"/>
      <c r="J11" s="69"/>
      <c r="K11" s="24" t="s">
        <v>30</v>
      </c>
      <c r="L11" s="237" t="s">
        <v>106</v>
      </c>
      <c r="N11" s="70"/>
    </row>
    <row r="12" spans="1:17" x14ac:dyDescent="0.25">
      <c r="A12" s="68">
        <v>11</v>
      </c>
      <c r="B12" s="68" t="s">
        <v>213</v>
      </c>
      <c r="C12" s="68" t="s">
        <v>3</v>
      </c>
      <c r="D12" s="69" t="s">
        <v>4</v>
      </c>
      <c r="E12" s="69" t="s">
        <v>5</v>
      </c>
      <c r="F12" s="69">
        <v>2017</v>
      </c>
      <c r="G12" s="69">
        <v>176666</v>
      </c>
      <c r="H12" s="143">
        <v>46177</v>
      </c>
      <c r="I12" s="69"/>
      <c r="J12" s="241"/>
      <c r="L12" s="242" t="s">
        <v>213</v>
      </c>
      <c r="M12" s="237" t="s">
        <v>3</v>
      </c>
      <c r="N12" s="70"/>
    </row>
    <row r="13" spans="1:17" x14ac:dyDescent="0.25">
      <c r="A13" s="71">
        <v>12</v>
      </c>
      <c r="B13" s="68" t="s">
        <v>234</v>
      </c>
      <c r="C13" s="68" t="s">
        <v>235</v>
      </c>
      <c r="D13" s="69" t="s">
        <v>236</v>
      </c>
      <c r="E13" s="69" t="s">
        <v>237</v>
      </c>
      <c r="F13" s="69">
        <v>2020</v>
      </c>
      <c r="G13" s="69">
        <v>108974</v>
      </c>
      <c r="H13" s="143">
        <v>46178</v>
      </c>
      <c r="I13" s="69"/>
      <c r="J13" s="69"/>
      <c r="K13" s="242"/>
      <c r="N13" s="242"/>
    </row>
    <row r="14" spans="1:17" x14ac:dyDescent="0.25">
      <c r="A14" s="68">
        <v>13</v>
      </c>
      <c r="B14" s="69" t="s">
        <v>1</v>
      </c>
      <c r="C14" s="69" t="s">
        <v>140</v>
      </c>
      <c r="D14" s="69" t="s">
        <v>141</v>
      </c>
      <c r="E14" s="69" t="s">
        <v>142</v>
      </c>
      <c r="F14" s="69">
        <v>2019</v>
      </c>
      <c r="G14" s="69">
        <v>138585</v>
      </c>
      <c r="H14" s="143">
        <v>46178</v>
      </c>
      <c r="I14" s="69"/>
      <c r="J14" s="69"/>
    </row>
    <row r="15" spans="1:17" x14ac:dyDescent="0.25">
      <c r="A15" s="68">
        <v>14</v>
      </c>
      <c r="B15" s="69" t="s">
        <v>1</v>
      </c>
      <c r="C15" s="69" t="s">
        <v>39</v>
      </c>
      <c r="D15" s="69" t="s">
        <v>40</v>
      </c>
      <c r="E15" s="69" t="s">
        <v>41</v>
      </c>
      <c r="F15" s="69">
        <v>2019</v>
      </c>
      <c r="G15" s="69">
        <v>132853</v>
      </c>
      <c r="H15" s="143">
        <v>46178</v>
      </c>
      <c r="I15" s="69"/>
      <c r="J15" s="69"/>
    </row>
    <row r="16" spans="1:17" x14ac:dyDescent="0.25">
      <c r="A16" s="68">
        <v>15</v>
      </c>
      <c r="B16" s="68" t="s">
        <v>143</v>
      </c>
      <c r="C16" s="71" t="s">
        <v>144</v>
      </c>
      <c r="D16" s="69" t="s">
        <v>145</v>
      </c>
      <c r="E16" s="72" t="s">
        <v>146</v>
      </c>
      <c r="F16" s="72">
        <v>2020</v>
      </c>
      <c r="G16" s="239">
        <v>159663</v>
      </c>
      <c r="H16" s="143">
        <v>46178</v>
      </c>
      <c r="I16" s="69"/>
      <c r="J16" s="69"/>
      <c r="K16" s="70" t="s">
        <v>143</v>
      </c>
      <c r="L16" s="237" t="s">
        <v>144</v>
      </c>
    </row>
    <row r="17" spans="1:13" x14ac:dyDescent="0.25">
      <c r="A17" s="71">
        <v>16</v>
      </c>
      <c r="B17" s="69" t="s">
        <v>170</v>
      </c>
      <c r="C17" s="69" t="s">
        <v>147</v>
      </c>
      <c r="D17" s="69" t="s">
        <v>148</v>
      </c>
      <c r="E17" s="69" t="s">
        <v>149</v>
      </c>
      <c r="F17" s="69">
        <v>2013</v>
      </c>
      <c r="G17" s="69">
        <v>201139</v>
      </c>
      <c r="H17" s="143">
        <v>46179</v>
      </c>
      <c r="I17" s="69"/>
      <c r="J17" s="69"/>
      <c r="K17" s="243"/>
    </row>
    <row r="18" spans="1:13" x14ac:dyDescent="0.25">
      <c r="A18" s="68">
        <v>17</v>
      </c>
      <c r="B18" s="68" t="s">
        <v>128</v>
      </c>
      <c r="C18" s="68" t="s">
        <v>129</v>
      </c>
      <c r="D18" s="69" t="s">
        <v>130</v>
      </c>
      <c r="E18" s="69" t="s">
        <v>131</v>
      </c>
      <c r="F18" s="69">
        <v>2021</v>
      </c>
      <c r="G18" s="69">
        <v>192073</v>
      </c>
      <c r="H18" s="143">
        <v>46179</v>
      </c>
      <c r="I18" s="69"/>
      <c r="J18" s="69"/>
    </row>
    <row r="19" spans="1:13" x14ac:dyDescent="0.25">
      <c r="A19" s="68">
        <v>18</v>
      </c>
      <c r="B19" s="68" t="s">
        <v>63</v>
      </c>
      <c r="C19" s="68" t="s">
        <v>64</v>
      </c>
      <c r="D19" s="69" t="s">
        <v>65</v>
      </c>
      <c r="E19" s="69" t="s">
        <v>66</v>
      </c>
      <c r="F19" s="69">
        <v>2023</v>
      </c>
      <c r="G19" s="69">
        <v>22625</v>
      </c>
      <c r="H19" s="143">
        <v>46179</v>
      </c>
      <c r="I19" s="69"/>
      <c r="J19" s="69"/>
      <c r="K19" s="237" t="s">
        <v>63</v>
      </c>
      <c r="L19" s="237" t="s">
        <v>64</v>
      </c>
    </row>
    <row r="20" spans="1:13" x14ac:dyDescent="0.25">
      <c r="A20" s="68">
        <v>19</v>
      </c>
      <c r="B20" s="69" t="s">
        <v>2</v>
      </c>
      <c r="C20" s="69" t="s">
        <v>60</v>
      </c>
      <c r="D20" s="69" t="s">
        <v>61</v>
      </c>
      <c r="E20" s="69" t="s">
        <v>62</v>
      </c>
      <c r="F20" s="69">
        <v>2020</v>
      </c>
      <c r="G20" s="69">
        <v>162007</v>
      </c>
      <c r="H20" s="143">
        <v>46179</v>
      </c>
      <c r="I20" s="69"/>
      <c r="J20" s="69"/>
      <c r="K20" s="24"/>
    </row>
    <row r="21" spans="1:13" x14ac:dyDescent="0.25">
      <c r="A21" s="71">
        <v>20</v>
      </c>
      <c r="B21" s="69" t="s">
        <v>102</v>
      </c>
      <c r="C21" s="69" t="s">
        <v>103</v>
      </c>
      <c r="D21" s="69" t="s">
        <v>104</v>
      </c>
      <c r="E21" s="69" t="s">
        <v>105</v>
      </c>
      <c r="F21" s="69">
        <v>2016</v>
      </c>
      <c r="G21" s="69">
        <v>137401</v>
      </c>
      <c r="H21" s="143">
        <v>46181</v>
      </c>
      <c r="I21" s="69"/>
      <c r="J21" s="69"/>
      <c r="K21" s="24"/>
    </row>
    <row r="22" spans="1:13" x14ac:dyDescent="0.25">
      <c r="A22" s="68">
        <v>21</v>
      </c>
      <c r="B22" s="69" t="s">
        <v>124</v>
      </c>
      <c r="C22" s="69" t="s">
        <v>125</v>
      </c>
      <c r="D22" s="69" t="s">
        <v>126</v>
      </c>
      <c r="E22" s="69" t="s">
        <v>127</v>
      </c>
      <c r="F22" s="69">
        <v>2020</v>
      </c>
      <c r="G22" s="69">
        <v>35665</v>
      </c>
      <c r="H22" s="143">
        <v>46181</v>
      </c>
      <c r="I22" s="69"/>
      <c r="J22" s="69"/>
      <c r="L22" s="24" t="s">
        <v>124</v>
      </c>
      <c r="M22" s="237" t="s">
        <v>125</v>
      </c>
    </row>
    <row r="23" spans="1:13" x14ac:dyDescent="0.25">
      <c r="A23" s="68">
        <v>22</v>
      </c>
      <c r="B23" s="68" t="s">
        <v>42</v>
      </c>
      <c r="C23" s="71" t="s">
        <v>43</v>
      </c>
      <c r="D23" s="69" t="s">
        <v>44</v>
      </c>
      <c r="E23" s="72" t="s">
        <v>45</v>
      </c>
      <c r="F23" s="72">
        <v>2018</v>
      </c>
      <c r="G23" s="239">
        <v>142653</v>
      </c>
      <c r="H23" s="143">
        <v>46182</v>
      </c>
      <c r="I23" s="69"/>
      <c r="J23" s="69"/>
      <c r="K23" s="24" t="s">
        <v>42</v>
      </c>
      <c r="L23" s="237" t="s">
        <v>43</v>
      </c>
    </row>
    <row r="24" spans="1:13" x14ac:dyDescent="0.25">
      <c r="A24" s="68">
        <v>23</v>
      </c>
      <c r="B24" s="68" t="s">
        <v>6</v>
      </c>
      <c r="C24" s="68" t="s">
        <v>55</v>
      </c>
      <c r="D24" s="69" t="s">
        <v>115</v>
      </c>
      <c r="E24" s="69" t="s">
        <v>114</v>
      </c>
      <c r="F24" s="69">
        <v>2014</v>
      </c>
      <c r="G24" s="69">
        <v>344213</v>
      </c>
      <c r="H24" s="143">
        <v>46182</v>
      </c>
      <c r="I24" s="69"/>
      <c r="J24" s="69"/>
      <c r="K24" s="70" t="s">
        <v>6</v>
      </c>
      <c r="L24" s="237" t="s">
        <v>55</v>
      </c>
    </row>
    <row r="25" spans="1:13" x14ac:dyDescent="0.25">
      <c r="A25" s="71">
        <v>24</v>
      </c>
      <c r="B25" s="69" t="s">
        <v>166</v>
      </c>
      <c r="C25" s="69" t="s">
        <v>167</v>
      </c>
      <c r="D25" s="69" t="s">
        <v>168</v>
      </c>
      <c r="E25" s="69" t="s">
        <v>169</v>
      </c>
      <c r="F25" s="69">
        <v>2015</v>
      </c>
      <c r="G25" s="69">
        <v>242508</v>
      </c>
      <c r="H25" s="143">
        <v>46182</v>
      </c>
      <c r="I25" s="69"/>
      <c r="J25" s="69"/>
      <c r="K25" s="243"/>
    </row>
    <row r="26" spans="1:13" x14ac:dyDescent="0.25">
      <c r="A26" s="68">
        <v>25</v>
      </c>
      <c r="B26" s="69" t="s">
        <v>71</v>
      </c>
      <c r="C26" s="69" t="s">
        <v>72</v>
      </c>
      <c r="D26" s="69" t="s">
        <v>73</v>
      </c>
      <c r="E26" s="69" t="s">
        <v>74</v>
      </c>
      <c r="F26" s="69">
        <v>2020</v>
      </c>
      <c r="G26" s="69">
        <v>21782</v>
      </c>
      <c r="H26" s="143">
        <v>46182</v>
      </c>
      <c r="I26" s="69"/>
      <c r="J26" s="69"/>
    </row>
    <row r="27" spans="1:13" x14ac:dyDescent="0.25">
      <c r="A27" s="68">
        <v>26</v>
      </c>
      <c r="B27" s="68" t="s">
        <v>213</v>
      </c>
      <c r="C27" s="68" t="s">
        <v>238</v>
      </c>
      <c r="D27" s="69" t="s">
        <v>239</v>
      </c>
      <c r="E27" s="69" t="s">
        <v>240</v>
      </c>
      <c r="F27" s="69">
        <v>2019</v>
      </c>
      <c r="G27" s="69">
        <v>232858</v>
      </c>
      <c r="H27" s="143">
        <v>46183</v>
      </c>
      <c r="I27" s="69"/>
      <c r="J27" s="69"/>
    </row>
    <row r="28" spans="1:13" x14ac:dyDescent="0.25">
      <c r="A28" s="68">
        <v>27</v>
      </c>
      <c r="B28" s="69" t="s">
        <v>241</v>
      </c>
      <c r="C28" s="69" t="s">
        <v>242</v>
      </c>
      <c r="D28" s="69" t="s">
        <v>243</v>
      </c>
      <c r="E28" s="69" t="s">
        <v>244</v>
      </c>
      <c r="F28" s="69">
        <v>2015</v>
      </c>
      <c r="G28" s="69">
        <v>365954</v>
      </c>
      <c r="H28" s="143">
        <v>46183</v>
      </c>
      <c r="I28" s="69"/>
      <c r="J28" s="69"/>
    </row>
    <row r="29" spans="1:13" x14ac:dyDescent="0.25">
      <c r="A29" s="68">
        <v>28</v>
      </c>
      <c r="B29" s="69" t="s">
        <v>128</v>
      </c>
      <c r="C29" s="69" t="s">
        <v>190</v>
      </c>
      <c r="D29" s="69" t="s">
        <v>362</v>
      </c>
      <c r="E29" s="69" t="s">
        <v>363</v>
      </c>
      <c r="F29" s="69">
        <v>2019</v>
      </c>
      <c r="G29" s="69">
        <v>230918</v>
      </c>
      <c r="H29" s="143">
        <v>46183</v>
      </c>
      <c r="I29" s="69"/>
      <c r="J29" s="69"/>
    </row>
    <row r="30" spans="1:13" x14ac:dyDescent="0.25">
      <c r="A30" s="71">
        <v>29</v>
      </c>
      <c r="B30" s="69" t="s">
        <v>2</v>
      </c>
      <c r="C30" s="69" t="s">
        <v>7</v>
      </c>
      <c r="D30" s="69" t="s">
        <v>8</v>
      </c>
      <c r="E30" s="69" t="s">
        <v>9</v>
      </c>
      <c r="F30" s="69">
        <v>2021</v>
      </c>
      <c r="G30" s="69">
        <v>217051</v>
      </c>
      <c r="H30" s="143">
        <v>46184</v>
      </c>
      <c r="I30" s="69"/>
      <c r="J30" s="69"/>
    </row>
    <row r="31" spans="1:13" x14ac:dyDescent="0.25">
      <c r="A31" s="68">
        <v>30</v>
      </c>
      <c r="B31" s="69" t="s">
        <v>123</v>
      </c>
      <c r="C31" s="69" t="s">
        <v>245</v>
      </c>
      <c r="D31" s="69" t="s">
        <v>246</v>
      </c>
      <c r="E31" s="69" t="s">
        <v>247</v>
      </c>
      <c r="F31" s="69">
        <v>2018</v>
      </c>
      <c r="G31" s="69">
        <v>232487</v>
      </c>
      <c r="H31" s="143">
        <v>46184</v>
      </c>
      <c r="I31" s="69"/>
      <c r="J31" s="69"/>
    </row>
    <row r="32" spans="1:13" x14ac:dyDescent="0.25">
      <c r="A32" s="68">
        <v>31</v>
      </c>
      <c r="B32" s="69" t="s">
        <v>216</v>
      </c>
      <c r="C32" s="69" t="s">
        <v>217</v>
      </c>
      <c r="D32" s="69" t="s">
        <v>364</v>
      </c>
      <c r="E32" s="69" t="s">
        <v>365</v>
      </c>
      <c r="F32" s="69">
        <v>2015</v>
      </c>
      <c r="G32" s="69">
        <v>283293</v>
      </c>
      <c r="H32" s="143">
        <v>46184</v>
      </c>
      <c r="I32" s="69"/>
      <c r="J32" s="69"/>
    </row>
    <row r="33" spans="1:10" x14ac:dyDescent="0.25">
      <c r="A33" s="68">
        <v>32</v>
      </c>
      <c r="B33" s="69" t="s">
        <v>366</v>
      </c>
      <c r="C33" s="69" t="s">
        <v>367</v>
      </c>
      <c r="D33" s="69" t="s">
        <v>368</v>
      </c>
      <c r="E33" s="69" t="s">
        <v>369</v>
      </c>
      <c r="F33" s="69">
        <v>2013</v>
      </c>
      <c r="G33" s="69">
        <v>302107</v>
      </c>
      <c r="H33" s="143">
        <v>46184</v>
      </c>
      <c r="I33" s="69"/>
      <c r="J33" s="69"/>
    </row>
    <row r="34" spans="1:10" x14ac:dyDescent="0.25">
      <c r="A34" s="68">
        <v>33</v>
      </c>
      <c r="B34" s="69" t="s">
        <v>1</v>
      </c>
      <c r="C34" s="69" t="s">
        <v>140</v>
      </c>
      <c r="D34" s="69" t="s">
        <v>141</v>
      </c>
      <c r="E34" s="69" t="s">
        <v>142</v>
      </c>
      <c r="F34" s="69">
        <v>2019</v>
      </c>
      <c r="G34" s="69">
        <v>139503</v>
      </c>
      <c r="H34" s="143">
        <v>46185</v>
      </c>
      <c r="I34" s="69"/>
      <c r="J34" s="69"/>
    </row>
    <row r="35" spans="1:10" x14ac:dyDescent="0.25">
      <c r="A35" s="71">
        <v>34</v>
      </c>
      <c r="B35" s="69" t="s">
        <v>1</v>
      </c>
      <c r="C35" s="71" t="s">
        <v>370</v>
      </c>
      <c r="D35" s="69" t="s">
        <v>371</v>
      </c>
      <c r="E35" s="72" t="s">
        <v>372</v>
      </c>
      <c r="F35" s="72">
        <v>2019</v>
      </c>
      <c r="G35" s="239">
        <v>103143</v>
      </c>
      <c r="H35" s="143">
        <v>46186</v>
      </c>
      <c r="I35" s="69"/>
      <c r="J35" s="69"/>
    </row>
    <row r="36" spans="1:10" x14ac:dyDescent="0.25">
      <c r="A36" s="68">
        <v>35</v>
      </c>
      <c r="B36" s="68" t="s">
        <v>2</v>
      </c>
      <c r="C36" s="68" t="s">
        <v>373</v>
      </c>
      <c r="D36" s="69" t="s">
        <v>374</v>
      </c>
      <c r="E36" s="69" t="s">
        <v>375</v>
      </c>
      <c r="F36" s="69">
        <v>2020</v>
      </c>
      <c r="G36" s="69">
        <v>231159</v>
      </c>
      <c r="H36" s="143">
        <v>46188</v>
      </c>
      <c r="I36" s="69"/>
      <c r="J36" s="69"/>
    </row>
    <row r="37" spans="1:10" x14ac:dyDescent="0.25">
      <c r="A37" s="68">
        <v>36</v>
      </c>
      <c r="B37" s="68" t="s">
        <v>2</v>
      </c>
      <c r="C37" s="69" t="s">
        <v>22</v>
      </c>
      <c r="D37" s="69" t="s">
        <v>23</v>
      </c>
      <c r="E37" s="69" t="s">
        <v>24</v>
      </c>
      <c r="F37" s="69">
        <v>2019</v>
      </c>
      <c r="G37" s="69">
        <v>239224</v>
      </c>
      <c r="H37" s="143">
        <v>46188</v>
      </c>
      <c r="I37" s="69"/>
      <c r="J37" s="69"/>
    </row>
    <row r="38" spans="1:10" x14ac:dyDescent="0.25">
      <c r="A38" s="68">
        <v>37</v>
      </c>
      <c r="B38" s="68" t="s">
        <v>376</v>
      </c>
      <c r="C38" s="68" t="s">
        <v>377</v>
      </c>
      <c r="D38" s="69" t="s">
        <v>378</v>
      </c>
      <c r="E38" s="69" t="s">
        <v>379</v>
      </c>
      <c r="F38" s="69">
        <v>2016</v>
      </c>
      <c r="G38" s="69">
        <v>343377</v>
      </c>
      <c r="H38" s="143">
        <v>46188</v>
      </c>
      <c r="I38" s="69"/>
      <c r="J38" s="69"/>
    </row>
    <row r="39" spans="1:10" x14ac:dyDescent="0.25">
      <c r="A39" s="68">
        <v>38</v>
      </c>
      <c r="B39" s="69" t="s">
        <v>63</v>
      </c>
      <c r="C39" s="69" t="s">
        <v>64</v>
      </c>
      <c r="D39" s="69" t="s">
        <v>65</v>
      </c>
      <c r="E39" s="69" t="s">
        <v>66</v>
      </c>
      <c r="F39" s="69">
        <v>2023</v>
      </c>
      <c r="G39" s="69">
        <v>23611</v>
      </c>
      <c r="H39" s="143">
        <v>46188</v>
      </c>
      <c r="I39" s="69"/>
      <c r="J39" s="69"/>
    </row>
    <row r="40" spans="1:10" x14ac:dyDescent="0.25">
      <c r="A40" s="71">
        <v>39</v>
      </c>
      <c r="B40" s="69" t="s">
        <v>380</v>
      </c>
      <c r="C40" s="69" t="s">
        <v>381</v>
      </c>
      <c r="D40" s="69" t="s">
        <v>382</v>
      </c>
      <c r="E40" s="69" t="s">
        <v>383</v>
      </c>
      <c r="F40" s="69">
        <v>2014</v>
      </c>
      <c r="G40" s="69">
        <v>394337</v>
      </c>
      <c r="H40" s="143">
        <v>46189</v>
      </c>
      <c r="I40" s="69"/>
      <c r="J40" s="69"/>
    </row>
    <row r="41" spans="1:10" x14ac:dyDescent="0.25">
      <c r="A41" s="68">
        <v>40</v>
      </c>
      <c r="B41" s="68" t="s">
        <v>30</v>
      </c>
      <c r="C41" s="71" t="s">
        <v>106</v>
      </c>
      <c r="D41" s="69" t="s">
        <v>107</v>
      </c>
      <c r="E41" s="72" t="s">
        <v>108</v>
      </c>
      <c r="F41" s="72">
        <v>2015</v>
      </c>
      <c r="G41" s="69">
        <v>276694</v>
      </c>
      <c r="H41" s="143">
        <v>46189</v>
      </c>
      <c r="I41" s="69"/>
      <c r="J41" s="69"/>
    </row>
    <row r="42" spans="1:10" x14ac:dyDescent="0.25">
      <c r="A42" s="68">
        <v>41</v>
      </c>
      <c r="B42" s="69" t="s">
        <v>384</v>
      </c>
      <c r="C42" s="69" t="s">
        <v>385</v>
      </c>
      <c r="D42" s="69" t="s">
        <v>386</v>
      </c>
      <c r="E42" s="69" t="s">
        <v>387</v>
      </c>
      <c r="F42" s="69">
        <v>2024</v>
      </c>
      <c r="G42" s="69">
        <v>24855</v>
      </c>
      <c r="H42" s="143">
        <v>46189</v>
      </c>
      <c r="I42" s="69"/>
      <c r="J42" s="69"/>
    </row>
    <row r="43" spans="1:10" x14ac:dyDescent="0.25">
      <c r="A43" s="68">
        <v>42</v>
      </c>
      <c r="B43" s="69" t="s">
        <v>1</v>
      </c>
      <c r="C43" s="69" t="s">
        <v>388</v>
      </c>
      <c r="D43" s="69" t="s">
        <v>389</v>
      </c>
      <c r="E43" s="69" t="s">
        <v>390</v>
      </c>
      <c r="F43" s="69">
        <v>2014</v>
      </c>
      <c r="G43" s="69">
        <v>77747</v>
      </c>
      <c r="H43" s="143">
        <v>46190</v>
      </c>
      <c r="I43" s="69"/>
      <c r="J43" s="69"/>
    </row>
    <row r="44" spans="1:10" x14ac:dyDescent="0.25">
      <c r="A44" s="68">
        <v>43</v>
      </c>
      <c r="B44" s="69" t="s">
        <v>2</v>
      </c>
      <c r="C44" s="69" t="s">
        <v>391</v>
      </c>
      <c r="D44" s="69" t="s">
        <v>392</v>
      </c>
      <c r="E44" s="69" t="s">
        <v>393</v>
      </c>
      <c r="F44" s="69">
        <v>2020</v>
      </c>
      <c r="G44" s="69">
        <v>205530</v>
      </c>
      <c r="H44" s="143">
        <v>46190</v>
      </c>
      <c r="I44" s="69"/>
      <c r="J44" s="69"/>
    </row>
    <row r="45" spans="1:10" x14ac:dyDescent="0.25">
      <c r="A45" s="68">
        <v>44</v>
      </c>
      <c r="B45" s="69" t="s">
        <v>213</v>
      </c>
      <c r="C45" s="69" t="s">
        <v>394</v>
      </c>
      <c r="D45" s="69" t="s">
        <v>395</v>
      </c>
      <c r="E45" s="69" t="s">
        <v>396</v>
      </c>
      <c r="F45" s="69">
        <v>2012</v>
      </c>
      <c r="G45" s="69">
        <v>449508</v>
      </c>
      <c r="H45" s="143">
        <v>46190</v>
      </c>
      <c r="I45" s="69"/>
      <c r="J45" s="69"/>
    </row>
    <row r="46" spans="1:10" x14ac:dyDescent="0.25">
      <c r="A46" s="68">
        <v>45</v>
      </c>
      <c r="B46" s="69" t="s">
        <v>397</v>
      </c>
      <c r="C46" s="69" t="s">
        <v>398</v>
      </c>
      <c r="D46" s="69" t="s">
        <v>399</v>
      </c>
      <c r="E46" s="69" t="s">
        <v>400</v>
      </c>
      <c r="F46" s="69">
        <v>2024</v>
      </c>
      <c r="G46" s="69">
        <v>19001</v>
      </c>
      <c r="H46" s="143">
        <v>46191</v>
      </c>
      <c r="I46" s="69"/>
      <c r="J46" s="69"/>
    </row>
    <row r="47" spans="1:10" x14ac:dyDescent="0.25">
      <c r="A47" s="68">
        <v>46</v>
      </c>
      <c r="B47" s="69" t="s">
        <v>132</v>
      </c>
      <c r="C47" s="69" t="s">
        <v>401</v>
      </c>
      <c r="D47" s="69" t="s">
        <v>402</v>
      </c>
      <c r="E47" s="69" t="s">
        <v>403</v>
      </c>
      <c r="F47" s="69">
        <v>2019</v>
      </c>
      <c r="G47" s="69">
        <v>218380</v>
      </c>
      <c r="H47" s="143">
        <v>46192</v>
      </c>
      <c r="I47" s="69"/>
      <c r="J47" s="69"/>
    </row>
    <row r="48" spans="1:10" x14ac:dyDescent="0.25">
      <c r="A48" s="68">
        <v>47</v>
      </c>
      <c r="B48" s="69" t="s">
        <v>42</v>
      </c>
      <c r="C48" s="69" t="s">
        <v>43</v>
      </c>
      <c r="D48" s="69" t="s">
        <v>44</v>
      </c>
      <c r="E48" s="69" t="s">
        <v>45</v>
      </c>
      <c r="F48" s="69">
        <v>2018</v>
      </c>
      <c r="G48" s="69">
        <v>142881</v>
      </c>
      <c r="H48" s="143">
        <v>46192</v>
      </c>
      <c r="I48" s="69"/>
      <c r="J48" s="69"/>
    </row>
    <row r="49" spans="1:10" x14ac:dyDescent="0.25">
      <c r="A49" s="68">
        <v>48</v>
      </c>
      <c r="B49" s="69" t="s">
        <v>404</v>
      </c>
      <c r="C49" s="69" t="s">
        <v>405</v>
      </c>
      <c r="D49" s="69" t="s">
        <v>406</v>
      </c>
      <c r="E49" s="69" t="s">
        <v>407</v>
      </c>
      <c r="F49" s="69">
        <v>2020</v>
      </c>
      <c r="G49" s="69">
        <v>53365</v>
      </c>
      <c r="H49" s="143">
        <v>46192</v>
      </c>
      <c r="I49" s="69"/>
      <c r="J49" s="69"/>
    </row>
    <row r="50" spans="1:10" x14ac:dyDescent="0.25">
      <c r="A50" s="68">
        <v>49</v>
      </c>
      <c r="B50" s="69" t="s">
        <v>408</v>
      </c>
      <c r="C50" s="69" t="s">
        <v>409</v>
      </c>
      <c r="D50" s="69" t="s">
        <v>410</v>
      </c>
      <c r="E50" s="69" t="s">
        <v>411</v>
      </c>
      <c r="F50" s="69">
        <v>2023</v>
      </c>
      <c r="G50" s="69">
        <v>76937</v>
      </c>
      <c r="H50" s="143">
        <v>46193</v>
      </c>
      <c r="I50" s="69"/>
      <c r="J50" s="69"/>
    </row>
    <row r="51" spans="1:10" x14ac:dyDescent="0.25">
      <c r="A51" s="68">
        <v>50</v>
      </c>
      <c r="B51" s="69" t="s">
        <v>408</v>
      </c>
      <c r="C51" s="69" t="s">
        <v>412</v>
      </c>
      <c r="D51" s="69" t="s">
        <v>413</v>
      </c>
      <c r="E51" s="69" t="s">
        <v>414</v>
      </c>
      <c r="F51" s="69">
        <v>2023</v>
      </c>
      <c r="G51" s="69">
        <v>51229</v>
      </c>
      <c r="H51" s="143">
        <v>46193</v>
      </c>
      <c r="I51" s="69"/>
      <c r="J51" s="69"/>
    </row>
    <row r="52" spans="1:10" x14ac:dyDescent="0.25">
      <c r="A52" s="68">
        <v>51</v>
      </c>
      <c r="B52" s="69" t="s">
        <v>2</v>
      </c>
      <c r="C52" s="69" t="s">
        <v>415</v>
      </c>
      <c r="D52" s="69" t="s">
        <v>416</v>
      </c>
      <c r="E52" s="69" t="s">
        <v>417</v>
      </c>
      <c r="F52" s="69">
        <v>2020</v>
      </c>
      <c r="G52" s="69">
        <v>160424</v>
      </c>
      <c r="H52" s="143">
        <v>46193</v>
      </c>
      <c r="I52" s="69"/>
      <c r="J52" s="69"/>
    </row>
    <row r="53" spans="1:10" x14ac:dyDescent="0.25">
      <c r="A53" s="68">
        <v>52</v>
      </c>
      <c r="B53" s="69" t="s">
        <v>213</v>
      </c>
      <c r="C53" s="69" t="s">
        <v>418</v>
      </c>
      <c r="D53" s="69" t="s">
        <v>419</v>
      </c>
      <c r="E53" s="69" t="s">
        <v>420</v>
      </c>
      <c r="F53" s="69">
        <v>2016</v>
      </c>
      <c r="G53" s="69">
        <v>298481</v>
      </c>
      <c r="H53" s="143">
        <v>46196</v>
      </c>
      <c r="I53" s="69"/>
      <c r="J53" s="69"/>
    </row>
    <row r="54" spans="1:10" x14ac:dyDescent="0.25">
      <c r="A54" s="68">
        <v>53</v>
      </c>
      <c r="B54" s="69" t="s">
        <v>1</v>
      </c>
      <c r="C54" s="69" t="s">
        <v>421</v>
      </c>
      <c r="D54" s="69" t="s">
        <v>422</v>
      </c>
      <c r="E54" s="69" t="s">
        <v>423</v>
      </c>
      <c r="F54" s="69">
        <v>2016</v>
      </c>
      <c r="G54" s="69">
        <v>224482</v>
      </c>
      <c r="H54" s="143">
        <v>46197</v>
      </c>
      <c r="I54" s="69"/>
      <c r="J54" s="69"/>
    </row>
    <row r="55" spans="1:10" x14ac:dyDescent="0.25">
      <c r="A55" s="68">
        <v>54</v>
      </c>
      <c r="B55" s="69" t="s">
        <v>911</v>
      </c>
      <c r="C55" s="69" t="s">
        <v>912</v>
      </c>
      <c r="D55" s="69" t="s">
        <v>913</v>
      </c>
      <c r="E55" s="69" t="s">
        <v>914</v>
      </c>
      <c r="F55" s="69">
        <v>2013</v>
      </c>
      <c r="G55" s="69">
        <v>278326</v>
      </c>
      <c r="H55" s="143">
        <v>46197</v>
      </c>
      <c r="I55" s="69"/>
      <c r="J55" s="69"/>
    </row>
    <row r="56" spans="1:10" x14ac:dyDescent="0.25">
      <c r="A56" s="68">
        <v>55</v>
      </c>
      <c r="B56" s="69" t="s">
        <v>214</v>
      </c>
      <c r="C56" s="69" t="s">
        <v>215</v>
      </c>
      <c r="D56" s="69" t="s">
        <v>915</v>
      </c>
      <c r="E56" s="69" t="s">
        <v>916</v>
      </c>
      <c r="F56" s="69">
        <v>2020</v>
      </c>
      <c r="G56" s="69">
        <v>133134</v>
      </c>
      <c r="H56" s="143">
        <v>46197</v>
      </c>
      <c r="I56" s="69"/>
      <c r="J56" s="69"/>
    </row>
    <row r="57" spans="1:10" x14ac:dyDescent="0.25">
      <c r="A57" s="68">
        <v>56</v>
      </c>
      <c r="B57" s="69" t="s">
        <v>132</v>
      </c>
      <c r="C57" s="69" t="s">
        <v>917</v>
      </c>
      <c r="D57" s="69" t="s">
        <v>918</v>
      </c>
      <c r="E57" s="69" t="s">
        <v>919</v>
      </c>
      <c r="F57" s="69">
        <v>2015</v>
      </c>
      <c r="G57" s="69">
        <v>274194</v>
      </c>
      <c r="H57" s="143">
        <v>46197</v>
      </c>
      <c r="I57" s="69"/>
      <c r="J57" s="69"/>
    </row>
    <row r="58" spans="1:10" x14ac:dyDescent="0.25">
      <c r="A58" s="68">
        <v>57</v>
      </c>
      <c r="B58" s="69" t="s">
        <v>123</v>
      </c>
      <c r="C58" s="69" t="s">
        <v>133</v>
      </c>
      <c r="D58" s="69" t="s">
        <v>920</v>
      </c>
      <c r="E58" s="69" t="s">
        <v>921</v>
      </c>
      <c r="F58" s="69">
        <v>2018</v>
      </c>
      <c r="G58" s="69">
        <v>165719</v>
      </c>
      <c r="H58" s="143">
        <v>46197</v>
      </c>
      <c r="I58" s="69"/>
      <c r="J58" s="69"/>
    </row>
    <row r="59" spans="1:10" x14ac:dyDescent="0.25">
      <c r="A59" s="68">
        <v>58</v>
      </c>
      <c r="B59" s="69" t="s">
        <v>2</v>
      </c>
      <c r="C59" s="69" t="s">
        <v>922</v>
      </c>
      <c r="D59" s="69" t="s">
        <v>923</v>
      </c>
      <c r="E59" s="69" t="s">
        <v>924</v>
      </c>
      <c r="F59" s="69">
        <v>2020</v>
      </c>
      <c r="G59" s="69">
        <v>225730</v>
      </c>
      <c r="H59" s="143">
        <v>46198</v>
      </c>
      <c r="I59" s="69"/>
      <c r="J59" s="69"/>
    </row>
    <row r="60" spans="1:10" x14ac:dyDescent="0.25">
      <c r="A60" s="68">
        <v>59</v>
      </c>
      <c r="B60" s="69" t="s">
        <v>213</v>
      </c>
      <c r="C60" s="69" t="s">
        <v>925</v>
      </c>
      <c r="D60" s="69" t="s">
        <v>926</v>
      </c>
      <c r="E60" s="69" t="s">
        <v>927</v>
      </c>
      <c r="F60" s="69">
        <v>2011</v>
      </c>
      <c r="G60" s="69">
        <v>373940</v>
      </c>
      <c r="H60" s="143">
        <v>46198</v>
      </c>
      <c r="I60" s="69"/>
      <c r="J60" s="69"/>
    </row>
    <row r="61" spans="1:10" x14ac:dyDescent="0.25">
      <c r="A61" s="68">
        <v>60</v>
      </c>
      <c r="B61" s="69" t="s">
        <v>1</v>
      </c>
      <c r="C61" s="69" t="s">
        <v>928</v>
      </c>
      <c r="D61" s="69" t="s">
        <v>929</v>
      </c>
      <c r="E61" s="69" t="s">
        <v>930</v>
      </c>
      <c r="F61" s="69">
        <v>2014</v>
      </c>
      <c r="G61" s="69">
        <v>298102</v>
      </c>
      <c r="H61" s="143">
        <v>46199</v>
      </c>
      <c r="I61" s="69"/>
      <c r="J61" s="69"/>
    </row>
    <row r="62" spans="1:10" x14ac:dyDescent="0.25">
      <c r="A62" s="68">
        <v>61</v>
      </c>
      <c r="B62" s="69" t="s">
        <v>132</v>
      </c>
      <c r="C62" s="69" t="s">
        <v>931</v>
      </c>
      <c r="D62" s="69" t="s">
        <v>932</v>
      </c>
      <c r="E62" s="69" t="s">
        <v>933</v>
      </c>
      <c r="F62" s="69">
        <v>2015</v>
      </c>
      <c r="G62" s="69">
        <v>281724</v>
      </c>
      <c r="H62" s="143">
        <v>46200</v>
      </c>
      <c r="I62" s="69"/>
      <c r="J62" s="69"/>
    </row>
    <row r="63" spans="1:10" x14ac:dyDescent="0.25">
      <c r="A63" s="68">
        <v>62</v>
      </c>
      <c r="B63" s="69" t="s">
        <v>1</v>
      </c>
      <c r="C63" s="69" t="s">
        <v>934</v>
      </c>
      <c r="D63" s="69" t="s">
        <v>935</v>
      </c>
      <c r="E63" s="69" t="s">
        <v>936</v>
      </c>
      <c r="F63" s="69">
        <v>2018</v>
      </c>
      <c r="G63" s="69">
        <v>182403</v>
      </c>
      <c r="H63" s="143">
        <v>46200</v>
      </c>
      <c r="I63" s="69"/>
      <c r="J63" s="69"/>
    </row>
    <row r="64" spans="1:10" x14ac:dyDescent="0.25">
      <c r="A64" s="68">
        <v>63</v>
      </c>
      <c r="B64" s="69" t="s">
        <v>2</v>
      </c>
      <c r="C64" s="69" t="s">
        <v>22</v>
      </c>
      <c r="D64" s="69" t="s">
        <v>23</v>
      </c>
      <c r="E64" s="69" t="s">
        <v>24</v>
      </c>
      <c r="F64" s="69">
        <v>2019</v>
      </c>
      <c r="G64" s="69">
        <v>240579</v>
      </c>
      <c r="H64" s="143">
        <v>46200</v>
      </c>
      <c r="I64" s="69"/>
      <c r="J64" s="69"/>
    </row>
    <row r="65" spans="1:10" x14ac:dyDescent="0.25">
      <c r="A65" s="68">
        <v>64</v>
      </c>
      <c r="B65" s="69" t="s">
        <v>1</v>
      </c>
      <c r="C65" s="69" t="s">
        <v>57</v>
      </c>
      <c r="D65" s="69" t="s">
        <v>58</v>
      </c>
      <c r="E65" s="69" t="s">
        <v>59</v>
      </c>
      <c r="F65" s="69">
        <v>2019</v>
      </c>
      <c r="G65" s="69">
        <v>141389</v>
      </c>
      <c r="H65" s="143">
        <v>46200</v>
      </c>
      <c r="I65" s="69"/>
      <c r="J65" s="69"/>
    </row>
    <row r="66" spans="1:10" x14ac:dyDescent="0.25">
      <c r="A66" s="68">
        <v>65</v>
      </c>
      <c r="B66" s="69" t="s">
        <v>2</v>
      </c>
      <c r="C66" s="69" t="s">
        <v>937</v>
      </c>
      <c r="D66" s="69" t="s">
        <v>938</v>
      </c>
      <c r="E66" s="69" t="s">
        <v>939</v>
      </c>
      <c r="F66" s="69">
        <v>2019</v>
      </c>
      <c r="G66" s="69">
        <v>170041</v>
      </c>
      <c r="H66" s="143">
        <v>46200</v>
      </c>
      <c r="I66" s="69"/>
      <c r="J66" s="69"/>
    </row>
    <row r="67" spans="1:10" x14ac:dyDescent="0.25">
      <c r="A67" s="68">
        <v>66</v>
      </c>
      <c r="B67" s="69" t="s">
        <v>1</v>
      </c>
      <c r="C67" s="69" t="s">
        <v>39</v>
      </c>
      <c r="D67" s="69" t="s">
        <v>40</v>
      </c>
      <c r="E67" s="69" t="s">
        <v>41</v>
      </c>
      <c r="F67" s="69">
        <v>2019</v>
      </c>
      <c r="G67" s="69">
        <v>134783</v>
      </c>
      <c r="H67" s="143">
        <v>46200</v>
      </c>
      <c r="I67" s="69"/>
      <c r="J67" s="69"/>
    </row>
    <row r="68" spans="1:10" x14ac:dyDescent="0.25">
      <c r="A68" s="68">
        <v>67</v>
      </c>
      <c r="B68" s="69" t="s">
        <v>143</v>
      </c>
      <c r="C68" s="69" t="s">
        <v>144</v>
      </c>
      <c r="D68" s="69" t="s">
        <v>145</v>
      </c>
      <c r="E68" s="69" t="s">
        <v>146</v>
      </c>
      <c r="F68" s="69">
        <v>2020</v>
      </c>
      <c r="G68" s="69">
        <v>162470</v>
      </c>
      <c r="H68" s="143">
        <v>46203</v>
      </c>
      <c r="I68" s="69"/>
      <c r="J68" s="69"/>
    </row>
    <row r="69" spans="1:10" x14ac:dyDescent="0.25">
      <c r="A69" s="68">
        <v>68</v>
      </c>
      <c r="B69" s="69" t="s">
        <v>1</v>
      </c>
      <c r="C69" s="69" t="s">
        <v>940</v>
      </c>
      <c r="D69" s="69" t="s">
        <v>941</v>
      </c>
      <c r="E69" s="69" t="s">
        <v>942</v>
      </c>
      <c r="F69" s="69">
        <v>2018</v>
      </c>
      <c r="G69" s="69">
        <v>134902</v>
      </c>
      <c r="H69" s="143">
        <v>46203</v>
      </c>
      <c r="I69" s="69"/>
      <c r="J69" s="69"/>
    </row>
    <row r="70" spans="1:10" x14ac:dyDescent="0.25">
      <c r="A70" s="68">
        <v>69</v>
      </c>
      <c r="B70" s="69" t="s">
        <v>128</v>
      </c>
      <c r="C70" s="69" t="s">
        <v>943</v>
      </c>
      <c r="D70" s="69" t="s">
        <v>944</v>
      </c>
      <c r="E70" s="69" t="s">
        <v>945</v>
      </c>
      <c r="F70" s="69">
        <v>2015</v>
      </c>
      <c r="G70" s="69">
        <v>272826</v>
      </c>
      <c r="H70" s="143">
        <v>46203</v>
      </c>
      <c r="I70" s="69"/>
      <c r="J70" s="69"/>
    </row>
    <row r="71" spans="1:10" x14ac:dyDescent="0.25">
      <c r="A71" s="68">
        <v>70</v>
      </c>
      <c r="B71" s="69" t="s">
        <v>1</v>
      </c>
      <c r="C71" s="69" t="s">
        <v>946</v>
      </c>
      <c r="D71" s="69" t="s">
        <v>947</v>
      </c>
      <c r="E71" s="69" t="s">
        <v>948</v>
      </c>
      <c r="F71" s="69">
        <v>2019</v>
      </c>
      <c r="G71" s="69">
        <v>39309</v>
      </c>
      <c r="H71" s="143">
        <v>46203</v>
      </c>
      <c r="I71" s="69"/>
      <c r="J71" s="69"/>
    </row>
    <row r="72" spans="1:10" x14ac:dyDescent="0.25">
      <c r="A72" s="68">
        <v>71</v>
      </c>
      <c r="B72" s="68"/>
      <c r="C72" s="71"/>
      <c r="D72" s="69"/>
      <c r="E72" s="72"/>
      <c r="F72" s="72"/>
      <c r="G72" s="74"/>
      <c r="H72" s="244"/>
      <c r="I72" s="69"/>
      <c r="J72" s="69"/>
    </row>
    <row r="73" spans="1:10" x14ac:dyDescent="0.25">
      <c r="A73" s="68">
        <v>72</v>
      </c>
      <c r="B73" s="68"/>
      <c r="C73" s="71"/>
      <c r="D73" s="69"/>
      <c r="E73" s="72"/>
      <c r="F73" s="72"/>
      <c r="G73" s="74"/>
      <c r="H73" s="244"/>
      <c r="I73" s="69"/>
      <c r="J73" s="69"/>
    </row>
    <row r="74" spans="1:10" x14ac:dyDescent="0.25">
      <c r="A74" s="68">
        <v>73</v>
      </c>
      <c r="B74" s="68"/>
      <c r="C74" s="71"/>
      <c r="D74" s="69"/>
      <c r="E74" s="72"/>
      <c r="F74" s="72"/>
      <c r="G74" s="74"/>
      <c r="H74" s="244"/>
      <c r="I74" s="69"/>
      <c r="J74" s="69"/>
    </row>
    <row r="75" spans="1:10" x14ac:dyDescent="0.25">
      <c r="A75" s="68">
        <v>74</v>
      </c>
      <c r="B75" s="68"/>
      <c r="C75" s="71"/>
      <c r="D75" s="69"/>
      <c r="E75" s="72"/>
      <c r="F75" s="72"/>
      <c r="G75" s="74"/>
      <c r="H75" s="244"/>
      <c r="I75" s="69"/>
      <c r="J75" s="69"/>
    </row>
    <row r="76" spans="1:10" x14ac:dyDescent="0.25">
      <c r="A76" s="68">
        <v>75</v>
      </c>
      <c r="B76" s="68"/>
      <c r="C76" s="68"/>
      <c r="D76" s="69"/>
      <c r="E76" s="69"/>
      <c r="F76" s="69"/>
      <c r="G76" s="69"/>
      <c r="H76" s="143"/>
    </row>
    <row r="77" spans="1:10" x14ac:dyDescent="0.25">
      <c r="A77" s="68">
        <v>76</v>
      </c>
      <c r="B77" s="68"/>
      <c r="C77" s="68"/>
      <c r="D77" s="69"/>
      <c r="E77" s="69"/>
      <c r="F77" s="69"/>
      <c r="G77" s="69"/>
      <c r="H77" s="143"/>
    </row>
    <row r="78" spans="1:10" x14ac:dyDescent="0.25">
      <c r="A78" s="68">
        <v>77</v>
      </c>
      <c r="B78" s="68"/>
      <c r="C78" s="68"/>
      <c r="D78" s="69"/>
      <c r="E78" s="69"/>
      <c r="F78" s="69"/>
      <c r="G78" s="69"/>
      <c r="H78" s="143"/>
    </row>
    <row r="79" spans="1:10" x14ac:dyDescent="0.25">
      <c r="A79" s="68">
        <v>78</v>
      </c>
      <c r="B79" s="68"/>
      <c r="C79" s="71"/>
      <c r="D79" s="69"/>
      <c r="E79" s="72"/>
      <c r="F79" s="72"/>
      <c r="G79" s="72"/>
      <c r="H79" s="143"/>
    </row>
    <row r="80" spans="1:10" x14ac:dyDescent="0.25">
      <c r="A80" s="68">
        <v>79</v>
      </c>
      <c r="B80" s="68"/>
      <c r="C80" s="68"/>
      <c r="D80" s="69"/>
      <c r="E80" s="69"/>
      <c r="F80" s="69"/>
      <c r="G80" s="72"/>
      <c r="H80" s="143"/>
    </row>
    <row r="81" spans="1:8" x14ac:dyDescent="0.25">
      <c r="A81" s="68">
        <v>80</v>
      </c>
      <c r="B81" s="68"/>
      <c r="C81" s="71"/>
      <c r="D81" s="69"/>
      <c r="E81" s="72"/>
      <c r="F81" s="72"/>
      <c r="G81" s="72"/>
      <c r="H81" s="143"/>
    </row>
    <row r="82" spans="1:8" x14ac:dyDescent="0.25">
      <c r="A82" s="68">
        <v>81</v>
      </c>
      <c r="B82" s="68"/>
      <c r="C82" s="71"/>
      <c r="D82" s="69"/>
      <c r="E82" s="72"/>
      <c r="F82" s="72"/>
      <c r="G82" s="72"/>
      <c r="H82" s="143"/>
    </row>
    <row r="83" spans="1:8" x14ac:dyDescent="0.25">
      <c r="A83" s="68">
        <v>82</v>
      </c>
      <c r="B83" s="68"/>
      <c r="C83" s="68"/>
      <c r="D83" s="69"/>
      <c r="E83" s="69"/>
      <c r="F83" s="69"/>
      <c r="G83" s="72"/>
      <c r="H83" s="143"/>
    </row>
    <row r="84" spans="1:8" x14ac:dyDescent="0.25">
      <c r="A84" s="68">
        <v>83</v>
      </c>
      <c r="B84" s="68"/>
      <c r="C84" s="68"/>
      <c r="D84" s="69"/>
      <c r="E84" s="69"/>
      <c r="F84" s="69"/>
      <c r="G84" s="69"/>
      <c r="H84" s="143"/>
    </row>
    <row r="85" spans="1:8" x14ac:dyDescent="0.25">
      <c r="A85" s="68">
        <v>84</v>
      </c>
      <c r="B85" s="68"/>
      <c r="C85" s="68"/>
      <c r="D85" s="69"/>
      <c r="E85" s="69"/>
      <c r="F85" s="69"/>
      <c r="G85" s="69"/>
      <c r="H85" s="143"/>
    </row>
    <row r="86" spans="1:8" x14ac:dyDescent="0.25">
      <c r="A86" s="68">
        <v>85</v>
      </c>
      <c r="B86" s="69"/>
      <c r="C86" s="68"/>
      <c r="D86" s="69"/>
      <c r="E86" s="69"/>
      <c r="F86" s="69"/>
      <c r="G86" s="69"/>
      <c r="H86" s="143"/>
    </row>
    <row r="87" spans="1:8" x14ac:dyDescent="0.25">
      <c r="A87" s="68">
        <v>86</v>
      </c>
      <c r="B87" s="68"/>
      <c r="C87" s="68"/>
      <c r="D87" s="69"/>
      <c r="E87" s="69"/>
      <c r="F87" s="69"/>
      <c r="G87" s="69"/>
      <c r="H87" s="143"/>
    </row>
    <row r="88" spans="1:8" x14ac:dyDescent="0.25">
      <c r="A88" s="68">
        <v>87</v>
      </c>
      <c r="B88" s="68"/>
      <c r="C88" s="68"/>
      <c r="D88" s="69"/>
      <c r="E88" s="69"/>
      <c r="F88" s="69"/>
      <c r="G88" s="69"/>
      <c r="H88" s="143"/>
    </row>
    <row r="89" spans="1:8" x14ac:dyDescent="0.25">
      <c r="A89" s="68">
        <v>88</v>
      </c>
      <c r="B89" s="68"/>
      <c r="C89" s="68"/>
      <c r="D89" s="69"/>
      <c r="E89" s="69"/>
      <c r="F89" s="69"/>
      <c r="G89" s="69"/>
      <c r="H89" s="143"/>
    </row>
    <row r="90" spans="1:8" x14ac:dyDescent="0.25">
      <c r="A90" s="68">
        <v>89</v>
      </c>
      <c r="B90" s="68"/>
      <c r="C90" s="71"/>
      <c r="D90" s="69"/>
      <c r="E90" s="72"/>
      <c r="F90" s="72"/>
      <c r="G90" s="72"/>
      <c r="H90" s="143"/>
    </row>
    <row r="91" spans="1:8" x14ac:dyDescent="0.25">
      <c r="A91" s="68">
        <v>90</v>
      </c>
      <c r="B91" s="68"/>
      <c r="C91" s="68"/>
      <c r="D91" s="69"/>
      <c r="E91" s="69"/>
      <c r="F91" s="69"/>
      <c r="G91" s="69"/>
      <c r="H91" s="143"/>
    </row>
    <row r="92" spans="1:8" x14ac:dyDescent="0.25">
      <c r="A92" s="68">
        <v>91</v>
      </c>
      <c r="B92" s="68"/>
      <c r="C92" s="68"/>
      <c r="D92" s="69"/>
      <c r="E92" s="69"/>
      <c r="F92" s="69"/>
      <c r="G92" s="69"/>
      <c r="H92" s="143"/>
    </row>
    <row r="93" spans="1:8" x14ac:dyDescent="0.25">
      <c r="A93" s="68">
        <v>92</v>
      </c>
      <c r="B93" s="68"/>
      <c r="C93" s="68"/>
      <c r="D93" s="69"/>
      <c r="E93" s="69"/>
      <c r="F93" s="69"/>
      <c r="G93" s="69"/>
      <c r="H93" s="143"/>
    </row>
    <row r="94" spans="1:8" x14ac:dyDescent="0.25">
      <c r="A94" s="68">
        <v>93</v>
      </c>
      <c r="B94" s="68"/>
      <c r="C94" s="71"/>
      <c r="D94" s="69"/>
      <c r="E94" s="72"/>
      <c r="F94" s="72"/>
      <c r="G94" s="72"/>
      <c r="H94" s="143"/>
    </row>
    <row r="95" spans="1:8" x14ac:dyDescent="0.25">
      <c r="A95" s="68">
        <v>94</v>
      </c>
      <c r="B95" s="68"/>
      <c r="C95" s="68"/>
      <c r="D95" s="69"/>
      <c r="E95" s="69"/>
      <c r="F95" s="69"/>
      <c r="G95" s="69"/>
      <c r="H95" s="143"/>
    </row>
    <row r="96" spans="1:8" x14ac:dyDescent="0.25">
      <c r="A96" s="68">
        <v>95</v>
      </c>
      <c r="B96" s="68"/>
      <c r="C96" s="71"/>
      <c r="D96" s="69"/>
      <c r="E96" s="72"/>
      <c r="F96" s="72"/>
      <c r="G96" s="72"/>
      <c r="H96" s="143"/>
    </row>
    <row r="97" spans="1:8" x14ac:dyDescent="0.25">
      <c r="A97" s="68">
        <v>96</v>
      </c>
      <c r="B97" s="68"/>
      <c r="C97" s="71"/>
      <c r="D97" s="69"/>
      <c r="E97" s="72"/>
      <c r="F97" s="72"/>
      <c r="G97" s="74"/>
      <c r="H97" s="143"/>
    </row>
    <row r="98" spans="1:8" x14ac:dyDescent="0.25">
      <c r="A98" s="68">
        <v>97</v>
      </c>
      <c r="B98" s="68"/>
      <c r="C98" s="71"/>
      <c r="D98" s="69"/>
      <c r="E98" s="72"/>
      <c r="F98" s="72"/>
      <c r="G98" s="72"/>
      <c r="H98" s="143"/>
    </row>
    <row r="99" spans="1:8" x14ac:dyDescent="0.25">
      <c r="A99" s="68">
        <v>98</v>
      </c>
      <c r="B99" s="68"/>
      <c r="C99" s="71"/>
      <c r="D99" s="69"/>
      <c r="E99" s="72"/>
      <c r="F99" s="72"/>
      <c r="G99" s="72"/>
      <c r="H99" s="143"/>
    </row>
    <row r="100" spans="1:8" x14ac:dyDescent="0.25">
      <c r="A100" s="68">
        <v>99</v>
      </c>
      <c r="B100" s="68"/>
      <c r="C100" s="68"/>
      <c r="D100" s="69"/>
      <c r="E100" s="69"/>
      <c r="F100" s="69"/>
      <c r="G100" s="69"/>
      <c r="H100" s="143"/>
    </row>
    <row r="101" spans="1:8" x14ac:dyDescent="0.25">
      <c r="A101" s="68">
        <v>100</v>
      </c>
      <c r="B101" s="68"/>
      <c r="C101" s="68"/>
      <c r="D101" s="69"/>
      <c r="E101" s="69"/>
      <c r="F101" s="69"/>
      <c r="G101" s="69"/>
      <c r="H101" s="143"/>
    </row>
    <row r="102" spans="1:8" x14ac:dyDescent="0.25">
      <c r="A102" s="68">
        <v>101</v>
      </c>
      <c r="B102" s="68"/>
      <c r="C102" s="68"/>
      <c r="D102" s="69"/>
      <c r="E102" s="69"/>
      <c r="F102" s="69"/>
      <c r="G102" s="69"/>
      <c r="H102" s="143"/>
    </row>
    <row r="103" spans="1:8" x14ac:dyDescent="0.25">
      <c r="A103" s="68">
        <v>102</v>
      </c>
      <c r="B103" s="68"/>
      <c r="C103" s="68"/>
      <c r="D103" s="69"/>
      <c r="E103" s="69"/>
      <c r="F103" s="69"/>
      <c r="G103" s="69"/>
      <c r="H103" s="143"/>
    </row>
    <row r="104" spans="1:8" x14ac:dyDescent="0.25">
      <c r="A104" s="68">
        <v>103</v>
      </c>
      <c r="B104" s="68"/>
      <c r="C104" s="68"/>
      <c r="D104" s="69"/>
      <c r="E104" s="69"/>
      <c r="F104" s="69"/>
      <c r="G104" s="69"/>
      <c r="H104" s="143"/>
    </row>
    <row r="105" spans="1:8" x14ac:dyDescent="0.25">
      <c r="A105" s="68">
        <v>104</v>
      </c>
      <c r="B105" s="68"/>
      <c r="C105" s="71"/>
      <c r="D105" s="69"/>
      <c r="E105" s="72"/>
      <c r="F105" s="72"/>
      <c r="G105" s="72"/>
      <c r="H105" s="143"/>
    </row>
    <row r="106" spans="1:8" x14ac:dyDescent="0.25">
      <c r="A106" s="68">
        <v>105</v>
      </c>
      <c r="B106" s="68"/>
      <c r="C106" s="71"/>
      <c r="D106" s="69"/>
      <c r="E106" s="72"/>
      <c r="F106" s="72"/>
      <c r="G106" s="72"/>
      <c r="H106" s="143"/>
    </row>
    <row r="107" spans="1:8" x14ac:dyDescent="0.25">
      <c r="A107" s="68">
        <v>106</v>
      </c>
      <c r="B107" s="68"/>
      <c r="C107" s="71"/>
      <c r="D107" s="69"/>
      <c r="E107" s="72"/>
      <c r="F107" s="72"/>
      <c r="G107" s="74"/>
      <c r="H107" s="143"/>
    </row>
    <row r="108" spans="1:8" x14ac:dyDescent="0.25">
      <c r="A108" s="68">
        <v>107</v>
      </c>
      <c r="B108" s="68"/>
      <c r="C108" s="71"/>
      <c r="D108" s="69"/>
      <c r="E108" s="72"/>
      <c r="F108" s="72"/>
      <c r="G108" s="72"/>
      <c r="H108" s="143"/>
    </row>
    <row r="109" spans="1:8" x14ac:dyDescent="0.25">
      <c r="A109" s="68">
        <v>108</v>
      </c>
      <c r="B109" s="68"/>
      <c r="C109" s="68"/>
      <c r="D109" s="69"/>
      <c r="E109" s="69"/>
      <c r="F109" s="69"/>
      <c r="G109" s="69"/>
      <c r="H109" s="143"/>
    </row>
    <row r="110" spans="1:8" x14ac:dyDescent="0.25">
      <c r="A110" s="68">
        <v>109</v>
      </c>
      <c r="B110" s="68"/>
      <c r="C110" s="68"/>
      <c r="D110" s="69"/>
      <c r="E110" s="69"/>
      <c r="F110" s="69"/>
      <c r="G110" s="69"/>
      <c r="H110" s="143"/>
    </row>
    <row r="111" spans="1:8" x14ac:dyDescent="0.25">
      <c r="A111" s="68">
        <v>110</v>
      </c>
      <c r="B111" s="68"/>
      <c r="C111" s="68"/>
      <c r="D111" s="69"/>
      <c r="E111" s="69"/>
      <c r="F111" s="69"/>
      <c r="G111" s="69"/>
      <c r="H111" s="143"/>
    </row>
    <row r="112" spans="1:8" x14ac:dyDescent="0.25">
      <c r="A112" s="68">
        <v>111</v>
      </c>
      <c r="B112" s="68"/>
      <c r="C112" s="71"/>
      <c r="D112" s="69"/>
      <c r="E112" s="72"/>
      <c r="F112" s="72"/>
      <c r="G112" s="72"/>
      <c r="H112" s="73"/>
    </row>
    <row r="113" spans="1:8" x14ac:dyDescent="0.25">
      <c r="A113" s="68">
        <v>112</v>
      </c>
      <c r="B113" s="68"/>
      <c r="C113" s="71"/>
      <c r="D113" s="69"/>
      <c r="E113" s="72"/>
      <c r="F113" s="72"/>
      <c r="G113" s="74"/>
      <c r="H113" s="73"/>
    </row>
    <row r="114" spans="1:8" x14ac:dyDescent="0.25">
      <c r="A114" s="68">
        <v>113</v>
      </c>
      <c r="B114" s="68"/>
      <c r="C114" s="71"/>
      <c r="D114" s="69"/>
      <c r="E114" s="72"/>
      <c r="F114" s="72"/>
      <c r="G114" s="72"/>
      <c r="H114" s="143"/>
    </row>
    <row r="115" spans="1:8" x14ac:dyDescent="0.25">
      <c r="A115" s="68">
        <v>114</v>
      </c>
      <c r="B115" s="68"/>
      <c r="C115" s="71"/>
      <c r="D115" s="69"/>
      <c r="E115" s="72"/>
      <c r="F115" s="72"/>
      <c r="G115" s="74"/>
      <c r="H115" s="143"/>
    </row>
    <row r="116" spans="1:8" x14ac:dyDescent="0.25">
      <c r="A116" s="68">
        <v>115</v>
      </c>
      <c r="B116" s="68"/>
      <c r="C116" s="71"/>
      <c r="D116" s="69"/>
      <c r="E116" s="72"/>
      <c r="F116" s="72"/>
      <c r="G116" s="72"/>
      <c r="H116" s="143"/>
    </row>
    <row r="117" spans="1:8" x14ac:dyDescent="0.25">
      <c r="A117" s="68">
        <v>116</v>
      </c>
      <c r="B117" s="68"/>
      <c r="C117" s="68"/>
      <c r="D117" s="69"/>
      <c r="E117" s="69"/>
      <c r="F117" s="69"/>
      <c r="G117" s="69"/>
      <c r="H117" s="143"/>
    </row>
    <row r="118" spans="1:8" x14ac:dyDescent="0.25">
      <c r="A118" s="68">
        <v>117</v>
      </c>
      <c r="B118" s="68"/>
      <c r="C118" s="68"/>
      <c r="D118" s="69"/>
      <c r="E118" s="69"/>
      <c r="F118" s="69"/>
      <c r="G118" s="69"/>
      <c r="H118" s="143"/>
    </row>
    <row r="119" spans="1:8" x14ac:dyDescent="0.25">
      <c r="A119" s="68">
        <v>118</v>
      </c>
      <c r="B119" s="69"/>
      <c r="C119" s="69"/>
      <c r="D119" s="69"/>
      <c r="E119" s="69"/>
      <c r="F119" s="69"/>
      <c r="G119" s="69"/>
      <c r="H119" s="143"/>
    </row>
  </sheetData>
  <pageMargins left="0.7" right="0.7" top="0.75" bottom="0.75" header="0.3" footer="0.3"/>
  <pageSetup paperSize="9" scale="8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99EDB-27A4-4BA4-BB79-10D9D589D2AF}">
  <sheetPr codeName="Лист31">
    <pageSetUpPr fitToPage="1"/>
  </sheetPr>
  <dimension ref="B1:N67"/>
  <sheetViews>
    <sheetView workbookViewId="0">
      <selection activeCell="S14" sqref="S14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974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973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972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494</v>
      </c>
      <c r="E21" s="414"/>
      <c r="F21" s="414"/>
      <c r="G21" s="414"/>
      <c r="H21" s="415"/>
      <c r="I21" s="291">
        <v>1</v>
      </c>
      <c r="J21" s="300">
        <v>1000</v>
      </c>
      <c r="K21" s="289">
        <v>1</v>
      </c>
      <c r="L21" s="279" t="s">
        <v>11</v>
      </c>
      <c r="M21" s="277">
        <f t="shared" ref="M21:M28" si="0">J21*I21</f>
        <v>1000</v>
      </c>
      <c r="N21" s="276">
        <f t="shared" ref="N21:N29" si="1">M21*22/122</f>
        <v>180.32786885245901</v>
      </c>
    </row>
    <row r="22" spans="2:14" s="275" customFormat="1" ht="15" customHeight="1" thickBot="1" x14ac:dyDescent="0.3">
      <c r="B22" s="281" t="s">
        <v>446</v>
      </c>
      <c r="C22" s="292"/>
      <c r="D22" s="413" t="s">
        <v>971</v>
      </c>
      <c r="E22" s="414"/>
      <c r="F22" s="414"/>
      <c r="G22" s="414"/>
      <c r="H22" s="415"/>
      <c r="I22" s="291">
        <v>1</v>
      </c>
      <c r="J22" s="300">
        <v>400</v>
      </c>
      <c r="K22" s="289">
        <v>1</v>
      </c>
      <c r="L22" s="279" t="s">
        <v>11</v>
      </c>
      <c r="M22" s="277">
        <f t="shared" si="0"/>
        <v>400</v>
      </c>
      <c r="N22" s="276">
        <f t="shared" si="1"/>
        <v>72.131147540983605</v>
      </c>
    </row>
    <row r="23" spans="2:14" s="275" customFormat="1" ht="15" customHeight="1" thickBot="1" x14ac:dyDescent="0.3">
      <c r="B23" s="281" t="s">
        <v>443</v>
      </c>
      <c r="C23" s="292"/>
      <c r="D23" s="413" t="s">
        <v>970</v>
      </c>
      <c r="E23" s="414"/>
      <c r="F23" s="414"/>
      <c r="G23" s="414"/>
      <c r="H23" s="415"/>
      <c r="I23" s="291">
        <v>1</v>
      </c>
      <c r="J23" s="300">
        <v>8000</v>
      </c>
      <c r="K23" s="289">
        <v>1</v>
      </c>
      <c r="L23" s="279" t="s">
        <v>11</v>
      </c>
      <c r="M23" s="277">
        <f t="shared" si="0"/>
        <v>8000</v>
      </c>
      <c r="N23" s="276">
        <f t="shared" si="1"/>
        <v>1442.622950819672</v>
      </c>
    </row>
    <row r="24" spans="2:14" s="275" customFormat="1" ht="12.75" customHeight="1" thickBot="1" x14ac:dyDescent="0.3">
      <c r="B24" s="281" t="s">
        <v>440</v>
      </c>
      <c r="C24" s="292"/>
      <c r="D24" s="413" t="s">
        <v>969</v>
      </c>
      <c r="E24" s="414"/>
      <c r="F24" s="414"/>
      <c r="G24" s="414"/>
      <c r="H24" s="415"/>
      <c r="I24" s="291">
        <v>1</v>
      </c>
      <c r="J24" s="300">
        <v>1000</v>
      </c>
      <c r="K24" s="289">
        <v>1</v>
      </c>
      <c r="L24" s="279" t="s">
        <v>11</v>
      </c>
      <c r="M24" s="277">
        <f t="shared" si="0"/>
        <v>1000</v>
      </c>
      <c r="N24" s="276">
        <f t="shared" si="1"/>
        <v>180.32786885245901</v>
      </c>
    </row>
    <row r="25" spans="2:14" s="275" customFormat="1" ht="13.5" customHeight="1" thickBot="1" x14ac:dyDescent="0.3">
      <c r="B25" s="281" t="s">
        <v>453</v>
      </c>
      <c r="C25" s="292"/>
      <c r="D25" s="413" t="s">
        <v>968</v>
      </c>
      <c r="E25" s="414"/>
      <c r="F25" s="414"/>
      <c r="G25" s="414"/>
      <c r="H25" s="415"/>
      <c r="I25" s="291">
        <v>1</v>
      </c>
      <c r="J25" s="300">
        <v>1500</v>
      </c>
      <c r="K25" s="289">
        <v>1</v>
      </c>
      <c r="L25" s="279" t="s">
        <v>11</v>
      </c>
      <c r="M25" s="277">
        <f t="shared" si="0"/>
        <v>1500</v>
      </c>
      <c r="N25" s="276">
        <f t="shared" si="1"/>
        <v>270.49180327868851</v>
      </c>
    </row>
    <row r="26" spans="2:14" s="275" customFormat="1" ht="14.25" customHeight="1" thickBot="1" x14ac:dyDescent="0.3">
      <c r="B26" s="281" t="s">
        <v>452</v>
      </c>
      <c r="C26" s="292"/>
      <c r="D26" s="413" t="s">
        <v>967</v>
      </c>
      <c r="E26" s="414"/>
      <c r="F26" s="414"/>
      <c r="G26" s="414"/>
      <c r="H26" s="415"/>
      <c r="I26" s="291">
        <v>1</v>
      </c>
      <c r="J26" s="300">
        <v>4000</v>
      </c>
      <c r="K26" s="289">
        <v>1</v>
      </c>
      <c r="L26" s="279" t="s">
        <v>11</v>
      </c>
      <c r="M26" s="277">
        <f t="shared" si="0"/>
        <v>4000</v>
      </c>
      <c r="N26" s="276">
        <f t="shared" si="1"/>
        <v>721.31147540983602</v>
      </c>
    </row>
    <row r="27" spans="2:14" s="275" customFormat="1" ht="14.25" customHeight="1" x14ac:dyDescent="0.25">
      <c r="B27" s="281" t="s">
        <v>451</v>
      </c>
      <c r="C27" s="292"/>
      <c r="D27" s="389" t="s">
        <v>696</v>
      </c>
      <c r="E27" s="390"/>
      <c r="F27" s="390"/>
      <c r="G27" s="390"/>
      <c r="H27" s="391"/>
      <c r="I27" s="291">
        <v>1</v>
      </c>
      <c r="J27" s="300">
        <v>1000</v>
      </c>
      <c r="K27" s="289">
        <v>1</v>
      </c>
      <c r="L27" s="279" t="s">
        <v>11</v>
      </c>
      <c r="M27" s="277">
        <f t="shared" si="0"/>
        <v>1000</v>
      </c>
      <c r="N27" s="276">
        <f t="shared" si="1"/>
        <v>180.32786885245901</v>
      </c>
    </row>
    <row r="28" spans="2:14" s="275" customFormat="1" ht="14.25" customHeight="1" x14ac:dyDescent="0.25">
      <c r="B28" s="281" t="s">
        <v>450</v>
      </c>
      <c r="C28" s="292"/>
      <c r="D28" s="389" t="s">
        <v>742</v>
      </c>
      <c r="E28" s="390"/>
      <c r="F28" s="390"/>
      <c r="G28" s="390"/>
      <c r="H28" s="391"/>
      <c r="I28" s="291">
        <v>1</v>
      </c>
      <c r="J28" s="300">
        <v>400</v>
      </c>
      <c r="K28" s="289">
        <v>1</v>
      </c>
      <c r="L28" s="279" t="s">
        <v>11</v>
      </c>
      <c r="M28" s="277">
        <f t="shared" si="0"/>
        <v>400</v>
      </c>
      <c r="N28" s="276">
        <f t="shared" si="1"/>
        <v>72.131147540983605</v>
      </c>
    </row>
    <row r="29" spans="2:14" x14ac:dyDescent="0.25">
      <c r="B29" s="396" t="s">
        <v>464</v>
      </c>
      <c r="C29" s="396"/>
      <c r="D29" s="396"/>
      <c r="E29" s="396"/>
      <c r="F29" s="396"/>
      <c r="G29" s="396"/>
      <c r="H29" s="397"/>
      <c r="I29" s="299">
        <v>8</v>
      </c>
      <c r="J29" s="393" t="s">
        <v>435</v>
      </c>
      <c r="K29" s="394"/>
      <c r="L29" s="395"/>
      <c r="M29" s="277">
        <f>M21+M22+M23+M24+M25+M26+M27+M28</f>
        <v>17300</v>
      </c>
      <c r="N29" s="276">
        <f t="shared" si="1"/>
        <v>3119.6721311475408</v>
      </c>
    </row>
    <row r="30" spans="2:14" ht="9" customHeight="1" x14ac:dyDescent="0.25"/>
    <row r="31" spans="2:14" ht="15" customHeight="1" x14ac:dyDescent="0.25">
      <c r="B31" s="392" t="s">
        <v>966</v>
      </c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</row>
    <row r="32" spans="2:14" ht="7.5" customHeight="1" x14ac:dyDescent="0.25"/>
    <row r="33" spans="2:14" x14ac:dyDescent="0.25">
      <c r="C33" s="287" t="s">
        <v>965</v>
      </c>
    </row>
    <row r="34" spans="2:14" ht="15.75" thickBot="1" x14ac:dyDescent="0.3">
      <c r="B34" s="286"/>
      <c r="C34" s="285"/>
      <c r="D34" s="285"/>
      <c r="H34" s="285"/>
      <c r="I34" s="285"/>
      <c r="M34" s="284"/>
      <c r="N34" s="284"/>
    </row>
    <row r="35" spans="2:14" ht="15.75" thickBot="1" x14ac:dyDescent="0.3">
      <c r="B35" s="298" t="s">
        <v>461</v>
      </c>
      <c r="C35" s="283" t="s">
        <v>460</v>
      </c>
      <c r="D35" s="398" t="s">
        <v>459</v>
      </c>
      <c r="E35" s="399"/>
      <c r="F35" s="399"/>
      <c r="G35" s="399"/>
      <c r="H35" s="399"/>
      <c r="I35" s="400"/>
      <c r="J35" s="298" t="s">
        <v>458</v>
      </c>
      <c r="K35" s="298" t="s">
        <v>457</v>
      </c>
      <c r="L35" s="298" t="s">
        <v>456</v>
      </c>
      <c r="M35" s="298" t="s">
        <v>455</v>
      </c>
      <c r="N35" s="298" t="s">
        <v>454</v>
      </c>
    </row>
    <row r="36" spans="2:14" ht="15.75" thickBot="1" x14ac:dyDescent="0.3">
      <c r="B36" s="298" t="s">
        <v>449</v>
      </c>
      <c r="C36" s="283" t="s">
        <v>446</v>
      </c>
      <c r="D36" s="398" t="s">
        <v>443</v>
      </c>
      <c r="E36" s="399"/>
      <c r="F36" s="399"/>
      <c r="G36" s="399"/>
      <c r="H36" s="399"/>
      <c r="I36" s="400"/>
      <c r="J36" s="298" t="s">
        <v>440</v>
      </c>
      <c r="K36" s="298" t="s">
        <v>453</v>
      </c>
      <c r="L36" s="298" t="s">
        <v>452</v>
      </c>
      <c r="M36" s="298" t="s">
        <v>451</v>
      </c>
      <c r="N36" s="298" t="s">
        <v>450</v>
      </c>
    </row>
    <row r="37" spans="2:14" s="275" customFormat="1" ht="13.5" customHeight="1" x14ac:dyDescent="0.25">
      <c r="B37" s="281" t="s">
        <v>449</v>
      </c>
      <c r="C37" s="292" t="s">
        <v>835</v>
      </c>
      <c r="D37" s="389" t="s">
        <v>834</v>
      </c>
      <c r="E37" s="390"/>
      <c r="F37" s="390"/>
      <c r="G37" s="390"/>
      <c r="H37" s="390"/>
      <c r="I37" s="391"/>
      <c r="J37" s="291">
        <v>1</v>
      </c>
      <c r="K37" s="279" t="s">
        <v>520</v>
      </c>
      <c r="L37" s="278">
        <v>600</v>
      </c>
      <c r="M37" s="277">
        <f t="shared" ref="M37:M46" si="2">L37*J37</f>
        <v>600</v>
      </c>
      <c r="N37" s="276">
        <f t="shared" ref="N37:N47" si="3">M37*22/122</f>
        <v>108.19672131147541</v>
      </c>
    </row>
    <row r="38" spans="2:14" s="275" customFormat="1" ht="25.5" customHeight="1" x14ac:dyDescent="0.25">
      <c r="B38" s="281" t="s">
        <v>446</v>
      </c>
      <c r="C38" s="292" t="s">
        <v>964</v>
      </c>
      <c r="D38" s="389" t="s">
        <v>963</v>
      </c>
      <c r="E38" s="390"/>
      <c r="F38" s="390"/>
      <c r="G38" s="390"/>
      <c r="H38" s="390"/>
      <c r="I38" s="391"/>
      <c r="J38" s="291">
        <v>1</v>
      </c>
      <c r="K38" s="279" t="s">
        <v>520</v>
      </c>
      <c r="L38" s="278">
        <v>1150</v>
      </c>
      <c r="M38" s="277">
        <f t="shared" si="2"/>
        <v>1150</v>
      </c>
      <c r="N38" s="276">
        <f t="shared" si="3"/>
        <v>207.37704918032787</v>
      </c>
    </row>
    <row r="39" spans="2:14" s="275" customFormat="1" ht="24" customHeight="1" x14ac:dyDescent="0.25">
      <c r="B39" s="281" t="s">
        <v>443</v>
      </c>
      <c r="C39" s="280"/>
      <c r="D39" s="389" t="s">
        <v>962</v>
      </c>
      <c r="E39" s="390"/>
      <c r="F39" s="390"/>
      <c r="G39" s="390"/>
      <c r="H39" s="390"/>
      <c r="I39" s="391"/>
      <c r="J39" s="331" t="s">
        <v>449</v>
      </c>
      <c r="K39" s="279" t="s">
        <v>437</v>
      </c>
      <c r="L39" s="278">
        <v>300</v>
      </c>
      <c r="M39" s="277">
        <f t="shared" si="2"/>
        <v>300</v>
      </c>
      <c r="N39" s="276">
        <f t="shared" si="3"/>
        <v>54.098360655737707</v>
      </c>
    </row>
    <row r="40" spans="2:14" s="275" customFormat="1" ht="24.75" customHeight="1" x14ac:dyDescent="0.25">
      <c r="B40" s="281" t="s">
        <v>440</v>
      </c>
      <c r="C40" s="280"/>
      <c r="D40" s="389" t="s">
        <v>961</v>
      </c>
      <c r="E40" s="390"/>
      <c r="F40" s="390"/>
      <c r="G40" s="390"/>
      <c r="H40" s="390"/>
      <c r="I40" s="391"/>
      <c r="J40" s="331" t="s">
        <v>449</v>
      </c>
      <c r="K40" s="279" t="s">
        <v>437</v>
      </c>
      <c r="L40" s="278">
        <v>150</v>
      </c>
      <c r="M40" s="277">
        <f t="shared" si="2"/>
        <v>150</v>
      </c>
      <c r="N40" s="276">
        <f t="shared" si="3"/>
        <v>27.049180327868854</v>
      </c>
    </row>
    <row r="41" spans="2:14" s="275" customFormat="1" ht="25.5" customHeight="1" x14ac:dyDescent="0.25">
      <c r="B41" s="281" t="s">
        <v>453</v>
      </c>
      <c r="C41" s="280"/>
      <c r="D41" s="389" t="s">
        <v>960</v>
      </c>
      <c r="E41" s="390"/>
      <c r="F41" s="390"/>
      <c r="G41" s="390"/>
      <c r="H41" s="390"/>
      <c r="I41" s="391"/>
      <c r="J41" s="291">
        <v>1</v>
      </c>
      <c r="K41" s="279" t="s">
        <v>520</v>
      </c>
      <c r="L41" s="278">
        <v>150</v>
      </c>
      <c r="M41" s="277">
        <f t="shared" si="2"/>
        <v>150</v>
      </c>
      <c r="N41" s="276">
        <f t="shared" si="3"/>
        <v>27.049180327868854</v>
      </c>
    </row>
    <row r="42" spans="2:14" s="275" customFormat="1" ht="12.75" customHeight="1" x14ac:dyDescent="0.25">
      <c r="B42" s="281" t="s">
        <v>452</v>
      </c>
      <c r="C42" s="292" t="s">
        <v>959</v>
      </c>
      <c r="D42" s="389" t="s">
        <v>958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120</v>
      </c>
      <c r="M42" s="277">
        <f t="shared" si="2"/>
        <v>120</v>
      </c>
      <c r="N42" s="276">
        <f t="shared" si="3"/>
        <v>21.639344262295083</v>
      </c>
    </row>
    <row r="43" spans="2:14" s="275" customFormat="1" ht="37.5" customHeight="1" x14ac:dyDescent="0.25">
      <c r="B43" s="281" t="s">
        <v>451</v>
      </c>
      <c r="C43" s="292" t="s">
        <v>957</v>
      </c>
      <c r="D43" s="389" t="s">
        <v>956</v>
      </c>
      <c r="E43" s="390"/>
      <c r="F43" s="390"/>
      <c r="G43" s="390"/>
      <c r="H43" s="390"/>
      <c r="I43" s="391"/>
      <c r="J43" s="291">
        <v>1</v>
      </c>
      <c r="K43" s="279" t="s">
        <v>520</v>
      </c>
      <c r="L43" s="278">
        <v>600</v>
      </c>
      <c r="M43" s="277">
        <f t="shared" si="2"/>
        <v>600</v>
      </c>
      <c r="N43" s="276">
        <f t="shared" si="3"/>
        <v>108.19672131147541</v>
      </c>
    </row>
    <row r="44" spans="2:14" s="275" customFormat="1" ht="26.25" customHeight="1" x14ac:dyDescent="0.25">
      <c r="B44" s="281" t="s">
        <v>450</v>
      </c>
      <c r="C44" s="292"/>
      <c r="D44" s="389" t="s">
        <v>955</v>
      </c>
      <c r="E44" s="390"/>
      <c r="F44" s="390"/>
      <c r="G44" s="390"/>
      <c r="H44" s="390"/>
      <c r="I44" s="391"/>
      <c r="J44" s="291">
        <v>1</v>
      </c>
      <c r="K44" s="279" t="s">
        <v>520</v>
      </c>
      <c r="L44" s="278">
        <v>200</v>
      </c>
      <c r="M44" s="277">
        <f t="shared" si="2"/>
        <v>200</v>
      </c>
      <c r="N44" s="276">
        <f t="shared" si="3"/>
        <v>36.065573770491802</v>
      </c>
    </row>
    <row r="45" spans="2:14" s="275" customFormat="1" ht="12" customHeight="1" x14ac:dyDescent="0.25">
      <c r="B45" s="281" t="s">
        <v>468</v>
      </c>
      <c r="C45" s="292">
        <v>103015</v>
      </c>
      <c r="D45" s="389" t="s">
        <v>554</v>
      </c>
      <c r="E45" s="390"/>
      <c r="F45" s="390"/>
      <c r="G45" s="390"/>
      <c r="H45" s="390"/>
      <c r="I45" s="391"/>
      <c r="J45" s="291">
        <v>1</v>
      </c>
      <c r="K45" s="279" t="s">
        <v>520</v>
      </c>
      <c r="L45" s="278">
        <v>650</v>
      </c>
      <c r="M45" s="277">
        <f t="shared" si="2"/>
        <v>650</v>
      </c>
      <c r="N45" s="276">
        <f t="shared" si="3"/>
        <v>117.21311475409836</v>
      </c>
    </row>
    <row r="46" spans="2:14" s="275" customFormat="1" ht="12.75" customHeight="1" x14ac:dyDescent="0.25">
      <c r="B46" s="281" t="s">
        <v>541</v>
      </c>
      <c r="C46" s="292" t="s">
        <v>954</v>
      </c>
      <c r="D46" s="389" t="s">
        <v>953</v>
      </c>
      <c r="E46" s="390"/>
      <c r="F46" s="390"/>
      <c r="G46" s="390"/>
      <c r="H46" s="390"/>
      <c r="I46" s="391"/>
      <c r="J46" s="291">
        <v>1</v>
      </c>
      <c r="K46" s="279" t="s">
        <v>437</v>
      </c>
      <c r="L46" s="278">
        <v>580</v>
      </c>
      <c r="M46" s="277">
        <f t="shared" si="2"/>
        <v>580</v>
      </c>
      <c r="N46" s="276">
        <f t="shared" si="3"/>
        <v>104.59016393442623</v>
      </c>
    </row>
    <row r="47" spans="2:14" x14ac:dyDescent="0.25">
      <c r="B47" s="396" t="s">
        <v>436</v>
      </c>
      <c r="C47" s="396"/>
      <c r="D47" s="396"/>
      <c r="E47" s="396"/>
      <c r="F47" s="396"/>
      <c r="G47" s="396"/>
      <c r="H47" s="396"/>
      <c r="I47" s="397"/>
      <c r="J47" s="297">
        <v>10</v>
      </c>
      <c r="K47" s="393" t="s">
        <v>435</v>
      </c>
      <c r="L47" s="395"/>
      <c r="M47" s="340">
        <f>M37+M38+M39+M40+M41+M42+M43+M44+M45+M46</f>
        <v>4500</v>
      </c>
      <c r="N47" s="276">
        <f t="shared" si="3"/>
        <v>811.47540983606552</v>
      </c>
    </row>
    <row r="49" spans="2:14" ht="15" customHeight="1" x14ac:dyDescent="0.25">
      <c r="B49" s="392" t="s">
        <v>952</v>
      </c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M49" s="392"/>
      <c r="N49" s="392"/>
    </row>
    <row r="50" spans="2:14" ht="15.75" thickBot="1" x14ac:dyDescent="0.3"/>
    <row r="51" spans="2:14" ht="16.5" thickTop="1" thickBot="1" x14ac:dyDescent="0.3">
      <c r="B51" s="271"/>
      <c r="C51" s="271"/>
      <c r="D51" s="271"/>
      <c r="E51" s="271"/>
      <c r="F51" s="271"/>
      <c r="G51" s="271"/>
      <c r="H51" s="271"/>
      <c r="I51" s="271"/>
      <c r="J51" s="271"/>
      <c r="K51" s="270"/>
      <c r="L51" s="270" t="s">
        <v>433</v>
      </c>
      <c r="M51" s="269">
        <f>M29+M47</f>
        <v>21800</v>
      </c>
      <c r="N51" s="268">
        <f>M51*22/122</f>
        <v>3931.1475409836066</v>
      </c>
    </row>
    <row r="52" spans="2:14" ht="15.75" thickTop="1" x14ac:dyDescent="0.25"/>
    <row r="53" spans="2:14" ht="15" customHeight="1" x14ac:dyDescent="0.25">
      <c r="B53" s="388" t="s">
        <v>951</v>
      </c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</row>
    <row r="56" spans="2:14" ht="15" customHeight="1" x14ac:dyDescent="0.25">
      <c r="J56" s="266" t="s">
        <v>431</v>
      </c>
      <c r="K56" s="384" t="s">
        <v>430</v>
      </c>
      <c r="L56" s="384"/>
      <c r="M56" s="384"/>
      <c r="N56" s="384"/>
    </row>
    <row r="58" spans="2:14" ht="53.25" customHeight="1" x14ac:dyDescent="0.25">
      <c r="B58" s="267"/>
      <c r="C58" s="385" t="s">
        <v>429</v>
      </c>
      <c r="D58" s="385"/>
      <c r="E58" s="385"/>
      <c r="F58" s="385"/>
      <c r="G58" s="385"/>
      <c r="H58" s="385"/>
      <c r="I58" s="385"/>
      <c r="J58" s="385"/>
      <c r="K58" s="385"/>
      <c r="L58" s="385"/>
      <c r="M58" s="385"/>
    </row>
    <row r="62" spans="2:14" ht="24" customHeight="1" x14ac:dyDescent="0.25">
      <c r="B62" s="386" t="s">
        <v>950</v>
      </c>
      <c r="C62" s="386"/>
      <c r="J62" s="266" t="s">
        <v>427</v>
      </c>
      <c r="K62" s="384" t="s">
        <v>949</v>
      </c>
      <c r="L62" s="384"/>
      <c r="M62" s="384"/>
      <c r="N62" s="384"/>
    </row>
    <row r="64" spans="2:14" ht="26.25" customHeight="1" x14ac:dyDescent="0.25">
      <c r="J64" s="266" t="s">
        <v>426</v>
      </c>
      <c r="K64" s="384" t="s">
        <v>949</v>
      </c>
      <c r="L64" s="384"/>
      <c r="M64" s="384"/>
      <c r="N64" s="384"/>
    </row>
    <row r="66" spans="2:14" x14ac:dyDescent="0.25">
      <c r="B66" s="387" t="s">
        <v>424</v>
      </c>
      <c r="C66" s="387"/>
    </row>
    <row r="67" spans="2:14" x14ac:dyDescent="0.25">
      <c r="B67" s="381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3"/>
    </row>
  </sheetData>
  <mergeCells count="45">
    <mergeCell ref="D43:I43"/>
    <mergeCell ref="B67:N67"/>
    <mergeCell ref="K56:N56"/>
    <mergeCell ref="C58:M58"/>
    <mergeCell ref="B62:C62"/>
    <mergeCell ref="K62:N62"/>
    <mergeCell ref="K64:N64"/>
    <mergeCell ref="B66:C66"/>
    <mergeCell ref="D26:H26"/>
    <mergeCell ref="J29:L29"/>
    <mergeCell ref="B31:N31"/>
    <mergeCell ref="B29:H29"/>
    <mergeCell ref="B53:N53"/>
    <mergeCell ref="D38:I38"/>
    <mergeCell ref="D39:I39"/>
    <mergeCell ref="D40:I40"/>
    <mergeCell ref="D41:I41"/>
    <mergeCell ref="D42:I42"/>
    <mergeCell ref="D44:I44"/>
    <mergeCell ref="B49:N49"/>
    <mergeCell ref="K47:L47"/>
    <mergeCell ref="D45:I45"/>
    <mergeCell ref="D46:I46"/>
    <mergeCell ref="B47:I47"/>
    <mergeCell ref="B1:J1"/>
    <mergeCell ref="B7:N7"/>
    <mergeCell ref="B11:N11"/>
    <mergeCell ref="D24:H24"/>
    <mergeCell ref="D25:H25"/>
    <mergeCell ref="B12:N12"/>
    <mergeCell ref="D19:H19"/>
    <mergeCell ref="D20:H20"/>
    <mergeCell ref="D37:I37"/>
    <mergeCell ref="M1:N3"/>
    <mergeCell ref="B2:J2"/>
    <mergeCell ref="C4:N4"/>
    <mergeCell ref="B6:G6"/>
    <mergeCell ref="H6:N6"/>
    <mergeCell ref="D35:I35"/>
    <mergeCell ref="D36:I36"/>
    <mergeCell ref="D27:H27"/>
    <mergeCell ref="D28:H28"/>
    <mergeCell ref="D22:H22"/>
    <mergeCell ref="D23:H23"/>
    <mergeCell ref="D21:H2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21F4-FFCD-4F20-8855-4989F50456C7}">
  <sheetPr codeName="Лист1">
    <pageSetUpPr fitToPage="1"/>
  </sheetPr>
  <dimension ref="B1:N80"/>
  <sheetViews>
    <sheetView workbookViewId="0">
      <selection activeCell="D22" sqref="D22:H2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573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572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571</v>
      </c>
    </row>
    <row r="18" spans="2:14" ht="15.75" thickBot="1" x14ac:dyDescent="0.3">
      <c r="B18" s="286"/>
      <c r="M18" s="284"/>
    </row>
    <row r="19" spans="2:14" ht="15.75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5.75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5" customHeight="1" x14ac:dyDescent="0.25">
      <c r="B21" s="281" t="s">
        <v>449</v>
      </c>
      <c r="C21" s="292"/>
      <c r="D21" s="389" t="s">
        <v>570</v>
      </c>
      <c r="E21" s="390"/>
      <c r="F21" s="390"/>
      <c r="G21" s="390"/>
      <c r="H21" s="391"/>
      <c r="I21" s="291">
        <v>1</v>
      </c>
      <c r="J21" s="300">
        <v>4000</v>
      </c>
      <c r="K21" s="289">
        <v>1</v>
      </c>
      <c r="L21" s="279" t="s">
        <v>11</v>
      </c>
      <c r="M21" s="277">
        <f t="shared" ref="M21:M26" si="0">J21*I21</f>
        <v>4000</v>
      </c>
      <c r="N21" s="276">
        <f t="shared" ref="N21:N34" si="1">M21*22/122</f>
        <v>721.31147540983602</v>
      </c>
    </row>
    <row r="22" spans="2:14" s="275" customFormat="1" ht="15" customHeight="1" x14ac:dyDescent="0.25">
      <c r="B22" s="281" t="s">
        <v>446</v>
      </c>
      <c r="C22" s="292"/>
      <c r="D22" s="389" t="s">
        <v>569</v>
      </c>
      <c r="E22" s="390"/>
      <c r="F22" s="390"/>
      <c r="G22" s="390"/>
      <c r="H22" s="391"/>
      <c r="I22" s="291">
        <v>1</v>
      </c>
      <c r="J22" s="300">
        <v>2000</v>
      </c>
      <c r="K22" s="289">
        <v>1</v>
      </c>
      <c r="L22" s="279" t="s">
        <v>11</v>
      </c>
      <c r="M22" s="277">
        <f t="shared" si="0"/>
        <v>2000</v>
      </c>
      <c r="N22" s="276">
        <f t="shared" si="1"/>
        <v>360.65573770491801</v>
      </c>
    </row>
    <row r="23" spans="2:14" s="275" customFormat="1" ht="15" customHeight="1" x14ac:dyDescent="0.25">
      <c r="B23" s="281" t="s">
        <v>443</v>
      </c>
      <c r="C23" s="292"/>
      <c r="D23" s="389" t="s">
        <v>568</v>
      </c>
      <c r="E23" s="390"/>
      <c r="F23" s="390"/>
      <c r="G23" s="390"/>
      <c r="H23" s="391"/>
      <c r="I23" s="291">
        <v>2</v>
      </c>
      <c r="J23" s="300">
        <v>1300</v>
      </c>
      <c r="K23" s="289">
        <v>1</v>
      </c>
      <c r="L23" s="279" t="s">
        <v>11</v>
      </c>
      <c r="M23" s="277">
        <f t="shared" si="0"/>
        <v>2600</v>
      </c>
      <c r="N23" s="276">
        <f t="shared" si="1"/>
        <v>468.85245901639342</v>
      </c>
    </row>
    <row r="24" spans="2:14" s="275" customFormat="1" ht="12" customHeight="1" x14ac:dyDescent="0.25">
      <c r="B24" s="281" t="s">
        <v>440</v>
      </c>
      <c r="C24" s="292"/>
      <c r="D24" s="389" t="s">
        <v>567</v>
      </c>
      <c r="E24" s="390"/>
      <c r="F24" s="390"/>
      <c r="G24" s="390"/>
      <c r="H24" s="391"/>
      <c r="I24" s="291">
        <v>2</v>
      </c>
      <c r="J24" s="300">
        <v>350</v>
      </c>
      <c r="K24" s="289">
        <v>1</v>
      </c>
      <c r="L24" s="279" t="s">
        <v>11</v>
      </c>
      <c r="M24" s="277">
        <f t="shared" si="0"/>
        <v>700</v>
      </c>
      <c r="N24" s="276">
        <f t="shared" si="1"/>
        <v>126.22950819672131</v>
      </c>
    </row>
    <row r="25" spans="2:14" s="275" customFormat="1" ht="11.25" customHeight="1" x14ac:dyDescent="0.25">
      <c r="B25" s="281" t="s">
        <v>453</v>
      </c>
      <c r="C25" s="292"/>
      <c r="D25" s="389" t="s">
        <v>566</v>
      </c>
      <c r="E25" s="390"/>
      <c r="F25" s="390"/>
      <c r="G25" s="390"/>
      <c r="H25" s="391"/>
      <c r="I25" s="291">
        <v>1</v>
      </c>
      <c r="J25" s="300">
        <v>500</v>
      </c>
      <c r="K25" s="289">
        <v>1</v>
      </c>
      <c r="L25" s="279" t="s">
        <v>11</v>
      </c>
      <c r="M25" s="277">
        <f t="shared" si="0"/>
        <v>500</v>
      </c>
      <c r="N25" s="276">
        <f t="shared" si="1"/>
        <v>90.163934426229503</v>
      </c>
    </row>
    <row r="26" spans="2:14" s="275" customFormat="1" ht="12" customHeight="1" x14ac:dyDescent="0.25">
      <c r="B26" s="281" t="s">
        <v>452</v>
      </c>
      <c r="C26" s="292"/>
      <c r="D26" s="389" t="s">
        <v>565</v>
      </c>
      <c r="E26" s="390"/>
      <c r="F26" s="390"/>
      <c r="G26" s="390"/>
      <c r="H26" s="391"/>
      <c r="I26" s="291">
        <v>1</v>
      </c>
      <c r="J26" s="300">
        <v>400</v>
      </c>
      <c r="K26" s="289">
        <v>1</v>
      </c>
      <c r="L26" s="279" t="s">
        <v>11</v>
      </c>
      <c r="M26" s="277">
        <f t="shared" si="0"/>
        <v>400</v>
      </c>
      <c r="N26" s="276">
        <f t="shared" si="1"/>
        <v>72.131147540983605</v>
      </c>
    </row>
    <row r="27" spans="2:14" s="275" customFormat="1" ht="24.75" customHeight="1" x14ac:dyDescent="0.25">
      <c r="B27" s="281" t="s">
        <v>451</v>
      </c>
      <c r="C27" s="292"/>
      <c r="D27" s="389" t="s">
        <v>564</v>
      </c>
      <c r="E27" s="390"/>
      <c r="F27" s="390"/>
      <c r="G27" s="390"/>
      <c r="H27" s="391"/>
      <c r="I27" s="291">
        <v>1</v>
      </c>
      <c r="J27" s="300">
        <v>1300</v>
      </c>
      <c r="K27" s="289">
        <v>1</v>
      </c>
      <c r="L27" s="279" t="s">
        <v>11</v>
      </c>
      <c r="M27" s="277">
        <v>1000</v>
      </c>
      <c r="N27" s="276">
        <f t="shared" si="1"/>
        <v>180.32786885245901</v>
      </c>
    </row>
    <row r="28" spans="2:14" s="275" customFormat="1" ht="12" customHeight="1" x14ac:dyDescent="0.25">
      <c r="B28" s="281" t="s">
        <v>450</v>
      </c>
      <c r="C28" s="292"/>
      <c r="D28" s="389" t="s">
        <v>563</v>
      </c>
      <c r="E28" s="390"/>
      <c r="F28" s="390"/>
      <c r="G28" s="390"/>
      <c r="H28" s="391"/>
      <c r="I28" s="291">
        <v>1</v>
      </c>
      <c r="J28" s="300">
        <v>4500</v>
      </c>
      <c r="K28" s="289">
        <v>1</v>
      </c>
      <c r="L28" s="279" t="s">
        <v>11</v>
      </c>
      <c r="M28" s="277">
        <f t="shared" ref="M28:M33" si="2">J28*I28</f>
        <v>4500</v>
      </c>
      <c r="N28" s="276">
        <f t="shared" si="1"/>
        <v>811.47540983606552</v>
      </c>
    </row>
    <row r="29" spans="2:14" s="275" customFormat="1" ht="12" customHeight="1" x14ac:dyDescent="0.25">
      <c r="B29" s="281" t="s">
        <v>468</v>
      </c>
      <c r="C29" s="292"/>
      <c r="D29" s="389" t="s">
        <v>562</v>
      </c>
      <c r="E29" s="390"/>
      <c r="F29" s="390"/>
      <c r="G29" s="390"/>
      <c r="H29" s="391"/>
      <c r="I29" s="291">
        <v>1</v>
      </c>
      <c r="J29" s="300">
        <v>300</v>
      </c>
      <c r="K29" s="289">
        <v>1</v>
      </c>
      <c r="L29" s="279" t="s">
        <v>11</v>
      </c>
      <c r="M29" s="277">
        <f t="shared" si="2"/>
        <v>300</v>
      </c>
      <c r="N29" s="276">
        <f t="shared" si="1"/>
        <v>54.098360655737707</v>
      </c>
    </row>
    <row r="30" spans="2:14" s="275" customFormat="1" ht="12" customHeight="1" x14ac:dyDescent="0.25">
      <c r="B30" s="281" t="s">
        <v>541</v>
      </c>
      <c r="C30" s="292"/>
      <c r="D30" s="389" t="s">
        <v>467</v>
      </c>
      <c r="E30" s="390"/>
      <c r="F30" s="390"/>
      <c r="G30" s="390"/>
      <c r="H30" s="391"/>
      <c r="I30" s="291">
        <v>1</v>
      </c>
      <c r="J30" s="300">
        <v>600</v>
      </c>
      <c r="K30" s="289">
        <v>1</v>
      </c>
      <c r="L30" s="279" t="s">
        <v>11</v>
      </c>
      <c r="M30" s="277">
        <f t="shared" si="2"/>
        <v>600</v>
      </c>
      <c r="N30" s="276">
        <f t="shared" si="1"/>
        <v>108.19672131147541</v>
      </c>
    </row>
    <row r="31" spans="2:14" s="275" customFormat="1" ht="13.5" customHeight="1" x14ac:dyDescent="0.25">
      <c r="B31" s="281" t="s">
        <v>538</v>
      </c>
      <c r="C31" s="292"/>
      <c r="D31" s="389" t="s">
        <v>465</v>
      </c>
      <c r="E31" s="390"/>
      <c r="F31" s="390"/>
      <c r="G31" s="390"/>
      <c r="H31" s="391"/>
      <c r="I31" s="291">
        <v>1</v>
      </c>
      <c r="J31" s="300">
        <v>200</v>
      </c>
      <c r="K31" s="289">
        <v>1</v>
      </c>
      <c r="L31" s="279" t="s">
        <v>11</v>
      </c>
      <c r="M31" s="277">
        <f t="shared" si="2"/>
        <v>200</v>
      </c>
      <c r="N31" s="276">
        <f t="shared" si="1"/>
        <v>36.065573770491802</v>
      </c>
    </row>
    <row r="32" spans="2:14" s="275" customFormat="1" ht="12.75" customHeight="1" x14ac:dyDescent="0.25">
      <c r="B32" s="281" t="s">
        <v>535</v>
      </c>
      <c r="C32" s="292"/>
      <c r="D32" s="389" t="s">
        <v>561</v>
      </c>
      <c r="E32" s="390"/>
      <c r="F32" s="390"/>
      <c r="G32" s="390"/>
      <c r="H32" s="391"/>
      <c r="I32" s="291">
        <v>1</v>
      </c>
      <c r="J32" s="300">
        <v>300</v>
      </c>
      <c r="K32" s="289">
        <v>1</v>
      </c>
      <c r="L32" s="279" t="s">
        <v>11</v>
      </c>
      <c r="M32" s="277">
        <f t="shared" si="2"/>
        <v>300</v>
      </c>
      <c r="N32" s="276">
        <f t="shared" si="1"/>
        <v>54.098360655737707</v>
      </c>
    </row>
    <row r="33" spans="2:14" s="275" customFormat="1" ht="22.5" customHeight="1" x14ac:dyDescent="0.25">
      <c r="B33" s="281" t="s">
        <v>532</v>
      </c>
      <c r="C33" s="292"/>
      <c r="D33" s="389" t="s">
        <v>560</v>
      </c>
      <c r="E33" s="390"/>
      <c r="F33" s="390"/>
      <c r="G33" s="390"/>
      <c r="H33" s="391"/>
      <c r="I33" s="291">
        <v>1</v>
      </c>
      <c r="J33" s="300">
        <v>2000</v>
      </c>
      <c r="K33" s="289">
        <v>1</v>
      </c>
      <c r="L33" s="279" t="s">
        <v>11</v>
      </c>
      <c r="M33" s="277">
        <f t="shared" si="2"/>
        <v>2000</v>
      </c>
      <c r="N33" s="276">
        <f t="shared" si="1"/>
        <v>360.65573770491801</v>
      </c>
    </row>
    <row r="34" spans="2:14" x14ac:dyDescent="0.25">
      <c r="B34" s="396" t="s">
        <v>464</v>
      </c>
      <c r="C34" s="396"/>
      <c r="D34" s="396"/>
      <c r="E34" s="396"/>
      <c r="F34" s="396"/>
      <c r="G34" s="396"/>
      <c r="H34" s="397"/>
      <c r="I34" s="299">
        <v>15</v>
      </c>
      <c r="J34" s="393" t="s">
        <v>435</v>
      </c>
      <c r="K34" s="394"/>
      <c r="L34" s="395"/>
      <c r="M34" s="277">
        <f>M21+M22+M23+M24+M25+M26+M27+M28+M29+M30+M31+M32+M33</f>
        <v>19100</v>
      </c>
      <c r="N34" s="276">
        <f t="shared" si="1"/>
        <v>3444.2622950819673</v>
      </c>
    </row>
    <row r="35" spans="2:14" ht="9" customHeight="1" x14ac:dyDescent="0.25"/>
    <row r="36" spans="2:14" ht="15" customHeight="1" x14ac:dyDescent="0.25">
      <c r="B36" s="392" t="s">
        <v>559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</row>
    <row r="37" spans="2:14" ht="7.5" customHeight="1" x14ac:dyDescent="0.25"/>
    <row r="38" spans="2:14" x14ac:dyDescent="0.25">
      <c r="C38" s="287" t="s">
        <v>558</v>
      </c>
    </row>
    <row r="39" spans="2:14" ht="15.75" thickBot="1" x14ac:dyDescent="0.3">
      <c r="B39" s="286"/>
      <c r="C39" s="285"/>
      <c r="D39" s="285"/>
      <c r="H39" s="285"/>
      <c r="I39" s="285"/>
      <c r="M39" s="284"/>
      <c r="N39" s="284"/>
    </row>
    <row r="40" spans="2:14" ht="15.75" thickBot="1" x14ac:dyDescent="0.3">
      <c r="B40" s="282" t="s">
        <v>461</v>
      </c>
      <c r="C40" s="283" t="s">
        <v>460</v>
      </c>
      <c r="D40" s="398" t="s">
        <v>459</v>
      </c>
      <c r="E40" s="399"/>
      <c r="F40" s="399"/>
      <c r="G40" s="399"/>
      <c r="H40" s="399"/>
      <c r="I40" s="400"/>
      <c r="J40" s="282" t="s">
        <v>458</v>
      </c>
      <c r="K40" s="282" t="s">
        <v>457</v>
      </c>
      <c r="L40" s="282" t="s">
        <v>456</v>
      </c>
      <c r="M40" s="282" t="s">
        <v>455</v>
      </c>
      <c r="N40" s="282" t="s">
        <v>454</v>
      </c>
    </row>
    <row r="41" spans="2:14" ht="15.75" thickBot="1" x14ac:dyDescent="0.3">
      <c r="B41" s="282" t="s">
        <v>449</v>
      </c>
      <c r="C41" s="283" t="s">
        <v>446</v>
      </c>
      <c r="D41" s="398" t="s">
        <v>443</v>
      </c>
      <c r="E41" s="399"/>
      <c r="F41" s="399"/>
      <c r="G41" s="399"/>
      <c r="H41" s="399"/>
      <c r="I41" s="400"/>
      <c r="J41" s="282" t="s">
        <v>440</v>
      </c>
      <c r="K41" s="282" t="s">
        <v>453</v>
      </c>
      <c r="L41" s="282" t="s">
        <v>452</v>
      </c>
      <c r="M41" s="282" t="s">
        <v>451</v>
      </c>
      <c r="N41" s="282" t="s">
        <v>450</v>
      </c>
    </row>
    <row r="42" spans="2:14" s="275" customFormat="1" ht="24" customHeight="1" x14ac:dyDescent="0.25">
      <c r="B42" s="281" t="s">
        <v>449</v>
      </c>
      <c r="C42" s="292" t="s">
        <v>557</v>
      </c>
      <c r="D42" s="467" t="s">
        <v>556</v>
      </c>
      <c r="E42" s="468"/>
      <c r="F42" s="468"/>
      <c r="G42" s="468"/>
      <c r="H42" s="468"/>
      <c r="I42" s="469"/>
      <c r="J42" s="291">
        <v>1</v>
      </c>
      <c r="K42" s="279" t="s">
        <v>437</v>
      </c>
      <c r="L42" s="278">
        <v>3900</v>
      </c>
      <c r="M42" s="277">
        <f t="shared" ref="M42:M58" si="3">L42*J42</f>
        <v>3900</v>
      </c>
      <c r="N42" s="276">
        <f t="shared" ref="N42:N59" si="4">M42*22/122</f>
        <v>703.27868852459017</v>
      </c>
    </row>
    <row r="43" spans="2:14" s="275" customFormat="1" ht="12.75" customHeight="1" x14ac:dyDescent="0.25">
      <c r="B43" s="281" t="s">
        <v>446</v>
      </c>
      <c r="C43" s="292">
        <v>614503</v>
      </c>
      <c r="D43" s="389" t="s">
        <v>488</v>
      </c>
      <c r="E43" s="390"/>
      <c r="F43" s="390"/>
      <c r="G43" s="390"/>
      <c r="H43" s="390"/>
      <c r="I43" s="391"/>
      <c r="J43" s="291">
        <v>1</v>
      </c>
      <c r="K43" s="279" t="s">
        <v>437</v>
      </c>
      <c r="L43" s="278">
        <v>1000</v>
      </c>
      <c r="M43" s="277">
        <f t="shared" si="3"/>
        <v>1000</v>
      </c>
      <c r="N43" s="276">
        <f t="shared" si="4"/>
        <v>180.32786885245901</v>
      </c>
    </row>
    <row r="44" spans="2:14" s="275" customFormat="1" ht="12" customHeight="1" x14ac:dyDescent="0.25">
      <c r="B44" s="281" t="s">
        <v>443</v>
      </c>
      <c r="C44" s="280" t="s">
        <v>555</v>
      </c>
      <c r="D44" s="389" t="s">
        <v>554</v>
      </c>
      <c r="E44" s="390"/>
      <c r="F44" s="390"/>
      <c r="G44" s="390"/>
      <c r="H44" s="390"/>
      <c r="I44" s="391"/>
      <c r="J44" s="331" t="s">
        <v>449</v>
      </c>
      <c r="K44" s="279" t="s">
        <v>437</v>
      </c>
      <c r="L44" s="278">
        <v>650</v>
      </c>
      <c r="M44" s="277">
        <f t="shared" si="3"/>
        <v>650</v>
      </c>
      <c r="N44" s="276">
        <f t="shared" si="4"/>
        <v>117.21311475409836</v>
      </c>
    </row>
    <row r="45" spans="2:14" s="275" customFormat="1" ht="23.25" customHeight="1" x14ac:dyDescent="0.25">
      <c r="B45" s="281" t="s">
        <v>440</v>
      </c>
      <c r="C45" s="280" t="s">
        <v>553</v>
      </c>
      <c r="D45" s="389" t="s">
        <v>552</v>
      </c>
      <c r="E45" s="390"/>
      <c r="F45" s="390"/>
      <c r="G45" s="390"/>
      <c r="H45" s="390"/>
      <c r="I45" s="391"/>
      <c r="J45" s="291">
        <v>1</v>
      </c>
      <c r="K45" s="279" t="s">
        <v>437</v>
      </c>
      <c r="L45" s="278">
        <v>500</v>
      </c>
      <c r="M45" s="277">
        <f t="shared" si="3"/>
        <v>500</v>
      </c>
      <c r="N45" s="276">
        <f t="shared" si="4"/>
        <v>90.163934426229503</v>
      </c>
    </row>
    <row r="46" spans="2:14" s="275" customFormat="1" ht="25.5" customHeight="1" x14ac:dyDescent="0.25">
      <c r="B46" s="281" t="s">
        <v>453</v>
      </c>
      <c r="C46" s="280" t="s">
        <v>551</v>
      </c>
      <c r="D46" s="389" t="s">
        <v>550</v>
      </c>
      <c r="E46" s="390"/>
      <c r="F46" s="390"/>
      <c r="G46" s="390"/>
      <c r="H46" s="390"/>
      <c r="I46" s="391"/>
      <c r="J46" s="291">
        <v>1</v>
      </c>
      <c r="K46" s="279" t="s">
        <v>437</v>
      </c>
      <c r="L46" s="278">
        <v>200</v>
      </c>
      <c r="M46" s="277">
        <f t="shared" si="3"/>
        <v>200</v>
      </c>
      <c r="N46" s="276">
        <f t="shared" si="4"/>
        <v>36.065573770491802</v>
      </c>
    </row>
    <row r="47" spans="2:14" s="275" customFormat="1" ht="24.75" customHeight="1" x14ac:dyDescent="0.25">
      <c r="B47" s="281" t="s">
        <v>452</v>
      </c>
      <c r="C47" s="292" t="s">
        <v>549</v>
      </c>
      <c r="D47" s="389" t="s">
        <v>548</v>
      </c>
      <c r="E47" s="390"/>
      <c r="F47" s="390"/>
      <c r="G47" s="390"/>
      <c r="H47" s="390"/>
      <c r="I47" s="391"/>
      <c r="J47" s="291">
        <v>2</v>
      </c>
      <c r="K47" s="279" t="s">
        <v>437</v>
      </c>
      <c r="L47" s="278">
        <v>650</v>
      </c>
      <c r="M47" s="277">
        <f t="shared" si="3"/>
        <v>1300</v>
      </c>
      <c r="N47" s="276">
        <f t="shared" si="4"/>
        <v>234.42622950819671</v>
      </c>
    </row>
    <row r="48" spans="2:14" s="275" customFormat="1" ht="26.25" customHeight="1" x14ac:dyDescent="0.25">
      <c r="B48" s="281" t="s">
        <v>451</v>
      </c>
      <c r="C48" s="292" t="s">
        <v>547</v>
      </c>
      <c r="D48" s="389" t="s">
        <v>546</v>
      </c>
      <c r="E48" s="390"/>
      <c r="F48" s="390"/>
      <c r="G48" s="390"/>
      <c r="H48" s="390"/>
      <c r="I48" s="391"/>
      <c r="J48" s="291">
        <v>2</v>
      </c>
      <c r="K48" s="279" t="s">
        <v>437</v>
      </c>
      <c r="L48" s="278">
        <v>950</v>
      </c>
      <c r="M48" s="277">
        <f t="shared" si="3"/>
        <v>1900</v>
      </c>
      <c r="N48" s="276">
        <f t="shared" si="4"/>
        <v>342.62295081967216</v>
      </c>
    </row>
    <row r="49" spans="2:14" s="275" customFormat="1" ht="23.25" customHeight="1" x14ac:dyDescent="0.25">
      <c r="B49" s="281" t="s">
        <v>450</v>
      </c>
      <c r="C49" s="292" t="s">
        <v>545</v>
      </c>
      <c r="D49" s="389" t="s">
        <v>544</v>
      </c>
      <c r="E49" s="390"/>
      <c r="F49" s="390"/>
      <c r="G49" s="390"/>
      <c r="H49" s="390"/>
      <c r="I49" s="391"/>
      <c r="J49" s="291">
        <v>2</v>
      </c>
      <c r="K49" s="279" t="s">
        <v>437</v>
      </c>
      <c r="L49" s="278">
        <v>350</v>
      </c>
      <c r="M49" s="277">
        <f t="shared" si="3"/>
        <v>700</v>
      </c>
      <c r="N49" s="276">
        <f t="shared" si="4"/>
        <v>126.22950819672131</v>
      </c>
    </row>
    <row r="50" spans="2:14" s="275" customFormat="1" ht="35.25" customHeight="1" x14ac:dyDescent="0.25">
      <c r="B50" s="281" t="s">
        <v>468</v>
      </c>
      <c r="C50" s="292" t="s">
        <v>543</v>
      </c>
      <c r="D50" s="389" t="s">
        <v>542</v>
      </c>
      <c r="E50" s="390"/>
      <c r="F50" s="390"/>
      <c r="G50" s="390"/>
      <c r="H50" s="390"/>
      <c r="I50" s="391"/>
      <c r="J50" s="291">
        <v>1</v>
      </c>
      <c r="K50" s="279" t="s">
        <v>437</v>
      </c>
      <c r="L50" s="278">
        <v>250</v>
      </c>
      <c r="M50" s="277">
        <f t="shared" si="3"/>
        <v>250</v>
      </c>
      <c r="N50" s="276">
        <f t="shared" si="4"/>
        <v>45.081967213114751</v>
      </c>
    </row>
    <row r="51" spans="2:14" s="275" customFormat="1" ht="25.5" customHeight="1" x14ac:dyDescent="0.25">
      <c r="B51" s="281" t="s">
        <v>541</v>
      </c>
      <c r="C51" s="292" t="s">
        <v>540</v>
      </c>
      <c r="D51" s="389" t="s">
        <v>539</v>
      </c>
      <c r="E51" s="390"/>
      <c r="F51" s="390"/>
      <c r="G51" s="390"/>
      <c r="H51" s="390"/>
      <c r="I51" s="391"/>
      <c r="J51" s="291">
        <v>1</v>
      </c>
      <c r="K51" s="279" t="s">
        <v>437</v>
      </c>
      <c r="L51" s="278">
        <v>400</v>
      </c>
      <c r="M51" s="277">
        <f t="shared" si="3"/>
        <v>400</v>
      </c>
      <c r="N51" s="276">
        <f t="shared" si="4"/>
        <v>72.131147540983605</v>
      </c>
    </row>
    <row r="52" spans="2:14" s="275" customFormat="1" ht="12.75" customHeight="1" x14ac:dyDescent="0.25">
      <c r="B52" s="281" t="s">
        <v>538</v>
      </c>
      <c r="C52" s="292" t="s">
        <v>537</v>
      </c>
      <c r="D52" s="389" t="s">
        <v>536</v>
      </c>
      <c r="E52" s="390"/>
      <c r="F52" s="390"/>
      <c r="G52" s="390"/>
      <c r="H52" s="390"/>
      <c r="I52" s="391"/>
      <c r="J52" s="291">
        <v>1</v>
      </c>
      <c r="K52" s="279" t="s">
        <v>437</v>
      </c>
      <c r="L52" s="278">
        <v>400</v>
      </c>
      <c r="M52" s="277">
        <f t="shared" si="3"/>
        <v>400</v>
      </c>
      <c r="N52" s="276">
        <f t="shared" si="4"/>
        <v>72.131147540983605</v>
      </c>
    </row>
    <row r="53" spans="2:14" s="275" customFormat="1" ht="27" customHeight="1" x14ac:dyDescent="0.25">
      <c r="B53" s="281" t="s">
        <v>535</v>
      </c>
      <c r="C53" s="280" t="s">
        <v>534</v>
      </c>
      <c r="D53" s="389" t="s">
        <v>533</v>
      </c>
      <c r="E53" s="390"/>
      <c r="F53" s="390"/>
      <c r="G53" s="390"/>
      <c r="H53" s="390"/>
      <c r="I53" s="391"/>
      <c r="J53" s="291">
        <v>1</v>
      </c>
      <c r="K53" s="279" t="s">
        <v>437</v>
      </c>
      <c r="L53" s="278">
        <v>350</v>
      </c>
      <c r="M53" s="277">
        <f t="shared" si="3"/>
        <v>350</v>
      </c>
      <c r="N53" s="276">
        <f t="shared" si="4"/>
        <v>63.114754098360656</v>
      </c>
    </row>
    <row r="54" spans="2:14" s="275" customFormat="1" ht="12.75" customHeight="1" x14ac:dyDescent="0.25">
      <c r="B54" s="281" t="s">
        <v>532</v>
      </c>
      <c r="C54" s="280" t="s">
        <v>531</v>
      </c>
      <c r="D54" s="389" t="s">
        <v>530</v>
      </c>
      <c r="E54" s="390"/>
      <c r="F54" s="390"/>
      <c r="G54" s="390"/>
      <c r="H54" s="390"/>
      <c r="I54" s="391"/>
      <c r="J54" s="291">
        <v>1</v>
      </c>
      <c r="K54" s="279" t="s">
        <v>437</v>
      </c>
      <c r="L54" s="278">
        <v>1150</v>
      </c>
      <c r="M54" s="277">
        <f t="shared" si="3"/>
        <v>1150</v>
      </c>
      <c r="N54" s="276">
        <f t="shared" si="4"/>
        <v>207.37704918032787</v>
      </c>
    </row>
    <row r="55" spans="2:14" s="275" customFormat="1" ht="26.25" customHeight="1" x14ac:dyDescent="0.25">
      <c r="B55" s="281" t="s">
        <v>529</v>
      </c>
      <c r="C55" s="280" t="s">
        <v>528</v>
      </c>
      <c r="D55" s="389" t="s">
        <v>527</v>
      </c>
      <c r="E55" s="390"/>
      <c r="F55" s="390"/>
      <c r="G55" s="390"/>
      <c r="H55" s="390"/>
      <c r="I55" s="391"/>
      <c r="J55" s="291">
        <v>1</v>
      </c>
      <c r="K55" s="279" t="s">
        <v>437</v>
      </c>
      <c r="L55" s="278">
        <v>400</v>
      </c>
      <c r="M55" s="277">
        <f t="shared" si="3"/>
        <v>400</v>
      </c>
      <c r="N55" s="276">
        <f t="shared" si="4"/>
        <v>72.131147540983605</v>
      </c>
    </row>
    <row r="56" spans="2:14" s="275" customFormat="1" ht="24" customHeight="1" x14ac:dyDescent="0.25">
      <c r="B56" s="281" t="s">
        <v>526</v>
      </c>
      <c r="C56" s="280" t="s">
        <v>525</v>
      </c>
      <c r="D56" s="389" t="s">
        <v>524</v>
      </c>
      <c r="E56" s="390"/>
      <c r="F56" s="390"/>
      <c r="G56" s="390"/>
      <c r="H56" s="390"/>
      <c r="I56" s="391"/>
      <c r="J56" s="291">
        <v>1</v>
      </c>
      <c r="K56" s="279" t="s">
        <v>520</v>
      </c>
      <c r="L56" s="278">
        <v>600</v>
      </c>
      <c r="M56" s="277">
        <f t="shared" si="3"/>
        <v>600</v>
      </c>
      <c r="N56" s="276">
        <f t="shared" si="4"/>
        <v>108.19672131147541</v>
      </c>
    </row>
    <row r="57" spans="2:14" s="275" customFormat="1" ht="22.5" customHeight="1" x14ac:dyDescent="0.25">
      <c r="B57" s="281" t="s">
        <v>523</v>
      </c>
      <c r="C57" s="280" t="s">
        <v>522</v>
      </c>
      <c r="D57" s="389" t="s">
        <v>521</v>
      </c>
      <c r="E57" s="390"/>
      <c r="F57" s="390"/>
      <c r="G57" s="390"/>
      <c r="H57" s="390"/>
      <c r="I57" s="391"/>
      <c r="J57" s="291">
        <v>1</v>
      </c>
      <c r="K57" s="279" t="s">
        <v>520</v>
      </c>
      <c r="L57" s="278">
        <v>1500</v>
      </c>
      <c r="M57" s="277">
        <f t="shared" si="3"/>
        <v>1500</v>
      </c>
      <c r="N57" s="276">
        <f t="shared" si="4"/>
        <v>270.49180327868851</v>
      </c>
    </row>
    <row r="58" spans="2:14" s="275" customFormat="1" ht="12.75" customHeight="1" x14ac:dyDescent="0.25">
      <c r="B58" s="281" t="s">
        <v>519</v>
      </c>
      <c r="C58" s="292">
        <v>4008</v>
      </c>
      <c r="D58" s="389" t="s">
        <v>518</v>
      </c>
      <c r="E58" s="390"/>
      <c r="F58" s="390"/>
      <c r="G58" s="390"/>
      <c r="H58" s="390"/>
      <c r="I58" s="391"/>
      <c r="J58" s="291">
        <v>1</v>
      </c>
      <c r="K58" s="279" t="s">
        <v>437</v>
      </c>
      <c r="L58" s="278">
        <v>250</v>
      </c>
      <c r="M58" s="277">
        <f t="shared" si="3"/>
        <v>250</v>
      </c>
      <c r="N58" s="276">
        <f t="shared" si="4"/>
        <v>45.081967213114751</v>
      </c>
    </row>
    <row r="59" spans="2:14" x14ac:dyDescent="0.25">
      <c r="B59" s="396" t="s">
        <v>436</v>
      </c>
      <c r="C59" s="396"/>
      <c r="D59" s="396"/>
      <c r="E59" s="396"/>
      <c r="F59" s="396"/>
      <c r="G59" s="396"/>
      <c r="H59" s="396"/>
      <c r="I59" s="397"/>
      <c r="J59" s="297">
        <v>20</v>
      </c>
      <c r="K59" s="393" t="s">
        <v>435</v>
      </c>
      <c r="L59" s="395"/>
      <c r="M59" s="277">
        <f>M42+M43+M44+M45+M46+M47+M48+M49+M50+M51+M52+M53+M54+M55+M56+M57+M58</f>
        <v>15450</v>
      </c>
      <c r="N59" s="276">
        <f t="shared" si="4"/>
        <v>2786.0655737704919</v>
      </c>
    </row>
    <row r="61" spans="2:14" ht="15" customHeight="1" x14ac:dyDescent="0.25">
      <c r="B61" s="392" t="s">
        <v>517</v>
      </c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</row>
    <row r="62" spans="2:14" ht="15.75" thickBot="1" x14ac:dyDescent="0.3"/>
    <row r="63" spans="2:14" ht="16.5" thickTop="1" thickBot="1" x14ac:dyDescent="0.3">
      <c r="B63" s="271"/>
      <c r="C63" s="271"/>
      <c r="D63" s="271"/>
      <c r="E63" s="271"/>
      <c r="F63" s="271"/>
      <c r="G63" s="271"/>
      <c r="H63" s="271"/>
      <c r="I63" s="271"/>
      <c r="J63" s="271"/>
      <c r="K63" s="270"/>
      <c r="L63" s="270" t="s">
        <v>433</v>
      </c>
      <c r="M63" s="269">
        <f>M34+M59</f>
        <v>34550</v>
      </c>
      <c r="N63" s="268">
        <f>M63*22/122</f>
        <v>6230.3278688524588</v>
      </c>
    </row>
    <row r="64" spans="2:14" ht="15.75" thickTop="1" x14ac:dyDescent="0.25"/>
    <row r="65" spans="2:14" ht="15" customHeight="1" x14ac:dyDescent="0.25">
      <c r="B65" s="388" t="s">
        <v>516</v>
      </c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</row>
    <row r="68" spans="2:14" ht="15" customHeight="1" x14ac:dyDescent="0.25">
      <c r="J68" s="266" t="s">
        <v>431</v>
      </c>
      <c r="K68" s="384" t="s">
        <v>430</v>
      </c>
      <c r="L68" s="384"/>
      <c r="M68" s="384"/>
      <c r="N68" s="384"/>
    </row>
    <row r="70" spans="2:14" ht="53.25" customHeight="1" x14ac:dyDescent="0.25">
      <c r="B70" s="267"/>
      <c r="C70" s="385" t="s">
        <v>429</v>
      </c>
      <c r="D70" s="385"/>
      <c r="E70" s="385"/>
      <c r="F70" s="385"/>
      <c r="G70" s="385"/>
      <c r="H70" s="385"/>
      <c r="I70" s="385"/>
      <c r="J70" s="385"/>
      <c r="K70" s="385"/>
      <c r="L70" s="385"/>
      <c r="M70" s="385"/>
    </row>
    <row r="75" spans="2:14" ht="24" customHeight="1" x14ac:dyDescent="0.25">
      <c r="B75" s="386" t="s">
        <v>515</v>
      </c>
      <c r="C75" s="386"/>
      <c r="J75" s="266" t="s">
        <v>427</v>
      </c>
      <c r="K75" s="384" t="s">
        <v>425</v>
      </c>
      <c r="L75" s="384"/>
      <c r="M75" s="384"/>
      <c r="N75" s="384"/>
    </row>
    <row r="77" spans="2:14" ht="26.25" customHeight="1" x14ac:dyDescent="0.25">
      <c r="J77" s="266" t="s">
        <v>426</v>
      </c>
      <c r="K77" s="384" t="s">
        <v>425</v>
      </c>
      <c r="L77" s="384"/>
      <c r="M77" s="384"/>
      <c r="N77" s="384"/>
    </row>
    <row r="79" spans="2:14" x14ac:dyDescent="0.25">
      <c r="B79" s="387" t="s">
        <v>424</v>
      </c>
      <c r="C79" s="387"/>
    </row>
    <row r="80" spans="2:14" x14ac:dyDescent="0.25">
      <c r="B80" s="381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3"/>
    </row>
  </sheetData>
  <mergeCells count="57">
    <mergeCell ref="B80:N80"/>
    <mergeCell ref="D31:H31"/>
    <mergeCell ref="D32:H32"/>
    <mergeCell ref="D48:I48"/>
    <mergeCell ref="D49:I49"/>
    <mergeCell ref="D50:I50"/>
    <mergeCell ref="D51:I51"/>
    <mergeCell ref="D52:I52"/>
    <mergeCell ref="K68:N68"/>
    <mergeCell ref="C70:M70"/>
    <mergeCell ref="B75:C75"/>
    <mergeCell ref="K75:N75"/>
    <mergeCell ref="K77:N77"/>
    <mergeCell ref="B79:C79"/>
    <mergeCell ref="B59:I59"/>
    <mergeCell ref="B65:N65"/>
    <mergeCell ref="B61:N61"/>
    <mergeCell ref="D57:I57"/>
    <mergeCell ref="D43:I43"/>
    <mergeCell ref="D44:I44"/>
    <mergeCell ref="D45:I45"/>
    <mergeCell ref="D46:I46"/>
    <mergeCell ref="D47:I47"/>
    <mergeCell ref="D27:H27"/>
    <mergeCell ref="D28:H28"/>
    <mergeCell ref="D29:H29"/>
    <mergeCell ref="D30:H30"/>
    <mergeCell ref="D33:H33"/>
    <mergeCell ref="D22:H22"/>
    <mergeCell ref="D23:H23"/>
    <mergeCell ref="D24:H24"/>
    <mergeCell ref="D25:H25"/>
    <mergeCell ref="D26:H26"/>
    <mergeCell ref="B34:H34"/>
    <mergeCell ref="D58:I58"/>
    <mergeCell ref="D40:I40"/>
    <mergeCell ref="D41:I41"/>
    <mergeCell ref="K59:L59"/>
    <mergeCell ref="J34:L34"/>
    <mergeCell ref="B36:N36"/>
    <mergeCell ref="D42:I42"/>
    <mergeCell ref="D53:I53"/>
    <mergeCell ref="D54:I54"/>
    <mergeCell ref="D55:I55"/>
    <mergeCell ref="D56:I56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9" scale="72" fitToHeight="2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6549-7628-4ABB-914F-B61E5B81F5B3}">
  <sheetPr codeName="Лист112"/>
  <dimension ref="A1:I15"/>
  <sheetViews>
    <sheetView workbookViewId="0">
      <selection activeCell="B22" sqref="B22"/>
    </sheetView>
  </sheetViews>
  <sheetFormatPr defaultRowHeight="12.75" x14ac:dyDescent="0.2"/>
  <cols>
    <col min="1" max="16384" width="9.140625" style="44"/>
  </cols>
  <sheetData>
    <row r="1" spans="1:9" ht="13.5" thickBot="1" x14ac:dyDescent="0.25">
      <c r="A1" s="470" t="s">
        <v>165</v>
      </c>
      <c r="B1" s="470"/>
    </row>
    <row r="2" spans="1:9" ht="51" thickBot="1" x14ac:dyDescent="0.25">
      <c r="A2" s="76" t="s">
        <v>98</v>
      </c>
      <c r="B2" s="76" t="s">
        <v>158</v>
      </c>
    </row>
    <row r="3" spans="1:9" ht="13.5" thickBot="1" x14ac:dyDescent="0.25">
      <c r="A3" s="474" t="s">
        <v>171</v>
      </c>
      <c r="B3" s="475"/>
    </row>
    <row r="5" spans="1:9" ht="13.5" thickBot="1" x14ac:dyDescent="0.25">
      <c r="A5" s="476" t="s">
        <v>174</v>
      </c>
      <c r="B5" s="470"/>
      <c r="C5" s="470"/>
      <c r="D5" s="470"/>
      <c r="E5" s="470"/>
      <c r="F5" s="470"/>
      <c r="G5" s="470"/>
      <c r="H5" s="470"/>
      <c r="I5" s="470"/>
    </row>
    <row r="6" spans="1:9" ht="13.5" thickBot="1" x14ac:dyDescent="0.25">
      <c r="A6" s="95" t="s">
        <v>46</v>
      </c>
      <c r="B6" s="95" t="s">
        <v>82</v>
      </c>
      <c r="C6" s="95" t="s">
        <v>47</v>
      </c>
      <c r="D6" s="95" t="s">
        <v>83</v>
      </c>
      <c r="E6" s="95" t="s">
        <v>48</v>
      </c>
      <c r="F6" s="96" t="s">
        <v>49</v>
      </c>
      <c r="G6" s="95" t="s">
        <v>50</v>
      </c>
      <c r="H6" s="98" t="s">
        <v>51</v>
      </c>
      <c r="I6" s="97" t="s">
        <v>77</v>
      </c>
    </row>
    <row r="7" spans="1:9" ht="13.5" thickBot="1" x14ac:dyDescent="0.25">
      <c r="A7" s="95" t="s">
        <v>84</v>
      </c>
      <c r="B7" s="95" t="s">
        <v>85</v>
      </c>
      <c r="C7" s="95" t="s">
        <v>86</v>
      </c>
      <c r="D7" s="95" t="s">
        <v>87</v>
      </c>
      <c r="E7" s="96" t="s">
        <v>88</v>
      </c>
      <c r="F7" s="96" t="s">
        <v>89</v>
      </c>
      <c r="G7" s="95" t="s">
        <v>90</v>
      </c>
      <c r="H7" s="98" t="s">
        <v>91</v>
      </c>
      <c r="I7" s="98" t="s">
        <v>92</v>
      </c>
    </row>
    <row r="8" spans="1:9" ht="58.5" thickBot="1" x14ac:dyDescent="0.25">
      <c r="A8" s="99" t="s">
        <v>84</v>
      </c>
      <c r="B8" s="77"/>
      <c r="C8" s="101" t="s">
        <v>164</v>
      </c>
      <c r="D8" s="99" t="s">
        <v>87</v>
      </c>
      <c r="E8" s="94" t="s">
        <v>96</v>
      </c>
      <c r="F8" s="99" t="s">
        <v>97</v>
      </c>
      <c r="G8" s="99" t="s">
        <v>52</v>
      </c>
      <c r="H8" s="75" t="s">
        <v>163</v>
      </c>
      <c r="I8" s="100" t="s">
        <v>121</v>
      </c>
    </row>
    <row r="9" spans="1:9" ht="13.5" thickBot="1" x14ac:dyDescent="0.25">
      <c r="A9" s="471" t="s">
        <v>100</v>
      </c>
      <c r="B9" s="471"/>
      <c r="C9" s="472"/>
      <c r="D9" s="99" t="s">
        <v>87</v>
      </c>
      <c r="E9" s="473" t="s">
        <v>113</v>
      </c>
      <c r="F9" s="471"/>
      <c r="G9" s="472"/>
      <c r="H9" s="75" t="s">
        <v>117</v>
      </c>
      <c r="I9" s="100" t="s">
        <v>116</v>
      </c>
    </row>
    <row r="11" spans="1:9" ht="13.5" thickBot="1" x14ac:dyDescent="0.25">
      <c r="A11" s="470" t="s">
        <v>162</v>
      </c>
      <c r="B11" s="470"/>
      <c r="C11" s="470"/>
      <c r="D11" s="470"/>
      <c r="E11" s="470"/>
      <c r="F11" s="470"/>
      <c r="G11" s="470"/>
      <c r="H11" s="470"/>
    </row>
    <row r="12" spans="1:9" ht="13.5" thickBot="1" x14ac:dyDescent="0.25">
      <c r="A12" s="95" t="s">
        <v>46</v>
      </c>
      <c r="B12" s="95" t="s">
        <v>82</v>
      </c>
      <c r="C12" s="95" t="s">
        <v>47</v>
      </c>
      <c r="D12" s="129" t="s">
        <v>53</v>
      </c>
      <c r="E12" s="129" t="s">
        <v>94</v>
      </c>
      <c r="F12" s="95" t="s">
        <v>48</v>
      </c>
      <c r="G12" s="98" t="s">
        <v>51</v>
      </c>
      <c r="H12" s="97" t="s">
        <v>77</v>
      </c>
    </row>
    <row r="13" spans="1:9" ht="13.5" thickBot="1" x14ac:dyDescent="0.25">
      <c r="A13" s="95" t="s">
        <v>84</v>
      </c>
      <c r="B13" s="95" t="s">
        <v>85</v>
      </c>
      <c r="C13" s="95" t="s">
        <v>86</v>
      </c>
      <c r="D13" s="96" t="s">
        <v>87</v>
      </c>
      <c r="E13" s="96" t="s">
        <v>88</v>
      </c>
      <c r="F13" s="95" t="s">
        <v>89</v>
      </c>
      <c r="G13" s="98" t="s">
        <v>90</v>
      </c>
      <c r="H13" s="97" t="s">
        <v>91</v>
      </c>
    </row>
    <row r="14" spans="1:9" ht="13.5" thickBot="1" x14ac:dyDescent="0.25">
      <c r="A14" s="78"/>
      <c r="B14" s="77"/>
      <c r="C14" s="141"/>
      <c r="D14" s="78"/>
      <c r="E14" s="78"/>
      <c r="F14" s="94"/>
      <c r="G14" s="77"/>
      <c r="H14" s="78"/>
    </row>
    <row r="15" spans="1:9" ht="13.5" thickBot="1" x14ac:dyDescent="0.25">
      <c r="A15" s="471" t="s">
        <v>110</v>
      </c>
      <c r="B15" s="471"/>
      <c r="C15" s="472"/>
      <c r="D15" s="94" t="s">
        <v>84</v>
      </c>
      <c r="E15" s="473" t="s">
        <v>93</v>
      </c>
      <c r="F15" s="472"/>
      <c r="G15" s="100" t="s">
        <v>154</v>
      </c>
      <c r="H15" s="100" t="s">
        <v>154</v>
      </c>
    </row>
  </sheetData>
  <mergeCells count="8">
    <mergeCell ref="A11:H11"/>
    <mergeCell ref="A15:C15"/>
    <mergeCell ref="E15:F15"/>
    <mergeCell ref="A1:B1"/>
    <mergeCell ref="A3:B3"/>
    <mergeCell ref="A5:I5"/>
    <mergeCell ref="A9:C9"/>
    <mergeCell ref="E9:G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7A7E-6095-4824-8D24-6D0615D1C4FA}">
  <sheetPr codeName="Лист2"/>
  <dimension ref="A1:F9"/>
  <sheetViews>
    <sheetView workbookViewId="0">
      <selection sqref="A1:F1"/>
    </sheetView>
  </sheetViews>
  <sheetFormatPr defaultRowHeight="12.75" x14ac:dyDescent="0.2"/>
  <cols>
    <col min="1" max="16384" width="9.140625" style="41"/>
  </cols>
  <sheetData>
    <row r="1" spans="1:6" ht="18.75" thickBot="1" x14ac:dyDescent="0.25">
      <c r="A1" s="477" t="s">
        <v>271</v>
      </c>
      <c r="B1" s="477"/>
      <c r="C1" s="477"/>
      <c r="D1" s="477"/>
      <c r="E1" s="477"/>
      <c r="F1" s="477"/>
    </row>
    <row r="2" spans="1:6" ht="13.5" thickBot="1" x14ac:dyDescent="0.25">
      <c r="A2" s="205" t="s">
        <v>204</v>
      </c>
      <c r="B2" s="204" t="s">
        <v>205</v>
      </c>
      <c r="C2" s="251" t="s">
        <v>150</v>
      </c>
      <c r="D2" s="203" t="s">
        <v>219</v>
      </c>
      <c r="E2" s="202" t="s">
        <v>202</v>
      </c>
      <c r="F2" s="202" t="s">
        <v>201</v>
      </c>
    </row>
    <row r="3" spans="1:6" ht="13.5" thickBot="1" x14ac:dyDescent="0.25">
      <c r="A3" s="201">
        <v>1</v>
      </c>
      <c r="B3" s="153" t="s">
        <v>270</v>
      </c>
      <c r="C3" s="200">
        <v>1</v>
      </c>
      <c r="D3" s="247" t="s">
        <v>156</v>
      </c>
      <c r="E3" s="250" t="s">
        <v>269</v>
      </c>
      <c r="F3" s="250" t="s">
        <v>269</v>
      </c>
    </row>
    <row r="4" spans="1:6" ht="13.5" thickBot="1" x14ac:dyDescent="0.25">
      <c r="A4" s="199">
        <v>2</v>
      </c>
      <c r="B4" s="157" t="s">
        <v>268</v>
      </c>
      <c r="C4" s="158">
        <v>1</v>
      </c>
      <c r="D4" s="249" t="s">
        <v>264</v>
      </c>
      <c r="E4" s="211">
        <v>2600</v>
      </c>
      <c r="F4" s="211">
        <v>2600</v>
      </c>
    </row>
    <row r="5" spans="1:6" ht="13.5" thickBot="1" x14ac:dyDescent="0.25">
      <c r="A5" s="201">
        <v>3</v>
      </c>
      <c r="B5" s="153" t="s">
        <v>267</v>
      </c>
      <c r="C5" s="200">
        <v>1</v>
      </c>
      <c r="D5" s="247" t="s">
        <v>264</v>
      </c>
      <c r="E5" s="213">
        <v>3650</v>
      </c>
      <c r="F5" s="213">
        <v>3650</v>
      </c>
    </row>
    <row r="6" spans="1:6" ht="13.5" thickBot="1" x14ac:dyDescent="0.25">
      <c r="A6" s="159">
        <v>4</v>
      </c>
      <c r="B6" s="157" t="s">
        <v>266</v>
      </c>
      <c r="C6" s="158">
        <v>1</v>
      </c>
      <c r="D6" s="249" t="s">
        <v>156</v>
      </c>
      <c r="E6" s="248">
        <v>62050</v>
      </c>
      <c r="F6" s="156">
        <v>62050</v>
      </c>
    </row>
    <row r="7" spans="1:6" ht="13.5" thickBot="1" x14ac:dyDescent="0.25">
      <c r="A7" s="201">
        <v>5</v>
      </c>
      <c r="B7" s="153" t="s">
        <v>265</v>
      </c>
      <c r="C7" s="154">
        <v>4</v>
      </c>
      <c r="D7" s="247" t="s">
        <v>264</v>
      </c>
      <c r="E7" s="213">
        <v>7600</v>
      </c>
      <c r="F7" s="212">
        <v>30400</v>
      </c>
    </row>
    <row r="8" spans="1:6" ht="13.5" thickBot="1" x14ac:dyDescent="0.25">
      <c r="A8" s="201">
        <v>6</v>
      </c>
      <c r="B8" s="153" t="s">
        <v>263</v>
      </c>
      <c r="C8" s="154">
        <v>1</v>
      </c>
      <c r="D8" s="247" t="s">
        <v>156</v>
      </c>
      <c r="E8" s="152">
        <v>13000</v>
      </c>
      <c r="F8" s="212">
        <v>13000</v>
      </c>
    </row>
    <row r="9" spans="1:6" ht="48" x14ac:dyDescent="0.2">
      <c r="A9" s="125"/>
      <c r="B9" s="115"/>
      <c r="C9" s="125"/>
      <c r="D9" s="246" t="s">
        <v>262</v>
      </c>
      <c r="E9" s="238" t="s">
        <v>261</v>
      </c>
      <c r="F9" s="238" t="s">
        <v>260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5492-356B-421A-AC2E-A9B1441640FA}">
  <sheetPr codeName="Лист3"/>
  <dimension ref="A1:I15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9" ht="15" thickBot="1" x14ac:dyDescent="0.25">
      <c r="A1" s="482" t="s">
        <v>280</v>
      </c>
      <c r="B1" s="482"/>
    </row>
    <row r="2" spans="1:9" ht="90.75" thickBot="1" x14ac:dyDescent="0.25">
      <c r="A2" s="124" t="s">
        <v>81</v>
      </c>
      <c r="B2" s="124" t="s">
        <v>279</v>
      </c>
    </row>
    <row r="3" spans="1:9" ht="13.5" thickBot="1" x14ac:dyDescent="0.25">
      <c r="A3" s="483" t="s">
        <v>278</v>
      </c>
      <c r="B3" s="484"/>
    </row>
    <row r="5" spans="1:9" ht="13.5" thickBot="1" x14ac:dyDescent="0.25">
      <c r="A5" s="478" t="s">
        <v>277</v>
      </c>
      <c r="B5" s="478"/>
      <c r="C5" s="478"/>
      <c r="D5" s="478"/>
      <c r="E5" s="478"/>
      <c r="F5" s="478"/>
      <c r="G5" s="478"/>
      <c r="H5" s="478"/>
      <c r="I5" s="478"/>
    </row>
    <row r="6" spans="1:9" ht="13.5" thickBot="1" x14ac:dyDescent="0.25">
      <c r="A6" s="87" t="s">
        <v>46</v>
      </c>
      <c r="B6" s="87" t="s">
        <v>82</v>
      </c>
      <c r="C6" s="87" t="s">
        <v>47</v>
      </c>
      <c r="D6" s="87" t="s">
        <v>83</v>
      </c>
      <c r="E6" s="109" t="s">
        <v>48</v>
      </c>
      <c r="F6" s="87" t="s">
        <v>49</v>
      </c>
      <c r="G6" s="87" t="s">
        <v>50</v>
      </c>
      <c r="H6" s="88" t="s">
        <v>51</v>
      </c>
      <c r="I6" s="89" t="s">
        <v>77</v>
      </c>
    </row>
    <row r="7" spans="1:9" ht="13.5" thickBot="1" x14ac:dyDescent="0.25">
      <c r="A7" s="81">
        <v>1</v>
      </c>
      <c r="B7" s="81">
        <v>2</v>
      </c>
      <c r="C7" s="81">
        <v>3</v>
      </c>
      <c r="D7" s="81">
        <v>4</v>
      </c>
      <c r="E7" s="83">
        <v>5</v>
      </c>
      <c r="F7" s="90">
        <v>6</v>
      </c>
      <c r="G7" s="81">
        <v>7</v>
      </c>
      <c r="H7" s="111">
        <v>8</v>
      </c>
      <c r="I7" s="103">
        <v>9</v>
      </c>
    </row>
    <row r="8" spans="1:9" ht="33.75" thickBot="1" x14ac:dyDescent="0.25">
      <c r="A8" s="81">
        <v>1</v>
      </c>
      <c r="B8" s="43"/>
      <c r="C8" s="104" t="s">
        <v>276</v>
      </c>
      <c r="D8" s="81">
        <v>2</v>
      </c>
      <c r="E8" s="112">
        <v>500</v>
      </c>
      <c r="F8" s="206">
        <v>1</v>
      </c>
      <c r="G8" s="87" t="s">
        <v>52</v>
      </c>
      <c r="H8" s="130">
        <v>1000</v>
      </c>
      <c r="I8" s="93">
        <v>180.33</v>
      </c>
    </row>
    <row r="9" spans="1:9" ht="13.5" thickBot="1" x14ac:dyDescent="0.25">
      <c r="A9" s="479" t="s">
        <v>80</v>
      </c>
      <c r="B9" s="479"/>
      <c r="C9" s="480"/>
      <c r="D9" s="81">
        <v>2</v>
      </c>
      <c r="E9" s="481" t="s">
        <v>93</v>
      </c>
      <c r="F9" s="479"/>
      <c r="G9" s="480"/>
      <c r="H9" s="130">
        <v>1000</v>
      </c>
      <c r="I9" s="93">
        <v>180.33</v>
      </c>
    </row>
    <row r="11" spans="1:9" ht="13.5" thickBot="1" x14ac:dyDescent="0.25">
      <c r="A11" s="478" t="s">
        <v>275</v>
      </c>
      <c r="B11" s="478"/>
      <c r="C11" s="478"/>
      <c r="D11" s="478"/>
      <c r="E11" s="478"/>
      <c r="F11" s="478"/>
      <c r="G11" s="478"/>
      <c r="H11" s="478"/>
    </row>
    <row r="12" spans="1:9" ht="13.5" thickBot="1" x14ac:dyDescent="0.25">
      <c r="A12" s="102" t="s">
        <v>46</v>
      </c>
      <c r="B12" s="88" t="s">
        <v>82</v>
      </c>
      <c r="C12" s="87" t="s">
        <v>47</v>
      </c>
      <c r="D12" s="87" t="s">
        <v>53</v>
      </c>
      <c r="E12" s="87" t="s">
        <v>94</v>
      </c>
      <c r="F12" s="87" t="s">
        <v>48</v>
      </c>
      <c r="G12" s="88" t="s">
        <v>51</v>
      </c>
      <c r="H12" s="89" t="s">
        <v>77</v>
      </c>
    </row>
    <row r="13" spans="1:9" ht="13.5" thickBot="1" x14ac:dyDescent="0.25">
      <c r="A13" s="81">
        <v>1</v>
      </c>
      <c r="B13" s="81">
        <v>2</v>
      </c>
      <c r="C13" s="81">
        <v>3</v>
      </c>
      <c r="D13" s="81">
        <v>4</v>
      </c>
      <c r="E13" s="90">
        <v>5</v>
      </c>
      <c r="F13" s="81">
        <v>6</v>
      </c>
      <c r="G13" s="111">
        <v>7</v>
      </c>
      <c r="H13" s="81">
        <v>8</v>
      </c>
    </row>
    <row r="14" spans="1:9" ht="83.25" thickBot="1" x14ac:dyDescent="0.25">
      <c r="A14" s="81">
        <v>1</v>
      </c>
      <c r="B14" s="104" t="s">
        <v>274</v>
      </c>
      <c r="C14" s="104" t="s">
        <v>273</v>
      </c>
      <c r="D14" s="81">
        <v>1</v>
      </c>
      <c r="E14" s="87" t="s">
        <v>78</v>
      </c>
      <c r="F14" s="92">
        <v>12000</v>
      </c>
      <c r="G14" s="112">
        <v>12000</v>
      </c>
      <c r="H14" s="93">
        <v>2163.9299999999998</v>
      </c>
    </row>
    <row r="15" spans="1:9" ht="13.5" thickBot="1" x14ac:dyDescent="0.25">
      <c r="A15" s="479" t="s">
        <v>95</v>
      </c>
      <c r="B15" s="479"/>
      <c r="C15" s="480"/>
      <c r="D15" s="81">
        <v>1</v>
      </c>
      <c r="E15" s="481" t="s">
        <v>93</v>
      </c>
      <c r="F15" s="480"/>
      <c r="G15" s="88" t="s">
        <v>272</v>
      </c>
      <c r="H15" s="93">
        <v>2163.9299999999998</v>
      </c>
    </row>
  </sheetData>
  <mergeCells count="8">
    <mergeCell ref="A11:H11"/>
    <mergeCell ref="A15:C15"/>
    <mergeCell ref="E15:F15"/>
    <mergeCell ref="A1:B1"/>
    <mergeCell ref="A3:B3"/>
    <mergeCell ref="A5:I5"/>
    <mergeCell ref="A9:C9"/>
    <mergeCell ref="E9:G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C268-2FF1-4D3C-A940-0C7F7B48683D}">
  <sheetPr codeName="Лист4"/>
  <dimension ref="A1:I14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9" ht="13.5" thickBot="1" x14ac:dyDescent="0.25">
      <c r="A1" s="485" t="s">
        <v>299</v>
      </c>
      <c r="B1" s="485"/>
    </row>
    <row r="2" spans="1:9" ht="42" thickBot="1" x14ac:dyDescent="0.25">
      <c r="A2" s="104" t="s">
        <v>298</v>
      </c>
      <c r="B2" s="104" t="s">
        <v>297</v>
      </c>
    </row>
    <row r="3" spans="1:9" ht="13.5" thickBot="1" x14ac:dyDescent="0.25">
      <c r="A3" s="486" t="s">
        <v>296</v>
      </c>
      <c r="B3" s="487"/>
    </row>
    <row r="5" spans="1:9" ht="42.75" thickBot="1" x14ac:dyDescent="0.25">
      <c r="A5" s="80" t="s">
        <v>295</v>
      </c>
      <c r="B5" s="114" t="s">
        <v>294</v>
      </c>
      <c r="C5" s="114" t="s">
        <v>293</v>
      </c>
      <c r="D5" s="114" t="s">
        <v>292</v>
      </c>
      <c r="E5" s="80" t="s">
        <v>99</v>
      </c>
      <c r="F5" s="84" t="s">
        <v>291</v>
      </c>
      <c r="G5" s="79" t="s">
        <v>50</v>
      </c>
      <c r="H5" s="80" t="s">
        <v>51</v>
      </c>
      <c r="I5" s="84" t="s">
        <v>77</v>
      </c>
    </row>
    <row r="6" spans="1:9" ht="13.5" thickBot="1" x14ac:dyDescent="0.25">
      <c r="A6" s="90">
        <v>1</v>
      </c>
      <c r="B6" s="81">
        <v>2</v>
      </c>
      <c r="C6" s="81">
        <v>3</v>
      </c>
      <c r="D6" s="83">
        <v>4</v>
      </c>
      <c r="E6" s="90">
        <v>5</v>
      </c>
      <c r="F6" s="109" t="s">
        <v>177</v>
      </c>
      <c r="G6" s="81">
        <v>7</v>
      </c>
      <c r="H6" s="81">
        <v>8</v>
      </c>
      <c r="I6" s="90">
        <v>9</v>
      </c>
    </row>
    <row r="7" spans="1:9" ht="13.5" thickBot="1" x14ac:dyDescent="0.25">
      <c r="A7" s="165" t="s">
        <v>290</v>
      </c>
      <c r="B7" s="42"/>
      <c r="C7" s="102" t="s">
        <v>289</v>
      </c>
      <c r="D7" s="83">
        <v>4</v>
      </c>
      <c r="E7" s="117">
        <v>450</v>
      </c>
      <c r="F7" s="206">
        <v>1</v>
      </c>
      <c r="G7" s="87" t="s">
        <v>52</v>
      </c>
      <c r="H7" s="117">
        <v>1800</v>
      </c>
      <c r="I7" s="117">
        <v>324.58999999999997</v>
      </c>
    </row>
    <row r="8" spans="1:9" ht="13.5" thickBot="1" x14ac:dyDescent="0.25">
      <c r="A8" s="488" t="s">
        <v>80</v>
      </c>
      <c r="B8" s="489"/>
      <c r="C8" s="490"/>
      <c r="D8" s="88" t="s">
        <v>288</v>
      </c>
      <c r="E8" s="488" t="s">
        <v>93</v>
      </c>
      <c r="F8" s="489"/>
      <c r="G8" s="490"/>
      <c r="H8" s="92">
        <v>1800</v>
      </c>
      <c r="I8" s="92">
        <v>324.58999999999997</v>
      </c>
    </row>
    <row r="10" spans="1:9" ht="42.75" thickBot="1" x14ac:dyDescent="0.25">
      <c r="A10" s="79" t="s">
        <v>46</v>
      </c>
      <c r="B10" s="114" t="s">
        <v>287</v>
      </c>
      <c r="C10" s="114" t="s">
        <v>286</v>
      </c>
      <c r="D10" s="84" t="s">
        <v>53</v>
      </c>
      <c r="E10" s="79" t="s">
        <v>285</v>
      </c>
      <c r="F10" s="79" t="s">
        <v>99</v>
      </c>
      <c r="G10" s="208" t="s">
        <v>284</v>
      </c>
      <c r="H10" s="84" t="s">
        <v>77</v>
      </c>
    </row>
    <row r="11" spans="1:9" ht="13.5" thickBot="1" x14ac:dyDescent="0.25">
      <c r="A11" s="90">
        <v>1</v>
      </c>
      <c r="B11" s="81">
        <v>2</v>
      </c>
      <c r="C11" s="81">
        <v>3</v>
      </c>
      <c r="D11" s="90">
        <v>4</v>
      </c>
      <c r="E11" s="81">
        <v>5</v>
      </c>
      <c r="F11" s="207">
        <v>6</v>
      </c>
      <c r="G11" s="81">
        <v>7</v>
      </c>
      <c r="H11" s="161">
        <v>8</v>
      </c>
    </row>
    <row r="12" spans="1:9" ht="50.25" thickBot="1" x14ac:dyDescent="0.25">
      <c r="A12" s="90">
        <v>1</v>
      </c>
      <c r="B12" s="42"/>
      <c r="C12" s="132" t="s">
        <v>283</v>
      </c>
      <c r="D12" s="90">
        <v>1</v>
      </c>
      <c r="E12" s="87" t="s">
        <v>78</v>
      </c>
      <c r="F12" s="131">
        <v>3500</v>
      </c>
      <c r="G12" s="134">
        <v>3500</v>
      </c>
      <c r="H12" s="134">
        <v>631.15</v>
      </c>
    </row>
    <row r="13" spans="1:9" ht="75" thickBot="1" x14ac:dyDescent="0.25">
      <c r="A13" s="90">
        <v>2</v>
      </c>
      <c r="B13" s="42"/>
      <c r="C13" s="164" t="s">
        <v>282</v>
      </c>
      <c r="D13" s="90">
        <v>1</v>
      </c>
      <c r="E13" s="87" t="s">
        <v>78</v>
      </c>
      <c r="F13" s="131">
        <v>2300</v>
      </c>
      <c r="G13" s="107">
        <v>2300</v>
      </c>
      <c r="H13" s="134">
        <v>414.75</v>
      </c>
    </row>
    <row r="14" spans="1:9" ht="13.5" thickBot="1" x14ac:dyDescent="0.25">
      <c r="A14" s="488" t="s">
        <v>281</v>
      </c>
      <c r="B14" s="489"/>
      <c r="C14" s="490"/>
      <c r="D14" s="90">
        <v>2</v>
      </c>
      <c r="E14" s="488" t="s">
        <v>93</v>
      </c>
      <c r="F14" s="490"/>
      <c r="G14" s="107">
        <v>5800</v>
      </c>
      <c r="H14" s="107">
        <v>1045.9000000000001</v>
      </c>
    </row>
  </sheetData>
  <mergeCells count="6">
    <mergeCell ref="A1:B1"/>
    <mergeCell ref="A3:B3"/>
    <mergeCell ref="A8:C8"/>
    <mergeCell ref="E8:G8"/>
    <mergeCell ref="A14:C14"/>
    <mergeCell ref="E14:F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83E1-31A4-4BA8-8353-4F78D3E881B3}">
  <sheetPr codeName="Лист5"/>
  <dimension ref="A1:I17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9" ht="13.5" thickBot="1" x14ac:dyDescent="0.25">
      <c r="A1" s="485" t="s">
        <v>305</v>
      </c>
      <c r="B1" s="485"/>
    </row>
    <row r="2" spans="1:9" ht="42" thickBot="1" x14ac:dyDescent="0.25">
      <c r="A2" s="104" t="s">
        <v>98</v>
      </c>
      <c r="B2" s="104" t="s">
        <v>206</v>
      </c>
    </row>
    <row r="3" spans="1:9" ht="13.5" thickBot="1" x14ac:dyDescent="0.25">
      <c r="A3" s="486" t="s">
        <v>304</v>
      </c>
      <c r="B3" s="487"/>
    </row>
    <row r="5" spans="1:9" ht="13.5" thickBot="1" x14ac:dyDescent="0.25">
      <c r="A5" s="491" t="s">
        <v>303</v>
      </c>
      <c r="B5" s="491"/>
      <c r="C5" s="491"/>
      <c r="D5" s="491"/>
      <c r="E5" s="491"/>
      <c r="F5" s="491"/>
      <c r="G5" s="491"/>
      <c r="H5" s="491"/>
      <c r="I5" s="491"/>
    </row>
    <row r="6" spans="1:9" ht="13.5" thickBot="1" x14ac:dyDescent="0.25">
      <c r="A6" s="109" t="s">
        <v>46</v>
      </c>
      <c r="B6" s="87" t="s">
        <v>302</v>
      </c>
      <c r="C6" s="87" t="s">
        <v>119</v>
      </c>
      <c r="D6" s="102" t="s">
        <v>83</v>
      </c>
      <c r="E6" s="109" t="s">
        <v>48</v>
      </c>
      <c r="F6" s="102" t="s">
        <v>49</v>
      </c>
      <c r="G6" s="87" t="s">
        <v>50</v>
      </c>
      <c r="H6" s="109" t="s">
        <v>109</v>
      </c>
      <c r="I6" s="102" t="s">
        <v>208</v>
      </c>
    </row>
    <row r="7" spans="1:9" ht="13.5" thickBot="1" x14ac:dyDescent="0.25">
      <c r="A7" s="90">
        <v>1</v>
      </c>
      <c r="B7" s="81">
        <v>2</v>
      </c>
      <c r="C7" s="128">
        <v>3</v>
      </c>
      <c r="D7" s="90">
        <v>4</v>
      </c>
      <c r="E7" s="90">
        <v>8</v>
      </c>
      <c r="F7" s="103">
        <v>6</v>
      </c>
      <c r="G7" s="81">
        <v>7</v>
      </c>
      <c r="H7" s="90">
        <v>8</v>
      </c>
      <c r="I7" s="90">
        <v>9</v>
      </c>
    </row>
    <row r="8" spans="1:9" ht="13.5" thickBot="1" x14ac:dyDescent="0.25">
      <c r="A8" s="90">
        <v>1</v>
      </c>
      <c r="B8" s="43"/>
      <c r="C8" s="102" t="s">
        <v>75</v>
      </c>
      <c r="D8" s="90">
        <v>1</v>
      </c>
      <c r="E8" s="117">
        <v>1000</v>
      </c>
      <c r="F8" s="206">
        <v>1</v>
      </c>
      <c r="G8" s="87" t="s">
        <v>52</v>
      </c>
      <c r="H8" s="117">
        <v>1000</v>
      </c>
      <c r="I8" s="117">
        <v>180.33</v>
      </c>
    </row>
    <row r="9" spans="1:9" ht="13.5" thickBot="1" x14ac:dyDescent="0.25">
      <c r="A9" s="90">
        <v>2</v>
      </c>
      <c r="B9" s="43"/>
      <c r="C9" s="102" t="s">
        <v>76</v>
      </c>
      <c r="D9" s="90">
        <v>1</v>
      </c>
      <c r="E9" s="117">
        <v>1150</v>
      </c>
      <c r="F9" s="206">
        <v>1</v>
      </c>
      <c r="G9" s="87" t="s">
        <v>52</v>
      </c>
      <c r="H9" s="117">
        <v>1150</v>
      </c>
      <c r="I9" s="117">
        <v>207.38</v>
      </c>
    </row>
    <row r="10" spans="1:9" ht="13.5" thickBot="1" x14ac:dyDescent="0.25">
      <c r="A10" s="90">
        <v>3</v>
      </c>
      <c r="B10" s="43"/>
      <c r="C10" s="102" t="s">
        <v>157</v>
      </c>
      <c r="D10" s="90">
        <v>1</v>
      </c>
      <c r="E10" s="117">
        <v>1500</v>
      </c>
      <c r="F10" s="206">
        <v>1</v>
      </c>
      <c r="G10" s="87" t="s">
        <v>52</v>
      </c>
      <c r="H10" s="117">
        <v>1500</v>
      </c>
      <c r="I10" s="117">
        <v>270.49</v>
      </c>
    </row>
    <row r="11" spans="1:9" ht="13.5" thickBot="1" x14ac:dyDescent="0.25">
      <c r="A11" s="479" t="s">
        <v>301</v>
      </c>
      <c r="B11" s="479"/>
      <c r="C11" s="480"/>
      <c r="D11" s="90">
        <v>3</v>
      </c>
      <c r="E11" s="481" t="s">
        <v>93</v>
      </c>
      <c r="F11" s="479"/>
      <c r="G11" s="480"/>
      <c r="H11" s="117">
        <v>3650</v>
      </c>
      <c r="I11" s="93">
        <v>658.2</v>
      </c>
    </row>
    <row r="13" spans="1:9" ht="13.5" thickBot="1" x14ac:dyDescent="0.25">
      <c r="A13" s="491" t="s">
        <v>300</v>
      </c>
      <c r="B13" s="491"/>
      <c r="C13" s="491"/>
      <c r="D13" s="491"/>
      <c r="E13" s="491"/>
      <c r="F13" s="491"/>
      <c r="G13" s="491"/>
      <c r="H13" s="491"/>
    </row>
    <row r="14" spans="1:9" ht="13.5" thickBot="1" x14ac:dyDescent="0.25">
      <c r="A14" s="87" t="s">
        <v>46</v>
      </c>
      <c r="B14" s="87" t="s">
        <v>82</v>
      </c>
      <c r="C14" s="87" t="s">
        <v>47</v>
      </c>
      <c r="D14" s="87" t="s">
        <v>53</v>
      </c>
      <c r="E14" s="87" t="s">
        <v>94</v>
      </c>
      <c r="F14" s="87" t="s">
        <v>48</v>
      </c>
      <c r="G14" s="109" t="s">
        <v>51</v>
      </c>
      <c r="H14" s="102" t="s">
        <v>77</v>
      </c>
    </row>
    <row r="15" spans="1:9" ht="13.5" thickBot="1" x14ac:dyDescent="0.25">
      <c r="A15" s="105">
        <v>1</v>
      </c>
      <c r="B15" s="105">
        <v>2</v>
      </c>
      <c r="C15" s="105">
        <v>3</v>
      </c>
      <c r="D15" s="105">
        <v>4</v>
      </c>
      <c r="E15" s="105">
        <v>5</v>
      </c>
      <c r="F15" s="105">
        <v>6</v>
      </c>
      <c r="G15" s="106">
        <v>7</v>
      </c>
      <c r="H15" s="106">
        <v>8</v>
      </c>
    </row>
    <row r="16" spans="1:9" ht="13.5" thickBot="1" x14ac:dyDescent="0.25">
      <c r="A16" s="82"/>
      <c r="B16" s="43"/>
      <c r="C16" s="142"/>
      <c r="D16" s="42"/>
      <c r="E16" s="42"/>
      <c r="F16" s="82"/>
      <c r="G16" s="82"/>
      <c r="H16" s="42"/>
    </row>
    <row r="17" spans="1:8" ht="13.5" thickBot="1" x14ac:dyDescent="0.25">
      <c r="A17" s="479" t="s">
        <v>224</v>
      </c>
      <c r="B17" s="479"/>
      <c r="C17" s="480"/>
      <c r="D17" s="81">
        <v>0</v>
      </c>
      <c r="E17" s="481" t="s">
        <v>93</v>
      </c>
      <c r="F17" s="480"/>
      <c r="G17" s="82"/>
      <c r="H17" s="42"/>
    </row>
  </sheetData>
  <mergeCells count="8">
    <mergeCell ref="A13:H13"/>
    <mergeCell ref="A17:C17"/>
    <mergeCell ref="E17:F17"/>
    <mergeCell ref="A1:B1"/>
    <mergeCell ref="A3:B3"/>
    <mergeCell ref="A5:I5"/>
    <mergeCell ref="A11:C11"/>
    <mergeCell ref="E11:G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F5CD-8B76-4B75-90D3-F6C3B0429F1A}">
  <sheetPr codeName="Лист6"/>
  <dimension ref="A1:I26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9" ht="15" thickBot="1" x14ac:dyDescent="0.25">
      <c r="A1" s="482" t="s">
        <v>322</v>
      </c>
      <c r="B1" s="482"/>
    </row>
    <row r="2" spans="1:9" ht="90.75" thickBot="1" x14ac:dyDescent="0.25">
      <c r="A2" s="124" t="s">
        <v>81</v>
      </c>
      <c r="B2" s="124" t="s">
        <v>321</v>
      </c>
    </row>
    <row r="3" spans="1:9" ht="13.5" thickBot="1" x14ac:dyDescent="0.25">
      <c r="A3" s="483" t="s">
        <v>320</v>
      </c>
      <c r="B3" s="484"/>
    </row>
    <row r="5" spans="1:9" ht="13.5" thickBot="1" x14ac:dyDescent="0.25">
      <c r="A5" s="478" t="s">
        <v>226</v>
      </c>
      <c r="B5" s="478"/>
      <c r="C5" s="478"/>
      <c r="D5" s="478"/>
      <c r="E5" s="478"/>
      <c r="F5" s="478"/>
      <c r="G5" s="478"/>
      <c r="H5" s="478"/>
      <c r="I5" s="478"/>
    </row>
    <row r="6" spans="1:9" ht="13.5" thickBot="1" x14ac:dyDescent="0.25">
      <c r="A6" s="109" t="s">
        <v>46</v>
      </c>
      <c r="B6" s="88" t="s">
        <v>302</v>
      </c>
      <c r="C6" s="87" t="s">
        <v>47</v>
      </c>
      <c r="D6" s="87" t="s">
        <v>207</v>
      </c>
      <c r="E6" s="109" t="s">
        <v>48</v>
      </c>
      <c r="F6" s="89" t="s">
        <v>49</v>
      </c>
      <c r="G6" s="87" t="s">
        <v>50</v>
      </c>
      <c r="H6" s="88" t="s">
        <v>51</v>
      </c>
      <c r="I6" s="102" t="s">
        <v>77</v>
      </c>
    </row>
    <row r="7" spans="1:9" ht="13.5" thickBot="1" x14ac:dyDescent="0.25">
      <c r="A7" s="90">
        <v>1</v>
      </c>
      <c r="B7" s="111">
        <v>2</v>
      </c>
      <c r="C7" s="81">
        <v>3</v>
      </c>
      <c r="D7" s="81">
        <v>4</v>
      </c>
      <c r="E7" s="91">
        <v>5</v>
      </c>
      <c r="F7" s="83">
        <v>6</v>
      </c>
      <c r="G7" s="81">
        <v>7</v>
      </c>
      <c r="H7" s="111">
        <v>8</v>
      </c>
      <c r="I7" s="252">
        <v>9</v>
      </c>
    </row>
    <row r="8" spans="1:9" ht="13.5" thickBot="1" x14ac:dyDescent="0.25">
      <c r="A8" s="90">
        <v>1</v>
      </c>
      <c r="B8" s="42"/>
      <c r="C8" s="102" t="s">
        <v>319</v>
      </c>
      <c r="D8" s="81">
        <v>1</v>
      </c>
      <c r="E8" s="112">
        <v>600</v>
      </c>
      <c r="F8" s="118">
        <v>1</v>
      </c>
      <c r="G8" s="87" t="s">
        <v>52</v>
      </c>
      <c r="H8" s="108">
        <v>600</v>
      </c>
      <c r="I8" s="93">
        <v>108.2</v>
      </c>
    </row>
    <row r="9" spans="1:9" ht="13.5" thickBot="1" x14ac:dyDescent="0.25">
      <c r="A9" s="90">
        <v>2</v>
      </c>
      <c r="B9" s="42"/>
      <c r="C9" s="102" t="s">
        <v>318</v>
      </c>
      <c r="D9" s="81">
        <v>2</v>
      </c>
      <c r="E9" s="112">
        <v>800</v>
      </c>
      <c r="F9" s="118">
        <v>1</v>
      </c>
      <c r="G9" s="87" t="s">
        <v>52</v>
      </c>
      <c r="H9" s="108">
        <v>1600</v>
      </c>
      <c r="I9" s="93">
        <v>288.52</v>
      </c>
    </row>
    <row r="10" spans="1:9" ht="13.5" thickBot="1" x14ac:dyDescent="0.25">
      <c r="A10" s="106">
        <v>3</v>
      </c>
      <c r="B10" s="42"/>
      <c r="C10" s="84" t="s">
        <v>317</v>
      </c>
      <c r="D10" s="105">
        <v>1</v>
      </c>
      <c r="E10" s="85">
        <v>500</v>
      </c>
      <c r="F10" s="119">
        <v>1</v>
      </c>
      <c r="G10" s="79" t="s">
        <v>52</v>
      </c>
      <c r="H10" s="113">
        <v>500</v>
      </c>
      <c r="I10" s="86">
        <v>90.16</v>
      </c>
    </row>
    <row r="11" spans="1:9" ht="13.5" thickBot="1" x14ac:dyDescent="0.25">
      <c r="A11" s="90">
        <v>4</v>
      </c>
      <c r="B11" s="42"/>
      <c r="C11" s="102" t="s">
        <v>111</v>
      </c>
      <c r="D11" s="81">
        <v>1</v>
      </c>
      <c r="E11" s="112">
        <v>500</v>
      </c>
      <c r="F11" s="118">
        <v>1</v>
      </c>
      <c r="G11" s="87" t="s">
        <v>52</v>
      </c>
      <c r="H11" s="108">
        <v>500</v>
      </c>
      <c r="I11" s="93">
        <v>90.16</v>
      </c>
    </row>
    <row r="12" spans="1:9" ht="13.5" thickBot="1" x14ac:dyDescent="0.25">
      <c r="A12" s="90">
        <v>5</v>
      </c>
      <c r="B12" s="42"/>
      <c r="C12" s="102" t="s">
        <v>316</v>
      </c>
      <c r="D12" s="81">
        <v>1</v>
      </c>
      <c r="E12" s="117">
        <v>2500</v>
      </c>
      <c r="F12" s="118">
        <v>1</v>
      </c>
      <c r="G12" s="87" t="s">
        <v>52</v>
      </c>
      <c r="H12" s="108">
        <v>2500</v>
      </c>
      <c r="I12" s="93">
        <v>450.82</v>
      </c>
    </row>
    <row r="13" spans="1:9" ht="13.5" thickBot="1" x14ac:dyDescent="0.25">
      <c r="A13" s="90">
        <v>6</v>
      </c>
      <c r="B13" s="42"/>
      <c r="C13" s="102" t="s">
        <v>159</v>
      </c>
      <c r="D13" s="81">
        <v>1</v>
      </c>
      <c r="E13" s="112">
        <v>500</v>
      </c>
      <c r="F13" s="118">
        <v>1</v>
      </c>
      <c r="G13" s="87" t="s">
        <v>52</v>
      </c>
      <c r="H13" s="108">
        <v>500</v>
      </c>
      <c r="I13" s="123">
        <v>90.16</v>
      </c>
    </row>
    <row r="14" spans="1:9" ht="13.5" thickBot="1" x14ac:dyDescent="0.25">
      <c r="A14" s="90">
        <v>7</v>
      </c>
      <c r="B14" s="42"/>
      <c r="C14" s="102" t="s">
        <v>315</v>
      </c>
      <c r="D14" s="81">
        <v>1</v>
      </c>
      <c r="E14" s="117">
        <v>1500</v>
      </c>
      <c r="F14" s="118">
        <v>1</v>
      </c>
      <c r="G14" s="87" t="s">
        <v>52</v>
      </c>
      <c r="H14" s="160">
        <v>1500</v>
      </c>
      <c r="I14" s="93">
        <v>270.49</v>
      </c>
    </row>
    <row r="15" spans="1:9" ht="33.75" thickBot="1" x14ac:dyDescent="0.25">
      <c r="A15" s="90">
        <v>8</v>
      </c>
      <c r="B15" s="42"/>
      <c r="C15" s="104" t="s">
        <v>314</v>
      </c>
      <c r="D15" s="81">
        <v>1</v>
      </c>
      <c r="E15" s="117">
        <v>2500</v>
      </c>
      <c r="F15" s="118">
        <v>1</v>
      </c>
      <c r="G15" s="87" t="s">
        <v>52</v>
      </c>
      <c r="H15" s="108">
        <v>2500</v>
      </c>
      <c r="I15" s="93">
        <v>450.82</v>
      </c>
    </row>
    <row r="16" spans="1:9" ht="13.5" thickBot="1" x14ac:dyDescent="0.25">
      <c r="A16" s="479" t="s">
        <v>80</v>
      </c>
      <c r="B16" s="479"/>
      <c r="C16" s="480"/>
      <c r="D16" s="81">
        <v>9</v>
      </c>
      <c r="E16" s="481" t="s">
        <v>93</v>
      </c>
      <c r="F16" s="479"/>
      <c r="G16" s="480"/>
      <c r="H16" s="93">
        <v>10200</v>
      </c>
      <c r="I16" s="93">
        <v>1839.34</v>
      </c>
    </row>
    <row r="18" spans="1:8" ht="13.5" thickBot="1" x14ac:dyDescent="0.25">
      <c r="A18" s="478" t="s">
        <v>225</v>
      </c>
      <c r="B18" s="478"/>
      <c r="C18" s="478"/>
      <c r="D18" s="478"/>
      <c r="E18" s="478"/>
      <c r="F18" s="478"/>
      <c r="G18" s="478"/>
      <c r="H18" s="478"/>
    </row>
    <row r="19" spans="1:8" ht="13.5" thickBot="1" x14ac:dyDescent="0.25">
      <c r="A19" s="109" t="s">
        <v>46</v>
      </c>
      <c r="B19" s="88" t="s">
        <v>82</v>
      </c>
      <c r="C19" s="87" t="s">
        <v>47</v>
      </c>
      <c r="D19" s="109" t="s">
        <v>53</v>
      </c>
      <c r="E19" s="102" t="s">
        <v>94</v>
      </c>
      <c r="F19" s="87" t="s">
        <v>48</v>
      </c>
      <c r="G19" s="88" t="s">
        <v>51</v>
      </c>
      <c r="H19" s="102" t="s">
        <v>77</v>
      </c>
    </row>
    <row r="20" spans="1:8" ht="13.5" thickBot="1" x14ac:dyDescent="0.25">
      <c r="A20" s="106">
        <v>1</v>
      </c>
      <c r="B20" s="105">
        <v>2</v>
      </c>
      <c r="C20" s="105">
        <v>3</v>
      </c>
      <c r="D20" s="162">
        <v>4</v>
      </c>
      <c r="E20" s="120">
        <v>5</v>
      </c>
      <c r="F20" s="105">
        <v>6</v>
      </c>
      <c r="G20" s="121">
        <v>7</v>
      </c>
      <c r="H20" s="120">
        <v>8</v>
      </c>
    </row>
    <row r="21" spans="1:8" ht="50.25" thickBot="1" x14ac:dyDescent="0.25">
      <c r="A21" s="90">
        <v>1</v>
      </c>
      <c r="B21" s="102" t="s">
        <v>152</v>
      </c>
      <c r="C21" s="104" t="s">
        <v>313</v>
      </c>
      <c r="D21" s="83">
        <v>1</v>
      </c>
      <c r="E21" s="109" t="s">
        <v>54</v>
      </c>
      <c r="F21" s="92">
        <v>200</v>
      </c>
      <c r="G21" s="108">
        <v>200</v>
      </c>
      <c r="H21" s="93">
        <v>36.07</v>
      </c>
    </row>
    <row r="22" spans="1:8" ht="42" thickBot="1" x14ac:dyDescent="0.25">
      <c r="A22" s="90">
        <v>2</v>
      </c>
      <c r="B22" s="110">
        <v>30466</v>
      </c>
      <c r="C22" s="104" t="s">
        <v>312</v>
      </c>
      <c r="D22" s="83">
        <v>2</v>
      </c>
      <c r="E22" s="109" t="s">
        <v>54</v>
      </c>
      <c r="F22" s="92">
        <v>400</v>
      </c>
      <c r="G22" s="108">
        <v>800</v>
      </c>
      <c r="H22" s="93">
        <v>144.26</v>
      </c>
    </row>
    <row r="23" spans="1:8" ht="51" thickBot="1" x14ac:dyDescent="0.25">
      <c r="A23" s="90">
        <v>3</v>
      </c>
      <c r="B23" s="102" t="s">
        <v>311</v>
      </c>
      <c r="C23" s="114" t="s">
        <v>310</v>
      </c>
      <c r="D23" s="83">
        <v>1</v>
      </c>
      <c r="E23" s="109" t="s">
        <v>54</v>
      </c>
      <c r="F23" s="92">
        <v>40000</v>
      </c>
      <c r="G23" s="93">
        <v>40000</v>
      </c>
      <c r="H23" s="93">
        <v>7213.11</v>
      </c>
    </row>
    <row r="24" spans="1:8" ht="42.75" thickBot="1" x14ac:dyDescent="0.25">
      <c r="A24" s="90">
        <v>4</v>
      </c>
      <c r="B24" s="102" t="s">
        <v>309</v>
      </c>
      <c r="C24" s="114" t="s">
        <v>308</v>
      </c>
      <c r="D24" s="83">
        <v>1</v>
      </c>
      <c r="E24" s="109" t="s">
        <v>54</v>
      </c>
      <c r="F24" s="92">
        <v>6500</v>
      </c>
      <c r="G24" s="108">
        <v>6500</v>
      </c>
      <c r="H24" s="93">
        <v>1172.1300000000001</v>
      </c>
    </row>
    <row r="25" spans="1:8" ht="66.75" thickBot="1" x14ac:dyDescent="0.25">
      <c r="A25" s="90">
        <v>5</v>
      </c>
      <c r="B25" s="102" t="s">
        <v>307</v>
      </c>
      <c r="C25" s="104" t="s">
        <v>306</v>
      </c>
      <c r="D25" s="83">
        <v>1</v>
      </c>
      <c r="E25" s="109" t="s">
        <v>54</v>
      </c>
      <c r="F25" s="92">
        <v>4350</v>
      </c>
      <c r="G25" s="108">
        <v>4350</v>
      </c>
      <c r="H25" s="93">
        <v>784.43</v>
      </c>
    </row>
    <row r="26" spans="1:8" ht="13.5" thickBot="1" x14ac:dyDescent="0.25">
      <c r="A26" s="479" t="s">
        <v>95</v>
      </c>
      <c r="B26" s="479"/>
      <c r="C26" s="480"/>
      <c r="D26" s="83">
        <v>6</v>
      </c>
      <c r="E26" s="481" t="s">
        <v>93</v>
      </c>
      <c r="F26" s="480"/>
      <c r="G26" s="93">
        <v>51850</v>
      </c>
      <c r="H26" s="93">
        <v>9350</v>
      </c>
    </row>
  </sheetData>
  <mergeCells count="8">
    <mergeCell ref="A18:H18"/>
    <mergeCell ref="A26:C26"/>
    <mergeCell ref="E26:F26"/>
    <mergeCell ref="A1:B1"/>
    <mergeCell ref="A3:B3"/>
    <mergeCell ref="A5:I5"/>
    <mergeCell ref="A16:C16"/>
    <mergeCell ref="E16:G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D234-B60C-4BCD-9229-34EB34D71B5D}">
  <sheetPr codeName="Лист7"/>
  <dimension ref="A1:F5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6" ht="18.75" thickBot="1" x14ac:dyDescent="0.25">
      <c r="A1" s="492" t="s">
        <v>327</v>
      </c>
      <c r="B1" s="492"/>
      <c r="C1" s="492"/>
      <c r="D1" s="492"/>
      <c r="E1" s="492"/>
      <c r="F1" s="492"/>
    </row>
    <row r="2" spans="1:6" ht="13.5" thickBot="1" x14ac:dyDescent="0.25">
      <c r="A2" s="493" t="s">
        <v>326</v>
      </c>
      <c r="B2" s="493"/>
      <c r="C2" s="493"/>
      <c r="D2" s="493"/>
      <c r="E2" s="493"/>
      <c r="F2" s="493"/>
    </row>
    <row r="3" spans="1:6" ht="13.5" thickBot="1" x14ac:dyDescent="0.25">
      <c r="A3" s="205" t="s">
        <v>204</v>
      </c>
      <c r="B3" s="204" t="s">
        <v>203</v>
      </c>
      <c r="C3" s="205" t="s">
        <v>325</v>
      </c>
      <c r="D3" s="204" t="s">
        <v>218</v>
      </c>
      <c r="E3" s="202" t="s">
        <v>202</v>
      </c>
      <c r="F3" s="203" t="s">
        <v>201</v>
      </c>
    </row>
    <row r="4" spans="1:6" ht="13.5" thickBot="1" x14ac:dyDescent="0.25">
      <c r="A4" s="253">
        <v>1</v>
      </c>
      <c r="B4" s="157" t="s">
        <v>324</v>
      </c>
      <c r="C4" s="158">
        <v>1</v>
      </c>
      <c r="D4" s="116" t="s">
        <v>264</v>
      </c>
      <c r="E4" s="155">
        <v>81600</v>
      </c>
      <c r="F4" s="155">
        <v>81600</v>
      </c>
    </row>
    <row r="5" spans="1:6" x14ac:dyDescent="0.2">
      <c r="A5" s="494" t="s">
        <v>323</v>
      </c>
      <c r="B5" s="494"/>
      <c r="C5" s="494"/>
      <c r="D5" s="494"/>
      <c r="E5" s="494"/>
      <c r="F5" s="494"/>
    </row>
  </sheetData>
  <mergeCells count="3">
    <mergeCell ref="A1:F1"/>
    <mergeCell ref="A2:F2"/>
    <mergeCell ref="A5:F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F1C8-9495-4F54-8741-363AA43D9E07}">
  <sheetPr codeName="Лист8"/>
  <dimension ref="A1:I39"/>
  <sheetViews>
    <sheetView workbookViewId="0">
      <selection sqref="A1:B1"/>
    </sheetView>
  </sheetViews>
  <sheetFormatPr defaultRowHeight="12.75" x14ac:dyDescent="0.2"/>
  <cols>
    <col min="1" max="16384" width="9.140625" style="41"/>
  </cols>
  <sheetData>
    <row r="1" spans="1:9" ht="13.5" thickBot="1" x14ac:dyDescent="0.25">
      <c r="A1" s="495" t="s">
        <v>361</v>
      </c>
      <c r="B1" s="495"/>
    </row>
    <row r="2" spans="1:9" ht="42" thickBot="1" x14ac:dyDescent="0.25">
      <c r="A2" s="104" t="s">
        <v>98</v>
      </c>
      <c r="B2" s="104" t="s">
        <v>360</v>
      </c>
    </row>
    <row r="3" spans="1:9" ht="13.5" thickBot="1" x14ac:dyDescent="0.25">
      <c r="A3" s="486" t="s">
        <v>359</v>
      </c>
      <c r="B3" s="487"/>
    </row>
    <row r="5" spans="1:9" ht="13.5" thickBot="1" x14ac:dyDescent="0.25">
      <c r="A5" s="496" t="s">
        <v>358</v>
      </c>
      <c r="B5" s="496"/>
      <c r="C5" s="496"/>
      <c r="D5" s="496"/>
      <c r="E5" s="496"/>
      <c r="F5" s="496"/>
      <c r="G5" s="496"/>
      <c r="H5" s="496"/>
      <c r="I5" s="496"/>
    </row>
    <row r="6" spans="1:9" ht="13.5" thickBot="1" x14ac:dyDescent="0.25">
      <c r="A6" s="102" t="s">
        <v>357</v>
      </c>
      <c r="B6" s="87" t="s">
        <v>82</v>
      </c>
      <c r="C6" s="87" t="s">
        <v>119</v>
      </c>
      <c r="D6" s="87" t="s">
        <v>83</v>
      </c>
      <c r="E6" s="89" t="s">
        <v>99</v>
      </c>
      <c r="F6" s="89" t="s">
        <v>79</v>
      </c>
      <c r="G6" s="87" t="s">
        <v>50</v>
      </c>
      <c r="H6" s="89" t="s">
        <v>51</v>
      </c>
      <c r="I6" s="89" t="s">
        <v>77</v>
      </c>
    </row>
    <row r="7" spans="1:9" ht="13.5" thickBot="1" x14ac:dyDescent="0.25">
      <c r="A7" s="105">
        <v>1</v>
      </c>
      <c r="B7" s="105">
        <v>2</v>
      </c>
      <c r="C7" s="105">
        <v>3</v>
      </c>
      <c r="D7" s="105">
        <v>4</v>
      </c>
      <c r="E7" s="122">
        <v>6</v>
      </c>
      <c r="F7" s="42"/>
      <c r="G7" s="105">
        <v>7</v>
      </c>
      <c r="H7" s="122">
        <v>8</v>
      </c>
      <c r="I7" s="120">
        <v>9</v>
      </c>
    </row>
    <row r="8" spans="1:9" ht="13.5" thickBot="1" x14ac:dyDescent="0.25">
      <c r="A8" s="90">
        <v>1</v>
      </c>
      <c r="B8" s="43"/>
      <c r="C8" s="102" t="s">
        <v>356</v>
      </c>
      <c r="D8" s="90">
        <v>1</v>
      </c>
      <c r="E8" s="117">
        <v>1000</v>
      </c>
      <c r="F8" s="136">
        <v>1</v>
      </c>
      <c r="G8" s="87" t="s">
        <v>52</v>
      </c>
      <c r="H8" s="108">
        <v>1000</v>
      </c>
      <c r="I8" s="112">
        <v>180.33</v>
      </c>
    </row>
    <row r="9" spans="1:9" ht="13.5" thickBot="1" x14ac:dyDescent="0.25">
      <c r="A9" s="81">
        <v>2</v>
      </c>
      <c r="B9" s="43"/>
      <c r="C9" s="102" t="s">
        <v>101</v>
      </c>
      <c r="D9" s="81">
        <v>2</v>
      </c>
      <c r="E9" s="123">
        <v>100</v>
      </c>
      <c r="F9" s="126">
        <v>1000</v>
      </c>
      <c r="G9" s="87" t="s">
        <v>52</v>
      </c>
      <c r="H9" s="123">
        <v>200</v>
      </c>
      <c r="I9" s="93">
        <v>36.07</v>
      </c>
    </row>
    <row r="10" spans="1:9" ht="13.5" thickBot="1" x14ac:dyDescent="0.25">
      <c r="A10" s="81">
        <v>3</v>
      </c>
      <c r="B10" s="43"/>
      <c r="C10" s="102" t="s">
        <v>355</v>
      </c>
      <c r="D10" s="90">
        <v>1</v>
      </c>
      <c r="E10" s="260">
        <v>60000</v>
      </c>
      <c r="F10" s="126">
        <v>1000</v>
      </c>
      <c r="G10" s="109" t="s">
        <v>52</v>
      </c>
      <c r="H10" s="123">
        <v>600</v>
      </c>
      <c r="I10" s="112">
        <v>108.2</v>
      </c>
    </row>
    <row r="11" spans="1:9" ht="13.5" thickBot="1" x14ac:dyDescent="0.25">
      <c r="A11" s="110">
        <v>4</v>
      </c>
      <c r="B11" s="43"/>
      <c r="C11" s="102" t="s">
        <v>155</v>
      </c>
      <c r="D11" s="90">
        <v>1</v>
      </c>
      <c r="E11" s="93">
        <v>2500</v>
      </c>
      <c r="F11" s="126">
        <v>1000</v>
      </c>
      <c r="G11" s="87" t="s">
        <v>52</v>
      </c>
      <c r="H11" s="123">
        <v>2500</v>
      </c>
      <c r="I11" s="112">
        <v>450.82</v>
      </c>
    </row>
    <row r="12" spans="1:9" ht="13.5" thickBot="1" x14ac:dyDescent="0.25">
      <c r="A12" s="81">
        <v>5</v>
      </c>
      <c r="B12" s="43"/>
      <c r="C12" s="102" t="s">
        <v>112</v>
      </c>
      <c r="D12" s="81">
        <v>1</v>
      </c>
      <c r="E12" s="93">
        <v>700</v>
      </c>
      <c r="F12" s="126">
        <v>1000</v>
      </c>
      <c r="G12" s="87" t="s">
        <v>52</v>
      </c>
      <c r="H12" s="93">
        <v>700</v>
      </c>
      <c r="I12" s="127">
        <v>126.23</v>
      </c>
    </row>
    <row r="13" spans="1:9" ht="13.5" thickBot="1" x14ac:dyDescent="0.25">
      <c r="A13" s="110">
        <v>6</v>
      </c>
      <c r="B13" s="43"/>
      <c r="C13" s="102" t="s">
        <v>176</v>
      </c>
      <c r="D13" s="90">
        <v>1</v>
      </c>
      <c r="E13" s="123">
        <v>15000</v>
      </c>
      <c r="F13" s="136">
        <v>1</v>
      </c>
      <c r="G13" s="109" t="s">
        <v>52</v>
      </c>
      <c r="H13" s="93">
        <v>15000</v>
      </c>
      <c r="I13" s="93">
        <v>2704.92</v>
      </c>
    </row>
    <row r="14" spans="1:9" ht="33.75" thickBot="1" x14ac:dyDescent="0.25">
      <c r="A14" s="81">
        <v>7</v>
      </c>
      <c r="B14" s="43"/>
      <c r="C14" s="104" t="s">
        <v>354</v>
      </c>
      <c r="D14" s="90">
        <v>1</v>
      </c>
      <c r="E14" s="160">
        <v>500</v>
      </c>
      <c r="F14" s="126">
        <v>1000</v>
      </c>
      <c r="G14" s="109" t="s">
        <v>52</v>
      </c>
      <c r="H14" s="93">
        <v>500</v>
      </c>
      <c r="I14" s="93">
        <v>90.16</v>
      </c>
    </row>
    <row r="15" spans="1:9" ht="13.5" thickBot="1" x14ac:dyDescent="0.25">
      <c r="A15" s="110">
        <v>8</v>
      </c>
      <c r="B15" s="43"/>
      <c r="C15" s="102" t="s">
        <v>353</v>
      </c>
      <c r="D15" s="90">
        <v>1</v>
      </c>
      <c r="E15" s="259">
        <v>1000</v>
      </c>
      <c r="F15" s="258">
        <v>1000</v>
      </c>
      <c r="G15" s="109" t="s">
        <v>52</v>
      </c>
      <c r="H15" s="89" t="s">
        <v>352</v>
      </c>
      <c r="I15" s="112">
        <v>180.33</v>
      </c>
    </row>
    <row r="16" spans="1:9" ht="13.5" thickBot="1" x14ac:dyDescent="0.25">
      <c r="A16" s="81">
        <v>9</v>
      </c>
      <c r="B16" s="43"/>
      <c r="C16" s="102" t="s">
        <v>223</v>
      </c>
      <c r="D16" s="90">
        <v>1</v>
      </c>
      <c r="E16" s="109" t="s">
        <v>351</v>
      </c>
      <c r="F16" s="135">
        <v>1000</v>
      </c>
      <c r="G16" s="109" t="s">
        <v>52</v>
      </c>
      <c r="H16" s="89" t="s">
        <v>161</v>
      </c>
      <c r="I16" s="127">
        <v>450.82</v>
      </c>
    </row>
    <row r="17" spans="1:9" ht="13.5" thickBot="1" x14ac:dyDescent="0.25">
      <c r="A17" s="110">
        <v>10</v>
      </c>
      <c r="B17" s="43"/>
      <c r="C17" s="102" t="s">
        <v>350</v>
      </c>
      <c r="D17" s="90">
        <v>1</v>
      </c>
      <c r="E17" s="89" t="s">
        <v>349</v>
      </c>
      <c r="F17" s="135">
        <v>1000</v>
      </c>
      <c r="G17" s="109" t="s">
        <v>52</v>
      </c>
      <c r="H17" s="93">
        <v>1700</v>
      </c>
      <c r="I17" s="127">
        <v>306.56</v>
      </c>
    </row>
    <row r="18" spans="1:9" ht="13.5" thickBot="1" x14ac:dyDescent="0.25">
      <c r="A18" s="110">
        <v>11</v>
      </c>
      <c r="B18" s="43"/>
      <c r="C18" s="102" t="s">
        <v>348</v>
      </c>
      <c r="D18" s="90">
        <v>1</v>
      </c>
      <c r="E18" s="132" t="s">
        <v>347</v>
      </c>
      <c r="F18" s="126">
        <v>1000</v>
      </c>
      <c r="G18" s="87" t="s">
        <v>52</v>
      </c>
      <c r="H18" s="123">
        <v>500</v>
      </c>
      <c r="I18" s="93">
        <v>90.16</v>
      </c>
    </row>
    <row r="19" spans="1:9" ht="13.5" thickBot="1" x14ac:dyDescent="0.25">
      <c r="A19" s="110">
        <v>12</v>
      </c>
      <c r="B19" s="43"/>
      <c r="C19" s="102" t="s">
        <v>220</v>
      </c>
      <c r="D19" s="163">
        <v>1</v>
      </c>
      <c r="E19" s="257" t="s">
        <v>346</v>
      </c>
      <c r="F19" s="126">
        <v>1000</v>
      </c>
      <c r="G19" s="256" t="s">
        <v>52</v>
      </c>
      <c r="H19" s="255">
        <v>1500</v>
      </c>
      <c r="I19" s="112">
        <v>270.49</v>
      </c>
    </row>
    <row r="20" spans="1:9" ht="13.5" thickBot="1" x14ac:dyDescent="0.25">
      <c r="A20" s="110">
        <v>13</v>
      </c>
      <c r="B20" s="43"/>
      <c r="C20" s="102" t="s">
        <v>153</v>
      </c>
      <c r="D20" s="90">
        <v>1</v>
      </c>
      <c r="E20" s="109" t="s">
        <v>345</v>
      </c>
      <c r="F20" s="126">
        <v>1000</v>
      </c>
      <c r="G20" s="87" t="s">
        <v>52</v>
      </c>
      <c r="H20" s="93">
        <v>2000</v>
      </c>
      <c r="I20" s="127">
        <v>360.66</v>
      </c>
    </row>
    <row r="21" spans="1:9" ht="13.5" thickBot="1" x14ac:dyDescent="0.25">
      <c r="A21" s="479" t="s">
        <v>100</v>
      </c>
      <c r="B21" s="479"/>
      <c r="C21" s="480"/>
      <c r="D21" s="81">
        <v>14</v>
      </c>
      <c r="E21" s="481" t="s">
        <v>93</v>
      </c>
      <c r="F21" s="479"/>
      <c r="G21" s="480"/>
      <c r="H21" s="93">
        <v>29700</v>
      </c>
      <c r="I21" s="103">
        <v>535574</v>
      </c>
    </row>
    <row r="23" spans="1:9" ht="13.5" thickBot="1" x14ac:dyDescent="0.25">
      <c r="A23" s="496" t="s">
        <v>344</v>
      </c>
      <c r="B23" s="496"/>
      <c r="C23" s="496"/>
      <c r="D23" s="496"/>
      <c r="E23" s="496"/>
      <c r="F23" s="496"/>
      <c r="G23" s="496"/>
      <c r="H23" s="496"/>
    </row>
    <row r="24" spans="1:9" ht="13.5" thickBot="1" x14ac:dyDescent="0.25">
      <c r="A24" s="102" t="s">
        <v>46</v>
      </c>
      <c r="B24" s="88" t="s">
        <v>302</v>
      </c>
      <c r="C24" s="87" t="s">
        <v>47</v>
      </c>
      <c r="D24" s="87" t="s">
        <v>53</v>
      </c>
      <c r="E24" s="102" t="s">
        <v>178</v>
      </c>
      <c r="F24" s="87" t="s">
        <v>99</v>
      </c>
      <c r="G24" s="109" t="s">
        <v>51</v>
      </c>
      <c r="H24" s="89" t="s">
        <v>343</v>
      </c>
    </row>
    <row r="25" spans="1:9" ht="13.5" thickBot="1" x14ac:dyDescent="0.25">
      <c r="A25" s="90">
        <v>1</v>
      </c>
      <c r="B25" s="111">
        <v>2</v>
      </c>
      <c r="C25" s="81">
        <v>3</v>
      </c>
      <c r="D25" s="90">
        <v>4</v>
      </c>
      <c r="E25" s="81">
        <v>6</v>
      </c>
      <c r="F25" s="81">
        <v>6</v>
      </c>
      <c r="G25" s="103">
        <v>7</v>
      </c>
      <c r="H25" s="90">
        <v>8</v>
      </c>
    </row>
    <row r="26" spans="1:9" ht="50.25" thickBot="1" x14ac:dyDescent="0.25">
      <c r="A26" s="81">
        <v>1</v>
      </c>
      <c r="B26" s="102" t="s">
        <v>342</v>
      </c>
      <c r="C26" s="104" t="s">
        <v>341</v>
      </c>
      <c r="D26" s="81">
        <v>1</v>
      </c>
      <c r="E26" s="109" t="s">
        <v>78</v>
      </c>
      <c r="F26" s="92">
        <v>600</v>
      </c>
      <c r="G26" s="103">
        <v>60000</v>
      </c>
      <c r="H26" s="117">
        <v>108.2</v>
      </c>
    </row>
    <row r="27" spans="1:9" ht="13.5" thickBot="1" x14ac:dyDescent="0.25">
      <c r="A27" s="81">
        <v>2</v>
      </c>
      <c r="B27" s="102" t="s">
        <v>340</v>
      </c>
      <c r="C27" s="102" t="s">
        <v>122</v>
      </c>
      <c r="D27" s="81">
        <v>2</v>
      </c>
      <c r="E27" s="87" t="s">
        <v>54</v>
      </c>
      <c r="F27" s="107">
        <v>1900</v>
      </c>
      <c r="G27" s="93">
        <v>3800</v>
      </c>
      <c r="H27" s="117">
        <v>685.25</v>
      </c>
    </row>
    <row r="28" spans="1:9" ht="58.5" thickBot="1" x14ac:dyDescent="0.25">
      <c r="A28" s="110">
        <v>3</v>
      </c>
      <c r="B28" s="102" t="s">
        <v>339</v>
      </c>
      <c r="C28" s="104" t="s">
        <v>338</v>
      </c>
      <c r="D28" s="81">
        <v>1</v>
      </c>
      <c r="E28" s="109" t="s">
        <v>54</v>
      </c>
      <c r="F28" s="92">
        <v>18500</v>
      </c>
      <c r="G28" s="89" t="s">
        <v>160</v>
      </c>
      <c r="H28" s="93">
        <v>3336.07</v>
      </c>
    </row>
    <row r="29" spans="1:9" ht="66.75" thickBot="1" x14ac:dyDescent="0.25">
      <c r="A29" s="110">
        <v>4</v>
      </c>
      <c r="B29" s="102" t="s">
        <v>337</v>
      </c>
      <c r="C29" s="104" t="s">
        <v>336</v>
      </c>
      <c r="D29" s="81">
        <v>1</v>
      </c>
      <c r="E29" s="109" t="s">
        <v>54</v>
      </c>
      <c r="F29" s="131">
        <v>460</v>
      </c>
      <c r="G29" s="123">
        <v>460</v>
      </c>
      <c r="H29" s="93">
        <v>82.95</v>
      </c>
    </row>
    <row r="30" spans="1:9" ht="50.25" thickBot="1" x14ac:dyDescent="0.25">
      <c r="A30" s="81">
        <v>5</v>
      </c>
      <c r="B30" s="102" t="s">
        <v>335</v>
      </c>
      <c r="C30" s="104" t="s">
        <v>175</v>
      </c>
      <c r="D30" s="81">
        <v>1</v>
      </c>
      <c r="E30" s="109" t="s">
        <v>54</v>
      </c>
      <c r="F30" s="92">
        <v>4000</v>
      </c>
      <c r="G30" s="89" t="s">
        <v>118</v>
      </c>
      <c r="H30" s="117">
        <v>721.31</v>
      </c>
    </row>
    <row r="31" spans="1:9" ht="58.5" thickBot="1" x14ac:dyDescent="0.25">
      <c r="A31" s="110">
        <v>6</v>
      </c>
      <c r="B31" s="110">
        <v>32378001</v>
      </c>
      <c r="C31" s="104" t="s">
        <v>334</v>
      </c>
      <c r="D31" s="81">
        <v>1</v>
      </c>
      <c r="E31" s="109" t="s">
        <v>54</v>
      </c>
      <c r="F31" s="92">
        <v>1200</v>
      </c>
      <c r="G31" s="93">
        <v>1200</v>
      </c>
      <c r="H31" s="133">
        <v>216.39</v>
      </c>
    </row>
    <row r="32" spans="1:9" ht="13.5" thickBot="1" x14ac:dyDescent="0.25">
      <c r="A32" s="110">
        <v>7</v>
      </c>
      <c r="B32" s="42"/>
      <c r="C32" s="102" t="s">
        <v>333</v>
      </c>
      <c r="D32" s="81">
        <v>3</v>
      </c>
      <c r="E32" s="109" t="s">
        <v>54</v>
      </c>
      <c r="F32" s="92">
        <v>260</v>
      </c>
      <c r="G32" s="123">
        <v>780</v>
      </c>
      <c r="H32" s="117">
        <v>140.66</v>
      </c>
    </row>
    <row r="33" spans="1:8" ht="42.75" thickBot="1" x14ac:dyDescent="0.25">
      <c r="A33" s="90">
        <v>8</v>
      </c>
      <c r="B33" s="102" t="s">
        <v>332</v>
      </c>
      <c r="C33" s="114" t="s">
        <v>331</v>
      </c>
      <c r="D33" s="81">
        <v>1</v>
      </c>
      <c r="E33" s="109" t="s">
        <v>54</v>
      </c>
      <c r="F33" s="131">
        <v>19500</v>
      </c>
      <c r="G33" s="93">
        <v>19500</v>
      </c>
      <c r="H33" s="103">
        <v>351639</v>
      </c>
    </row>
    <row r="34" spans="1:8" ht="13.5" thickBot="1" x14ac:dyDescent="0.25">
      <c r="A34" s="90">
        <v>9</v>
      </c>
      <c r="B34" s="102" t="s">
        <v>151</v>
      </c>
      <c r="C34" s="102" t="s">
        <v>221</v>
      </c>
      <c r="D34" s="81">
        <v>1</v>
      </c>
      <c r="E34" s="109" t="s">
        <v>54</v>
      </c>
      <c r="F34" s="92">
        <v>800</v>
      </c>
      <c r="G34" s="93">
        <v>800</v>
      </c>
      <c r="H34" s="117">
        <v>144.26</v>
      </c>
    </row>
    <row r="35" spans="1:8" ht="13.5" thickBot="1" x14ac:dyDescent="0.25">
      <c r="A35" s="102" t="s">
        <v>330</v>
      </c>
      <c r="B35" s="102" t="s">
        <v>222</v>
      </c>
      <c r="C35" s="102" t="s">
        <v>329</v>
      </c>
      <c r="D35" s="81">
        <v>1</v>
      </c>
      <c r="E35" s="109" t="s">
        <v>54</v>
      </c>
      <c r="F35" s="131">
        <v>100</v>
      </c>
      <c r="G35" s="123">
        <v>100</v>
      </c>
      <c r="H35" s="93">
        <v>18.03</v>
      </c>
    </row>
    <row r="36" spans="1:8" ht="13.5" thickBot="1" x14ac:dyDescent="0.25">
      <c r="A36" s="497">
        <v>11</v>
      </c>
      <c r="B36" s="497">
        <v>707613</v>
      </c>
      <c r="C36" s="42"/>
      <c r="D36" s="499">
        <v>2</v>
      </c>
      <c r="E36" s="501" t="s">
        <v>54</v>
      </c>
      <c r="F36" s="503">
        <v>130</v>
      </c>
      <c r="G36" s="505">
        <v>260</v>
      </c>
      <c r="H36" s="507">
        <v>46.89</v>
      </c>
    </row>
    <row r="37" spans="1:8" ht="13.5" thickBot="1" x14ac:dyDescent="0.25">
      <c r="A37" s="498"/>
      <c r="B37" s="498"/>
      <c r="C37" s="42"/>
      <c r="D37" s="500"/>
      <c r="E37" s="502"/>
      <c r="F37" s="504"/>
      <c r="G37" s="506"/>
      <c r="H37" s="508"/>
    </row>
    <row r="38" spans="1:8" ht="13.5" thickBot="1" x14ac:dyDescent="0.25">
      <c r="A38" s="110">
        <v>12</v>
      </c>
      <c r="B38" s="110">
        <v>614503</v>
      </c>
      <c r="C38" s="102" t="s">
        <v>120</v>
      </c>
      <c r="D38" s="254" t="s">
        <v>328</v>
      </c>
      <c r="E38" s="87" t="s">
        <v>54</v>
      </c>
      <c r="F38" s="92">
        <v>950</v>
      </c>
      <c r="G38" s="123">
        <v>1900</v>
      </c>
      <c r="H38" s="117">
        <v>342.62</v>
      </c>
    </row>
    <row r="39" spans="1:8" ht="13.5" thickBot="1" x14ac:dyDescent="0.25">
      <c r="A39" s="479" t="s">
        <v>110</v>
      </c>
      <c r="B39" s="479"/>
      <c r="C39" s="480"/>
      <c r="D39" s="90">
        <v>17</v>
      </c>
      <c r="E39" s="481" t="s">
        <v>93</v>
      </c>
      <c r="F39" s="480"/>
      <c r="G39" s="93">
        <v>51900</v>
      </c>
      <c r="H39" s="93">
        <v>9359.02</v>
      </c>
    </row>
  </sheetData>
  <mergeCells count="15">
    <mergeCell ref="A39:C39"/>
    <mergeCell ref="E39:F39"/>
    <mergeCell ref="A23:H23"/>
    <mergeCell ref="A36:A37"/>
    <mergeCell ref="B36:B37"/>
    <mergeCell ref="D36:D37"/>
    <mergeCell ref="E36:E37"/>
    <mergeCell ref="F36:F37"/>
    <mergeCell ref="G36:G37"/>
    <mergeCell ref="H36:H37"/>
    <mergeCell ref="A1:B1"/>
    <mergeCell ref="A3:B3"/>
    <mergeCell ref="A5:I5"/>
    <mergeCell ref="A21:C21"/>
    <mergeCell ref="E21:G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1A6F-5016-4378-97BB-A2C2D99B5FC9}">
  <sheetPr codeName="Лист10">
    <pageSetUpPr fitToPage="1"/>
  </sheetPr>
  <dimension ref="B1:N58"/>
  <sheetViews>
    <sheetView workbookViewId="0">
      <selection activeCell="R16" sqref="R1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8.140625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8.1406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8.1406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8.1406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8.1406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8.1406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8.1406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8.1406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8.1406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8.1406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8.1406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8.1406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8.1406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8.1406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8.1406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8.1406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8.1406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8.1406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8.1406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8.1406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8.1406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8.1406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8.1406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8.1406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8.1406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8.1406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8.1406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8.1406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8.1406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8.1406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8.1406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8.1406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8.1406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8.1406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8.1406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8.1406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8.1406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8.1406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8.1406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8.1406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8.1406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8.1406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8.1406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8.1406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8.1406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8.1406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8.1406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8.1406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8.1406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8.1406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8.1406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8.1406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8.1406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8.1406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8.1406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8.1406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8.1406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8.1406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8.1406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8.1406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8.1406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8.1406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8.1406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8.1406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482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2.75" customHeight="1" x14ac:dyDescent="0.25">
      <c r="B7" s="402" t="s">
        <v>479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24.7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473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3.5" customHeight="1" thickBot="1" x14ac:dyDescent="0.3">
      <c r="B21" s="281" t="s">
        <v>449</v>
      </c>
      <c r="C21" s="292"/>
      <c r="D21" s="413" t="s">
        <v>467</v>
      </c>
      <c r="E21" s="414"/>
      <c r="F21" s="414"/>
      <c r="G21" s="414"/>
      <c r="H21" s="415"/>
      <c r="I21" s="291">
        <v>1</v>
      </c>
      <c r="J21" s="290">
        <v>700</v>
      </c>
      <c r="K21" s="289">
        <v>1</v>
      </c>
      <c r="L21" s="279" t="s">
        <v>11</v>
      </c>
      <c r="M21" s="277">
        <f>J21*I21</f>
        <v>700</v>
      </c>
      <c r="N21" s="276">
        <f>M21*22/122</f>
        <v>126.22950819672131</v>
      </c>
    </row>
    <row r="22" spans="2:14" s="275" customFormat="1" ht="13.5" customHeight="1" thickBot="1" x14ac:dyDescent="0.3">
      <c r="B22" s="281" t="s">
        <v>446</v>
      </c>
      <c r="C22" s="292"/>
      <c r="D22" s="413" t="s">
        <v>466</v>
      </c>
      <c r="E22" s="414"/>
      <c r="F22" s="414"/>
      <c r="G22" s="414"/>
      <c r="H22" s="415"/>
      <c r="I22" s="291">
        <v>1</v>
      </c>
      <c r="J22" s="290">
        <v>150</v>
      </c>
      <c r="K22" s="289">
        <v>1</v>
      </c>
      <c r="L22" s="279" t="s">
        <v>11</v>
      </c>
      <c r="M22" s="277">
        <f>J22*I22</f>
        <v>150</v>
      </c>
      <c r="N22" s="276">
        <f>M22*22/122</f>
        <v>27.049180327868854</v>
      </c>
    </row>
    <row r="23" spans="2:14" s="275" customFormat="1" ht="13.5" customHeight="1" thickBot="1" x14ac:dyDescent="0.3">
      <c r="B23" s="281" t="s">
        <v>443</v>
      </c>
      <c r="C23" s="292"/>
      <c r="D23" s="413" t="s">
        <v>465</v>
      </c>
      <c r="E23" s="414"/>
      <c r="F23" s="414"/>
      <c r="G23" s="414"/>
      <c r="H23" s="415"/>
      <c r="I23" s="291">
        <v>1</v>
      </c>
      <c r="J23" s="290">
        <v>150</v>
      </c>
      <c r="K23" s="289">
        <v>1</v>
      </c>
      <c r="L23" s="279" t="s">
        <v>11</v>
      </c>
      <c r="M23" s="277">
        <f>J23*I23</f>
        <v>150</v>
      </c>
      <c r="N23" s="276">
        <f>M23*22/122</f>
        <v>27.049180327868854</v>
      </c>
    </row>
    <row r="24" spans="2:14" ht="12.75" customHeight="1" x14ac:dyDescent="0.25">
      <c r="B24" s="396" t="s">
        <v>464</v>
      </c>
      <c r="C24" s="396"/>
      <c r="D24" s="396"/>
      <c r="E24" s="396"/>
      <c r="F24" s="396"/>
      <c r="G24" s="396"/>
      <c r="H24" s="397"/>
      <c r="I24" s="288">
        <v>3</v>
      </c>
      <c r="J24" s="393" t="s">
        <v>435</v>
      </c>
      <c r="K24" s="394"/>
      <c r="L24" s="395"/>
      <c r="M24" s="273">
        <f>M21+M22+M23</f>
        <v>1000</v>
      </c>
      <c r="N24" s="276">
        <f>M24*22/122</f>
        <v>180.32786885245901</v>
      </c>
    </row>
    <row r="25" spans="2:14" ht="5.25" customHeight="1" x14ac:dyDescent="0.25"/>
    <row r="26" spans="2:14" ht="12.75" customHeight="1" x14ac:dyDescent="0.25">
      <c r="B26" s="392" t="s">
        <v>463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11.25" customHeight="1" x14ac:dyDescent="0.25"/>
    <row r="28" spans="2:14" ht="15" customHeight="1" x14ac:dyDescent="0.25">
      <c r="C28" s="287" t="s">
        <v>462</v>
      </c>
    </row>
    <row r="29" spans="2:14" ht="11.25" customHeight="1" thickBot="1" x14ac:dyDescent="0.3">
      <c r="B29" s="286"/>
      <c r="C29" s="285"/>
      <c r="D29" s="285"/>
      <c r="H29" s="285"/>
      <c r="I29" s="285"/>
      <c r="M29" s="284"/>
      <c r="N29" s="284"/>
    </row>
    <row r="30" spans="2:14" ht="12.75" customHeight="1" thickBot="1" x14ac:dyDescent="0.3">
      <c r="B30" s="282" t="s">
        <v>461</v>
      </c>
      <c r="C30" s="283" t="s">
        <v>460</v>
      </c>
      <c r="D30" s="398" t="s">
        <v>459</v>
      </c>
      <c r="E30" s="399"/>
      <c r="F30" s="399"/>
      <c r="G30" s="399"/>
      <c r="H30" s="399"/>
      <c r="I30" s="400"/>
      <c r="J30" s="282" t="s">
        <v>458</v>
      </c>
      <c r="K30" s="282" t="s">
        <v>457</v>
      </c>
      <c r="L30" s="282" t="s">
        <v>456</v>
      </c>
      <c r="M30" s="282" t="s">
        <v>455</v>
      </c>
      <c r="N30" s="282" t="s">
        <v>454</v>
      </c>
    </row>
    <row r="31" spans="2:14" ht="12.75" customHeight="1" thickBot="1" x14ac:dyDescent="0.3">
      <c r="B31" s="282" t="s">
        <v>449</v>
      </c>
      <c r="C31" s="283" t="s">
        <v>446</v>
      </c>
      <c r="D31" s="398" t="s">
        <v>443</v>
      </c>
      <c r="E31" s="399"/>
      <c r="F31" s="399"/>
      <c r="G31" s="399"/>
      <c r="H31" s="399"/>
      <c r="I31" s="400"/>
      <c r="J31" s="282" t="s">
        <v>440</v>
      </c>
      <c r="K31" s="282" t="s">
        <v>453</v>
      </c>
      <c r="L31" s="282" t="s">
        <v>452</v>
      </c>
      <c r="M31" s="282" t="s">
        <v>451</v>
      </c>
      <c r="N31" s="282" t="s">
        <v>450</v>
      </c>
    </row>
    <row r="32" spans="2:14" s="275" customFormat="1" ht="26.25" customHeight="1" thickBot="1" x14ac:dyDescent="0.3">
      <c r="B32" s="281" t="s">
        <v>449</v>
      </c>
      <c r="C32" s="280" t="s">
        <v>448</v>
      </c>
      <c r="D32" s="467" t="s">
        <v>447</v>
      </c>
      <c r="E32" s="468"/>
      <c r="F32" s="468"/>
      <c r="G32" s="468"/>
      <c r="H32" s="468"/>
      <c r="I32" s="469"/>
      <c r="J32" s="279">
        <v>1</v>
      </c>
      <c r="K32" s="279" t="s">
        <v>437</v>
      </c>
      <c r="L32" s="278">
        <v>450</v>
      </c>
      <c r="M32" s="277">
        <f>L32*J32</f>
        <v>450</v>
      </c>
      <c r="N32" s="276">
        <f>M32*22/122</f>
        <v>81.147540983606561</v>
      </c>
    </row>
    <row r="33" spans="2:14" s="275" customFormat="1" ht="24.75" customHeight="1" thickBot="1" x14ac:dyDescent="0.3">
      <c r="B33" s="281" t="s">
        <v>446</v>
      </c>
      <c r="C33" s="280" t="s">
        <v>445</v>
      </c>
      <c r="D33" s="467" t="s">
        <v>444</v>
      </c>
      <c r="E33" s="468"/>
      <c r="F33" s="468"/>
      <c r="G33" s="468"/>
      <c r="H33" s="468"/>
      <c r="I33" s="469"/>
      <c r="J33" s="279">
        <v>1</v>
      </c>
      <c r="K33" s="279" t="s">
        <v>437</v>
      </c>
      <c r="L33" s="278">
        <v>650</v>
      </c>
      <c r="M33" s="277">
        <f>L33*J33</f>
        <v>650</v>
      </c>
      <c r="N33" s="276">
        <f>M33*22/122</f>
        <v>117.21311475409836</v>
      </c>
    </row>
    <row r="34" spans="2:14" s="275" customFormat="1" ht="14.25" customHeight="1" thickBot="1" x14ac:dyDescent="0.3">
      <c r="B34" s="281" t="s">
        <v>443</v>
      </c>
      <c r="C34" s="280" t="s">
        <v>442</v>
      </c>
      <c r="D34" s="467" t="s">
        <v>441</v>
      </c>
      <c r="E34" s="468"/>
      <c r="F34" s="468"/>
      <c r="G34" s="468"/>
      <c r="H34" s="468"/>
      <c r="I34" s="469"/>
      <c r="J34" s="279">
        <v>1</v>
      </c>
      <c r="K34" s="279" t="s">
        <v>437</v>
      </c>
      <c r="L34" s="278">
        <v>6500</v>
      </c>
      <c r="M34" s="277">
        <f>L34*J34</f>
        <v>6500</v>
      </c>
      <c r="N34" s="276">
        <f>M34*22/122</f>
        <v>1172.1311475409836</v>
      </c>
    </row>
    <row r="35" spans="2:14" s="275" customFormat="1" ht="13.5" customHeight="1" x14ac:dyDescent="0.25">
      <c r="B35" s="281" t="s">
        <v>440</v>
      </c>
      <c r="C35" s="280" t="s">
        <v>439</v>
      </c>
      <c r="D35" s="467" t="s">
        <v>438</v>
      </c>
      <c r="E35" s="468"/>
      <c r="F35" s="468"/>
      <c r="G35" s="468"/>
      <c r="H35" s="468"/>
      <c r="I35" s="469"/>
      <c r="J35" s="279">
        <v>1</v>
      </c>
      <c r="K35" s="279" t="s">
        <v>437</v>
      </c>
      <c r="L35" s="278">
        <v>800</v>
      </c>
      <c r="M35" s="277">
        <f>L35*J35</f>
        <v>800</v>
      </c>
      <c r="N35" s="276">
        <f>M35*22/122</f>
        <v>144.26229508196721</v>
      </c>
    </row>
    <row r="36" spans="2:14" ht="21" customHeight="1" x14ac:dyDescent="0.25">
      <c r="B36" s="396" t="s">
        <v>436</v>
      </c>
      <c r="C36" s="396"/>
      <c r="D36" s="396"/>
      <c r="E36" s="396"/>
      <c r="F36" s="396"/>
      <c r="G36" s="396"/>
      <c r="H36" s="396"/>
      <c r="I36" s="397"/>
      <c r="J36" s="274">
        <v>4</v>
      </c>
      <c r="K36" s="393" t="s">
        <v>435</v>
      </c>
      <c r="L36" s="395"/>
      <c r="M36" s="273">
        <f>M32+M33+M34+M35</f>
        <v>8400</v>
      </c>
      <c r="N36" s="272">
        <f>M36*22/122</f>
        <v>1514.7540983606557</v>
      </c>
    </row>
    <row r="37" spans="2:14" ht="5.25" customHeight="1" x14ac:dyDescent="0.25"/>
    <row r="38" spans="2:14" ht="12.75" customHeight="1" x14ac:dyDescent="0.25">
      <c r="B38" s="392" t="s">
        <v>434</v>
      </c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</row>
    <row r="39" spans="2:14" ht="11.25" customHeight="1" thickBot="1" x14ac:dyDescent="0.3"/>
    <row r="40" spans="2:14" ht="12.75" customHeight="1" thickTop="1" thickBot="1" x14ac:dyDescent="0.3">
      <c r="B40" s="271"/>
      <c r="C40" s="271"/>
      <c r="D40" s="271"/>
      <c r="E40" s="271"/>
      <c r="F40" s="271"/>
      <c r="G40" s="271"/>
      <c r="H40" s="271"/>
      <c r="I40" s="271"/>
      <c r="J40" s="271"/>
      <c r="K40" s="270"/>
      <c r="L40" s="270" t="s">
        <v>433</v>
      </c>
      <c r="M40" s="269">
        <f>M24+M36</f>
        <v>9400</v>
      </c>
      <c r="N40" s="268">
        <f>M40*20/120</f>
        <v>1566.6666666666667</v>
      </c>
    </row>
    <row r="41" spans="2:14" ht="5.25" customHeight="1" thickTop="1" x14ac:dyDescent="0.25"/>
    <row r="42" spans="2:14" ht="12.75" customHeight="1" x14ac:dyDescent="0.25">
      <c r="B42" s="388" t="s">
        <v>432</v>
      </c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</row>
    <row r="43" spans="2:14" ht="11.25" customHeight="1" x14ac:dyDescent="0.25"/>
    <row r="44" spans="2:14" ht="11.25" customHeight="1" x14ac:dyDescent="0.25"/>
    <row r="45" spans="2:14" ht="12.75" customHeight="1" x14ac:dyDescent="0.25">
      <c r="J45" s="266" t="s">
        <v>431</v>
      </c>
      <c r="K45" s="384" t="s">
        <v>430</v>
      </c>
      <c r="L45" s="384"/>
      <c r="M45" s="384"/>
      <c r="N45" s="384"/>
    </row>
    <row r="46" spans="2:14" ht="6" customHeight="1" x14ac:dyDescent="0.25"/>
    <row r="47" spans="2:14" ht="48.75" customHeight="1" x14ac:dyDescent="0.25">
      <c r="B47" s="267"/>
      <c r="C47" s="385" t="s">
        <v>429</v>
      </c>
      <c r="D47" s="385"/>
      <c r="E47" s="385"/>
      <c r="F47" s="385"/>
      <c r="G47" s="385"/>
      <c r="H47" s="385"/>
      <c r="I47" s="385"/>
      <c r="J47" s="385"/>
      <c r="K47" s="385"/>
      <c r="L47" s="385"/>
      <c r="M47" s="385"/>
    </row>
    <row r="48" spans="2:14" ht="6" customHeight="1" x14ac:dyDescent="0.25"/>
    <row r="49" spans="2:14" ht="1.1499999999999999" customHeight="1" x14ac:dyDescent="0.25"/>
    <row r="50" spans="2:14" ht="3.75" customHeight="1" x14ac:dyDescent="0.25"/>
    <row r="51" spans="2:14" ht="11.25" customHeight="1" x14ac:dyDescent="0.25"/>
    <row r="52" spans="2:14" ht="24.75" customHeight="1" x14ac:dyDescent="0.25">
      <c r="B52" s="386" t="s">
        <v>428</v>
      </c>
      <c r="C52" s="386"/>
      <c r="J52" s="266" t="s">
        <v>427</v>
      </c>
      <c r="K52" s="384" t="s">
        <v>425</v>
      </c>
      <c r="L52" s="384"/>
      <c r="M52" s="384"/>
      <c r="N52" s="384"/>
    </row>
    <row r="53" spans="2:14" ht="11.25" customHeight="1" x14ac:dyDescent="0.25"/>
    <row r="54" spans="2:14" ht="24.75" customHeight="1" x14ac:dyDescent="0.25">
      <c r="J54" s="266" t="s">
        <v>426</v>
      </c>
      <c r="K54" s="384" t="s">
        <v>425</v>
      </c>
      <c r="L54" s="384"/>
      <c r="M54" s="384"/>
      <c r="N54" s="384"/>
    </row>
    <row r="55" spans="2:14" ht="12.75" customHeight="1" x14ac:dyDescent="0.25"/>
    <row r="56" spans="2:14" ht="12.75" customHeight="1" x14ac:dyDescent="0.25">
      <c r="B56" s="387" t="s">
        <v>424</v>
      </c>
      <c r="C56" s="387"/>
    </row>
    <row r="57" spans="2:14" ht="22.15" customHeight="1" x14ac:dyDescent="0.25">
      <c r="B57" s="381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3"/>
    </row>
    <row r="58" spans="2:14" ht="11.25" customHeight="1" x14ac:dyDescent="0.25"/>
  </sheetData>
  <mergeCells count="34">
    <mergeCell ref="B57:N57"/>
    <mergeCell ref="D33:I33"/>
    <mergeCell ref="D34:I34"/>
    <mergeCell ref="D35:I35"/>
    <mergeCell ref="D30:I30"/>
    <mergeCell ref="D31:I31"/>
    <mergeCell ref="D32:I32"/>
    <mergeCell ref="C47:M47"/>
    <mergeCell ref="B7:N7"/>
    <mergeCell ref="B11:N11"/>
    <mergeCell ref="B12:N12"/>
    <mergeCell ref="D19:H19"/>
    <mergeCell ref="D20:H20"/>
    <mergeCell ref="D21:H21"/>
    <mergeCell ref="B52:C52"/>
    <mergeCell ref="K52:N52"/>
    <mergeCell ref="K54:N54"/>
    <mergeCell ref="B56:C56"/>
    <mergeCell ref="K45:N45"/>
    <mergeCell ref="D23:H23"/>
    <mergeCell ref="B24:H24"/>
    <mergeCell ref="J24:L24"/>
    <mergeCell ref="B26:N26"/>
    <mergeCell ref="D22:H22"/>
    <mergeCell ref="B36:I36"/>
    <mergeCell ref="K36:L36"/>
    <mergeCell ref="B38:N38"/>
    <mergeCell ref="B42:N42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A82-8D69-4623-93E4-246F6BF7FC64}">
  <sheetPr codeName="Лист11">
    <pageSetUpPr fitToPage="1"/>
  </sheetPr>
  <dimension ref="B1:N56"/>
  <sheetViews>
    <sheetView workbookViewId="0">
      <selection activeCell="Q32" sqref="Q3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497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496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495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494</v>
      </c>
      <c r="E21" s="390"/>
      <c r="F21" s="390"/>
      <c r="G21" s="390"/>
      <c r="H21" s="391"/>
      <c r="I21" s="291">
        <v>1</v>
      </c>
      <c r="J21" s="300">
        <v>1000</v>
      </c>
      <c r="K21" s="289">
        <v>1</v>
      </c>
      <c r="L21" s="279" t="s">
        <v>11</v>
      </c>
      <c r="M21" s="277">
        <f>J21*I21</f>
        <v>1000</v>
      </c>
      <c r="N21" s="276">
        <f>M21*22/122</f>
        <v>180.32786885245901</v>
      </c>
    </row>
    <row r="22" spans="2:14" s="275" customFormat="1" ht="12" customHeight="1" x14ac:dyDescent="0.25">
      <c r="B22" s="281" t="s">
        <v>446</v>
      </c>
      <c r="C22" s="292"/>
      <c r="D22" s="389" t="s">
        <v>493</v>
      </c>
      <c r="E22" s="390"/>
      <c r="F22" s="390"/>
      <c r="G22" s="390"/>
      <c r="H22" s="391"/>
      <c r="I22" s="291">
        <v>1</v>
      </c>
      <c r="J22" s="300">
        <v>1700</v>
      </c>
      <c r="K22" s="289">
        <v>1</v>
      </c>
      <c r="L22" s="279" t="s">
        <v>11</v>
      </c>
      <c r="M22" s="277">
        <f>J22*I22</f>
        <v>1700</v>
      </c>
      <c r="N22" s="276">
        <f>M22*22/122</f>
        <v>306.55737704918033</v>
      </c>
    </row>
    <row r="23" spans="2:14" s="275" customFormat="1" ht="12" customHeight="1" x14ac:dyDescent="0.25">
      <c r="B23" s="281" t="s">
        <v>443</v>
      </c>
      <c r="C23" s="292"/>
      <c r="D23" s="389" t="s">
        <v>492</v>
      </c>
      <c r="E23" s="390"/>
      <c r="F23" s="390"/>
      <c r="G23" s="390"/>
      <c r="H23" s="391"/>
      <c r="I23" s="291">
        <v>1</v>
      </c>
      <c r="J23" s="300">
        <v>800</v>
      </c>
      <c r="K23" s="289">
        <v>1</v>
      </c>
      <c r="L23" s="279" t="s">
        <v>11</v>
      </c>
      <c r="M23" s="277">
        <f>J23*I23</f>
        <v>800</v>
      </c>
      <c r="N23" s="276">
        <f>M23*22/122</f>
        <v>144.26229508196721</v>
      </c>
    </row>
    <row r="24" spans="2:14" ht="12.75" customHeight="1" x14ac:dyDescent="0.25">
      <c r="B24" s="396" t="s">
        <v>464</v>
      </c>
      <c r="C24" s="396"/>
      <c r="D24" s="396"/>
      <c r="E24" s="396"/>
      <c r="F24" s="396"/>
      <c r="G24" s="396"/>
      <c r="H24" s="396"/>
      <c r="I24" s="299">
        <v>3</v>
      </c>
      <c r="J24" s="393" t="s">
        <v>435</v>
      </c>
      <c r="K24" s="393"/>
      <c r="L24" s="393"/>
      <c r="M24" s="277">
        <f>M21+M22+M23</f>
        <v>3500</v>
      </c>
      <c r="N24" s="276">
        <f>M24*22/122</f>
        <v>631.14754098360652</v>
      </c>
    </row>
    <row r="25" spans="2:14" ht="11.25" customHeight="1" x14ac:dyDescent="0.25"/>
    <row r="26" spans="2:14" ht="12.75" customHeight="1" x14ac:dyDescent="0.25">
      <c r="B26" s="392" t="s">
        <v>491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11.25" customHeight="1" x14ac:dyDescent="0.25"/>
    <row r="28" spans="2:14" ht="15" customHeight="1" x14ac:dyDescent="0.25">
      <c r="C28" s="287" t="s">
        <v>490</v>
      </c>
    </row>
    <row r="29" spans="2:14" ht="11.25" customHeight="1" thickBot="1" x14ac:dyDescent="0.3">
      <c r="B29" s="286"/>
      <c r="C29" s="285"/>
      <c r="D29" s="285"/>
      <c r="H29" s="285"/>
      <c r="I29" s="285"/>
      <c r="M29" s="284"/>
      <c r="N29" s="284"/>
    </row>
    <row r="30" spans="2:14" ht="12.75" customHeight="1" thickBot="1" x14ac:dyDescent="0.3">
      <c r="B30" s="282" t="s">
        <v>461</v>
      </c>
      <c r="C30" s="283" t="s">
        <v>460</v>
      </c>
      <c r="D30" s="511" t="s">
        <v>459</v>
      </c>
      <c r="E30" s="511"/>
      <c r="F30" s="511"/>
      <c r="G30" s="511"/>
      <c r="H30" s="511"/>
      <c r="I30" s="511"/>
      <c r="J30" s="282" t="s">
        <v>458</v>
      </c>
      <c r="K30" s="282" t="s">
        <v>457</v>
      </c>
      <c r="L30" s="282" t="s">
        <v>456</v>
      </c>
      <c r="M30" s="282" t="s">
        <v>455</v>
      </c>
      <c r="N30" s="282" t="s">
        <v>454</v>
      </c>
    </row>
    <row r="31" spans="2:14" ht="12.75" customHeight="1" thickBot="1" x14ac:dyDescent="0.3">
      <c r="B31" s="282" t="s">
        <v>449</v>
      </c>
      <c r="C31" s="283" t="s">
        <v>446</v>
      </c>
      <c r="D31" s="511" t="s">
        <v>443</v>
      </c>
      <c r="E31" s="511"/>
      <c r="F31" s="511"/>
      <c r="G31" s="511"/>
      <c r="H31" s="511"/>
      <c r="I31" s="511"/>
      <c r="J31" s="282" t="s">
        <v>440</v>
      </c>
      <c r="K31" s="282" t="s">
        <v>453</v>
      </c>
      <c r="L31" s="282" t="s">
        <v>452</v>
      </c>
      <c r="M31" s="282" t="s">
        <v>451</v>
      </c>
      <c r="N31" s="282" t="s">
        <v>450</v>
      </c>
    </row>
    <row r="32" spans="2:14" s="275" customFormat="1" ht="24.75" customHeight="1" x14ac:dyDescent="0.25">
      <c r="B32" s="281" t="s">
        <v>449</v>
      </c>
      <c r="C32" s="292"/>
      <c r="D32" s="512" t="s">
        <v>489</v>
      </c>
      <c r="E32" s="512"/>
      <c r="F32" s="512"/>
      <c r="G32" s="512"/>
      <c r="H32" s="512"/>
      <c r="I32" s="512"/>
      <c r="J32" s="291">
        <v>1</v>
      </c>
      <c r="K32" s="279" t="s">
        <v>437</v>
      </c>
      <c r="L32" s="278">
        <v>5300</v>
      </c>
      <c r="M32" s="277">
        <f>L32*J32</f>
        <v>5300</v>
      </c>
      <c r="N32" s="276">
        <f>M32*22/122</f>
        <v>955.73770491803282</v>
      </c>
    </row>
    <row r="33" spans="2:14" s="275" customFormat="1" ht="14.25" customHeight="1" x14ac:dyDescent="0.25">
      <c r="B33" s="281" t="s">
        <v>446</v>
      </c>
      <c r="C33" s="292">
        <v>614503</v>
      </c>
      <c r="D33" s="512" t="s">
        <v>488</v>
      </c>
      <c r="E33" s="512"/>
      <c r="F33" s="512"/>
      <c r="G33" s="512"/>
      <c r="H33" s="512"/>
      <c r="I33" s="512"/>
      <c r="J33" s="291">
        <v>2</v>
      </c>
      <c r="K33" s="279" t="s">
        <v>437</v>
      </c>
      <c r="L33" s="278">
        <v>1000</v>
      </c>
      <c r="M33" s="277">
        <f>L33*J33</f>
        <v>2000</v>
      </c>
      <c r="N33" s="276">
        <f>M33*22/122</f>
        <v>360.65573770491801</v>
      </c>
    </row>
    <row r="34" spans="2:14" ht="12.75" customHeight="1" x14ac:dyDescent="0.25">
      <c r="B34" s="396" t="s">
        <v>436</v>
      </c>
      <c r="C34" s="396"/>
      <c r="D34" s="396"/>
      <c r="E34" s="396"/>
      <c r="F34" s="396"/>
      <c r="G34" s="396"/>
      <c r="H34" s="396"/>
      <c r="I34" s="396"/>
      <c r="J34" s="297">
        <v>3</v>
      </c>
      <c r="K34" s="393" t="s">
        <v>435</v>
      </c>
      <c r="L34" s="393"/>
      <c r="M34" s="277">
        <f>M32+M33</f>
        <v>7300</v>
      </c>
      <c r="N34" s="276">
        <f>M34*22/122</f>
        <v>1316.3934426229507</v>
      </c>
    </row>
    <row r="35" spans="2:14" ht="5.25" customHeight="1" x14ac:dyDescent="0.25"/>
    <row r="36" spans="2:14" ht="12.75" customHeight="1" x14ac:dyDescent="0.25">
      <c r="B36" s="392" t="s">
        <v>487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</row>
    <row r="37" spans="2:14" ht="11.25" customHeight="1" thickBot="1" x14ac:dyDescent="0.3"/>
    <row r="38" spans="2:14" ht="12.75" customHeight="1" thickTop="1" thickBot="1" x14ac:dyDescent="0.3">
      <c r="B38" s="271"/>
      <c r="C38" s="271"/>
      <c r="D38" s="271"/>
      <c r="E38" s="271"/>
      <c r="F38" s="271"/>
      <c r="G38" s="271"/>
      <c r="H38" s="271"/>
      <c r="I38" s="271"/>
      <c r="J38" s="271"/>
      <c r="K38" s="270"/>
      <c r="L38" s="270" t="s">
        <v>433</v>
      </c>
      <c r="M38" s="269">
        <f>M24+M34</f>
        <v>10800</v>
      </c>
      <c r="N38" s="268">
        <f>M38*22/122</f>
        <v>1947.5409836065573</v>
      </c>
    </row>
    <row r="39" spans="2:14" ht="5.25" customHeight="1" thickTop="1" x14ac:dyDescent="0.25"/>
    <row r="40" spans="2:14" ht="12.75" customHeight="1" x14ac:dyDescent="0.25">
      <c r="B40" s="388" t="s">
        <v>486</v>
      </c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66" t="s">
        <v>431</v>
      </c>
      <c r="K43" s="384" t="s">
        <v>430</v>
      </c>
      <c r="L43" s="384"/>
      <c r="M43" s="384"/>
      <c r="N43" s="384"/>
    </row>
    <row r="44" spans="2:14" ht="6" customHeight="1" x14ac:dyDescent="0.25"/>
    <row r="45" spans="2:14" ht="48.75" customHeight="1" x14ac:dyDescent="0.25">
      <c r="B45" s="267"/>
      <c r="C45" s="385" t="s">
        <v>429</v>
      </c>
      <c r="D45" s="385"/>
      <c r="E45" s="385"/>
      <c r="F45" s="385"/>
      <c r="G45" s="385"/>
      <c r="H45" s="385"/>
      <c r="I45" s="385"/>
      <c r="J45" s="385"/>
      <c r="K45" s="385"/>
      <c r="L45" s="385"/>
      <c r="M45" s="385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386" t="s">
        <v>485</v>
      </c>
      <c r="C50" s="386"/>
      <c r="J50" s="266" t="s">
        <v>427</v>
      </c>
      <c r="K50" s="384" t="s">
        <v>425</v>
      </c>
      <c r="L50" s="384"/>
      <c r="M50" s="384"/>
      <c r="N50" s="384"/>
    </row>
    <row r="51" spans="2:14" ht="11.25" customHeight="1" x14ac:dyDescent="0.25"/>
    <row r="52" spans="2:14" ht="24.75" customHeight="1" x14ac:dyDescent="0.25">
      <c r="J52" s="266" t="s">
        <v>426</v>
      </c>
      <c r="K52" s="384" t="s">
        <v>425</v>
      </c>
      <c r="L52" s="384"/>
      <c r="M52" s="384"/>
      <c r="N52" s="384"/>
    </row>
    <row r="53" spans="2:14" ht="12.75" customHeight="1" x14ac:dyDescent="0.25"/>
    <row r="54" spans="2:14" ht="12.75" customHeight="1" x14ac:dyDescent="0.25">
      <c r="B54" s="509" t="s">
        <v>424</v>
      </c>
      <c r="C54" s="509"/>
    </row>
    <row r="55" spans="2:14" ht="22.15" customHeight="1" x14ac:dyDescent="0.25">
      <c r="B55" s="510"/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</row>
    <row r="56" spans="2:14" ht="11.25" customHeight="1" x14ac:dyDescent="0.25"/>
  </sheetData>
  <mergeCells count="32">
    <mergeCell ref="D21:H21"/>
    <mergeCell ref="D22:H22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55:N55"/>
    <mergeCell ref="D30:I30"/>
    <mergeCell ref="D31:I31"/>
    <mergeCell ref="D32:I32"/>
    <mergeCell ref="D33:I33"/>
    <mergeCell ref="D23:H23"/>
    <mergeCell ref="B50:C50"/>
    <mergeCell ref="K50:N50"/>
    <mergeCell ref="K52:N52"/>
    <mergeCell ref="B54:C54"/>
    <mergeCell ref="B24:H24"/>
    <mergeCell ref="J24:L24"/>
    <mergeCell ref="B26:N26"/>
    <mergeCell ref="C45:M45"/>
    <mergeCell ref="B34:I34"/>
    <mergeCell ref="K34:L34"/>
    <mergeCell ref="B36:N36"/>
    <mergeCell ref="B40:N40"/>
    <mergeCell ref="K43:N43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7A24-37C3-4844-9200-8F991D991445}">
  <sheetPr codeName="Лист12">
    <pageSetUpPr fitToPage="1"/>
  </sheetPr>
  <dimension ref="B1:N60"/>
  <sheetViews>
    <sheetView workbookViewId="0">
      <selection activeCell="T22" sqref="T22"/>
    </sheetView>
  </sheetViews>
  <sheetFormatPr defaultColWidth="8.85546875" defaultRowHeight="11.25" x14ac:dyDescent="0.2"/>
  <cols>
    <col min="1" max="1" width="1" style="301" customWidth="1"/>
    <col min="2" max="2" width="5" style="301" customWidth="1"/>
    <col min="3" max="3" width="13.5703125" style="301" customWidth="1"/>
    <col min="4" max="6" width="2" style="301" customWidth="1"/>
    <col min="7" max="7" width="14.85546875" style="301" customWidth="1"/>
    <col min="8" max="12" width="9.28515625" style="301" customWidth="1"/>
    <col min="13" max="13" width="13" style="301" customWidth="1"/>
    <col min="14" max="14" width="10" style="301" customWidth="1"/>
    <col min="15" max="16384" width="8.85546875" style="301"/>
  </cols>
  <sheetData>
    <row r="1" spans="2:14" ht="24.75" customHeight="1" x14ac:dyDescent="0.2">
      <c r="B1" s="516" t="s">
        <v>484</v>
      </c>
      <c r="C1" s="516"/>
      <c r="D1" s="516"/>
      <c r="E1" s="516"/>
      <c r="F1" s="516"/>
      <c r="G1" s="516"/>
      <c r="H1" s="516"/>
      <c r="I1" s="516"/>
      <c r="J1" s="516"/>
      <c r="K1" s="330"/>
      <c r="M1" s="517"/>
      <c r="N1" s="517"/>
    </row>
    <row r="2" spans="2:14" ht="12.75" customHeight="1" x14ac:dyDescent="0.2">
      <c r="B2" s="518" t="s">
        <v>483</v>
      </c>
      <c r="C2" s="518"/>
      <c r="D2" s="518"/>
      <c r="E2" s="518"/>
      <c r="F2" s="518"/>
      <c r="G2" s="518"/>
      <c r="H2" s="518"/>
      <c r="I2" s="518"/>
      <c r="J2" s="518"/>
      <c r="K2" s="321"/>
      <c r="M2" s="517"/>
      <c r="N2" s="517"/>
    </row>
    <row r="3" spans="2:14" ht="11.25" customHeight="1" x14ac:dyDescent="0.2">
      <c r="M3" s="517"/>
      <c r="N3" s="517"/>
    </row>
    <row r="4" spans="2:14" ht="18.75" customHeight="1" x14ac:dyDescent="0.25">
      <c r="B4" s="303"/>
      <c r="C4" s="519" t="s">
        <v>514</v>
      </c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</row>
    <row r="5" spans="2:14" ht="11.25" customHeight="1" x14ac:dyDescent="0.2"/>
    <row r="6" spans="2:14" ht="28.5" customHeight="1" x14ac:dyDescent="0.2">
      <c r="B6" s="520" t="s">
        <v>481</v>
      </c>
      <c r="C6" s="520"/>
      <c r="D6" s="520"/>
      <c r="E6" s="520"/>
      <c r="F6" s="520"/>
      <c r="G6" s="520"/>
      <c r="H6" s="521" t="s">
        <v>480</v>
      </c>
      <c r="I6" s="521"/>
      <c r="J6" s="521"/>
      <c r="K6" s="521"/>
      <c r="L6" s="521"/>
      <c r="M6" s="521"/>
      <c r="N6" s="521"/>
    </row>
    <row r="7" spans="2:14" ht="12.75" customHeight="1" x14ac:dyDescent="0.2">
      <c r="B7" s="522" t="s">
        <v>513</v>
      </c>
      <c r="C7" s="522"/>
      <c r="D7" s="522"/>
      <c r="E7" s="522"/>
      <c r="F7" s="522"/>
      <c r="G7" s="522"/>
      <c r="H7" s="522"/>
      <c r="I7" s="522"/>
      <c r="J7" s="522"/>
      <c r="K7" s="522"/>
      <c r="L7" s="522"/>
      <c r="M7" s="522"/>
      <c r="N7" s="522"/>
    </row>
    <row r="8" spans="2:14" ht="7.9" customHeight="1" x14ac:dyDescent="0.2"/>
    <row r="9" spans="2:14" ht="11.25" customHeight="1" x14ac:dyDescent="0.2">
      <c r="B9" s="329" t="s">
        <v>478</v>
      </c>
    </row>
    <row r="10" spans="2:14" ht="11.25" customHeight="1" x14ac:dyDescent="0.2"/>
    <row r="11" spans="2:14" ht="12.75" customHeight="1" x14ac:dyDescent="0.2">
      <c r="B11" s="520" t="s">
        <v>477</v>
      </c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</row>
    <row r="12" spans="2:14" ht="24.75" customHeight="1" x14ac:dyDescent="0.2">
      <c r="B12" s="520" t="s">
        <v>476</v>
      </c>
      <c r="C12" s="520"/>
      <c r="D12" s="520"/>
      <c r="E12" s="520"/>
      <c r="F12" s="520"/>
      <c r="G12" s="520"/>
      <c r="H12" s="520"/>
      <c r="I12" s="520"/>
      <c r="J12" s="520"/>
      <c r="K12" s="520"/>
      <c r="L12" s="520"/>
      <c r="M12" s="520"/>
      <c r="N12" s="520"/>
    </row>
    <row r="13" spans="2:14" ht="7.9" customHeight="1" x14ac:dyDescent="0.2">
      <c r="C13" s="303"/>
      <c r="D13" s="303"/>
      <c r="H13" s="303"/>
      <c r="J13" s="303"/>
      <c r="K13" s="303"/>
      <c r="M13" s="303"/>
      <c r="N13" s="303"/>
    </row>
    <row r="14" spans="2:14" ht="12.75" customHeight="1" x14ac:dyDescent="0.2">
      <c r="N14" s="328" t="s">
        <v>475</v>
      </c>
    </row>
    <row r="15" spans="2:14" ht="19.899999999999999" customHeight="1" x14ac:dyDescent="0.2">
      <c r="N15" s="327" t="s">
        <v>474</v>
      </c>
    </row>
    <row r="16" spans="2:14" ht="11.25" customHeight="1" x14ac:dyDescent="0.2"/>
    <row r="17" spans="2:14" ht="15" customHeight="1" x14ac:dyDescent="0.25">
      <c r="C17" s="323" t="s">
        <v>512</v>
      </c>
    </row>
    <row r="18" spans="2:14" ht="11.25" customHeight="1" thickBot="1" x14ac:dyDescent="0.25">
      <c r="B18" s="322"/>
      <c r="M18" s="320"/>
    </row>
    <row r="19" spans="2:14" ht="12.75" customHeight="1" thickBot="1" x14ac:dyDescent="0.25">
      <c r="B19" s="318" t="s">
        <v>461</v>
      </c>
      <c r="C19" s="319" t="s">
        <v>460</v>
      </c>
      <c r="D19" s="523" t="s">
        <v>459</v>
      </c>
      <c r="E19" s="523"/>
      <c r="F19" s="523"/>
      <c r="G19" s="523"/>
      <c r="H19" s="523"/>
      <c r="I19" s="318" t="s">
        <v>472</v>
      </c>
      <c r="J19" s="318" t="s">
        <v>471</v>
      </c>
      <c r="K19" s="318" t="s">
        <v>470</v>
      </c>
      <c r="L19" s="318" t="s">
        <v>469</v>
      </c>
      <c r="M19" s="318" t="s">
        <v>455</v>
      </c>
      <c r="N19" s="318" t="s">
        <v>454</v>
      </c>
    </row>
    <row r="20" spans="2:14" ht="12.75" customHeight="1" thickBot="1" x14ac:dyDescent="0.25">
      <c r="B20" s="318" t="s">
        <v>449</v>
      </c>
      <c r="C20" s="319" t="s">
        <v>446</v>
      </c>
      <c r="D20" s="523" t="s">
        <v>443</v>
      </c>
      <c r="E20" s="523"/>
      <c r="F20" s="523"/>
      <c r="G20" s="523"/>
      <c r="H20" s="523"/>
      <c r="I20" s="318" t="s">
        <v>440</v>
      </c>
      <c r="J20" s="318" t="s">
        <v>453</v>
      </c>
      <c r="K20" s="318" t="s">
        <v>452</v>
      </c>
      <c r="L20" s="318" t="s">
        <v>451</v>
      </c>
      <c r="M20" s="318" t="s">
        <v>450</v>
      </c>
      <c r="N20" s="318" t="s">
        <v>468</v>
      </c>
    </row>
    <row r="21" spans="2:14" s="324" customFormat="1" ht="15" customHeight="1" thickBot="1" x14ac:dyDescent="0.3">
      <c r="B21" s="316" t="s">
        <v>449</v>
      </c>
      <c r="C21" s="315"/>
      <c r="D21" s="528" t="s">
        <v>511</v>
      </c>
      <c r="E21" s="529"/>
      <c r="F21" s="529"/>
      <c r="G21" s="529"/>
      <c r="H21" s="530"/>
      <c r="I21" s="317">
        <v>1</v>
      </c>
      <c r="J21" s="326">
        <v>700</v>
      </c>
      <c r="K21" s="325">
        <v>1</v>
      </c>
      <c r="L21" s="313" t="s">
        <v>11</v>
      </c>
      <c r="M21" s="311">
        <f>J21*I21</f>
        <v>700</v>
      </c>
      <c r="N21" s="308">
        <f t="shared" ref="N21:N26" si="0">M21*22/122</f>
        <v>126.22950819672131</v>
      </c>
    </row>
    <row r="22" spans="2:14" s="324" customFormat="1" ht="14.25" customHeight="1" thickBot="1" x14ac:dyDescent="0.3">
      <c r="B22" s="316" t="s">
        <v>446</v>
      </c>
      <c r="C22" s="315"/>
      <c r="D22" s="528" t="s">
        <v>465</v>
      </c>
      <c r="E22" s="529"/>
      <c r="F22" s="529"/>
      <c r="G22" s="529"/>
      <c r="H22" s="530"/>
      <c r="I22" s="317">
        <v>1</v>
      </c>
      <c r="J22" s="326">
        <v>200</v>
      </c>
      <c r="K22" s="325">
        <v>1</v>
      </c>
      <c r="L22" s="313" t="s">
        <v>11</v>
      </c>
      <c r="M22" s="311">
        <f>J22*I22</f>
        <v>200</v>
      </c>
      <c r="N22" s="308">
        <f t="shared" si="0"/>
        <v>36.065573770491802</v>
      </c>
    </row>
    <row r="23" spans="2:14" s="324" customFormat="1" ht="13.5" customHeight="1" thickBot="1" x14ac:dyDescent="0.3">
      <c r="B23" s="316" t="s">
        <v>443</v>
      </c>
      <c r="C23" s="315"/>
      <c r="D23" s="528" t="s">
        <v>466</v>
      </c>
      <c r="E23" s="529"/>
      <c r="F23" s="529"/>
      <c r="G23" s="529"/>
      <c r="H23" s="530"/>
      <c r="I23" s="317">
        <v>1</v>
      </c>
      <c r="J23" s="326">
        <v>200</v>
      </c>
      <c r="K23" s="325">
        <v>1</v>
      </c>
      <c r="L23" s="313" t="s">
        <v>11</v>
      </c>
      <c r="M23" s="311">
        <f>J23*I23</f>
        <v>200</v>
      </c>
      <c r="N23" s="308">
        <f t="shared" si="0"/>
        <v>36.065573770491802</v>
      </c>
    </row>
    <row r="24" spans="2:14" s="324" customFormat="1" ht="12.75" customHeight="1" thickBot="1" x14ac:dyDescent="0.3">
      <c r="B24" s="316" t="s">
        <v>440</v>
      </c>
      <c r="C24" s="315"/>
      <c r="D24" s="528" t="s">
        <v>510</v>
      </c>
      <c r="E24" s="529"/>
      <c r="F24" s="529"/>
      <c r="G24" s="529"/>
      <c r="H24" s="530"/>
      <c r="I24" s="317">
        <v>1</v>
      </c>
      <c r="J24" s="326">
        <v>300</v>
      </c>
      <c r="K24" s="325">
        <v>1</v>
      </c>
      <c r="L24" s="313" t="s">
        <v>11</v>
      </c>
      <c r="M24" s="311">
        <f>J24*I24</f>
        <v>300</v>
      </c>
      <c r="N24" s="308">
        <f t="shared" si="0"/>
        <v>54.098360655737707</v>
      </c>
    </row>
    <row r="25" spans="2:14" s="324" customFormat="1" ht="15" customHeight="1" x14ac:dyDescent="0.25">
      <c r="B25" s="316" t="s">
        <v>453</v>
      </c>
      <c r="C25" s="315"/>
      <c r="D25" s="528" t="s">
        <v>509</v>
      </c>
      <c r="E25" s="529"/>
      <c r="F25" s="529"/>
      <c r="G25" s="529"/>
      <c r="H25" s="530"/>
      <c r="I25" s="317">
        <v>1</v>
      </c>
      <c r="J25" s="326">
        <v>500</v>
      </c>
      <c r="K25" s="325">
        <v>1</v>
      </c>
      <c r="L25" s="313" t="s">
        <v>11</v>
      </c>
      <c r="M25" s="311">
        <f>J25*I25</f>
        <v>500</v>
      </c>
      <c r="N25" s="308">
        <f t="shared" si="0"/>
        <v>90.163934426229503</v>
      </c>
    </row>
    <row r="26" spans="2:14" ht="12.75" customHeight="1" x14ac:dyDescent="0.2">
      <c r="B26" s="531" t="s">
        <v>464</v>
      </c>
      <c r="C26" s="531"/>
      <c r="D26" s="531"/>
      <c r="E26" s="531"/>
      <c r="F26" s="531"/>
      <c r="G26" s="531"/>
      <c r="H26" s="531"/>
      <c r="I26" s="310">
        <v>5</v>
      </c>
      <c r="J26" s="524" t="s">
        <v>435</v>
      </c>
      <c r="K26" s="524"/>
      <c r="L26" s="524"/>
      <c r="M26" s="309">
        <f>M21+M22+M23+M24+M25</f>
        <v>1900</v>
      </c>
      <c r="N26" s="308">
        <f t="shared" si="0"/>
        <v>342.62295081967216</v>
      </c>
    </row>
    <row r="27" spans="2:14" ht="5.25" customHeight="1" x14ac:dyDescent="0.2"/>
    <row r="28" spans="2:14" ht="12.75" customHeight="1" x14ac:dyDescent="0.2">
      <c r="B28" s="525" t="s">
        <v>508</v>
      </c>
      <c r="C28" s="525"/>
      <c r="D28" s="525"/>
      <c r="E28" s="525"/>
      <c r="F28" s="525"/>
      <c r="G28" s="525"/>
      <c r="H28" s="525"/>
      <c r="I28" s="525"/>
      <c r="J28" s="525"/>
      <c r="K28" s="525"/>
      <c r="L28" s="525"/>
      <c r="M28" s="525"/>
      <c r="N28" s="525"/>
    </row>
    <row r="29" spans="2:14" ht="11.25" customHeight="1" x14ac:dyDescent="0.2"/>
    <row r="30" spans="2:14" ht="15" customHeight="1" x14ac:dyDescent="0.25">
      <c r="C30" s="323" t="s">
        <v>507</v>
      </c>
    </row>
    <row r="31" spans="2:14" ht="11.25" customHeight="1" thickBot="1" x14ac:dyDescent="0.25">
      <c r="B31" s="322"/>
      <c r="C31" s="321"/>
      <c r="D31" s="321"/>
      <c r="H31" s="321"/>
      <c r="I31" s="321"/>
      <c r="M31" s="320"/>
      <c r="N31" s="320"/>
    </row>
    <row r="32" spans="2:14" ht="12.75" customHeight="1" thickBot="1" x14ac:dyDescent="0.25">
      <c r="B32" s="318" t="s">
        <v>461</v>
      </c>
      <c r="C32" s="319" t="s">
        <v>460</v>
      </c>
      <c r="D32" s="523" t="s">
        <v>459</v>
      </c>
      <c r="E32" s="523"/>
      <c r="F32" s="523"/>
      <c r="G32" s="523"/>
      <c r="H32" s="523"/>
      <c r="I32" s="523"/>
      <c r="J32" s="318" t="s">
        <v>458</v>
      </c>
      <c r="K32" s="318" t="s">
        <v>457</v>
      </c>
      <c r="L32" s="318" t="s">
        <v>456</v>
      </c>
      <c r="M32" s="318" t="s">
        <v>455</v>
      </c>
      <c r="N32" s="318" t="s">
        <v>454</v>
      </c>
    </row>
    <row r="33" spans="2:14" ht="12.75" customHeight="1" thickBot="1" x14ac:dyDescent="0.25">
      <c r="B33" s="318" t="s">
        <v>449</v>
      </c>
      <c r="C33" s="319" t="s">
        <v>446</v>
      </c>
      <c r="D33" s="523" t="s">
        <v>443</v>
      </c>
      <c r="E33" s="523"/>
      <c r="F33" s="523"/>
      <c r="G33" s="523"/>
      <c r="H33" s="523"/>
      <c r="I33" s="523"/>
      <c r="J33" s="318" t="s">
        <v>440</v>
      </c>
      <c r="K33" s="318" t="s">
        <v>453</v>
      </c>
      <c r="L33" s="318" t="s">
        <v>452</v>
      </c>
      <c r="M33" s="318" t="s">
        <v>451</v>
      </c>
      <c r="N33" s="318" t="s">
        <v>450</v>
      </c>
    </row>
    <row r="34" spans="2:14" ht="25.5" customHeight="1" thickBot="1" x14ac:dyDescent="0.25">
      <c r="B34" s="316" t="s">
        <v>449</v>
      </c>
      <c r="C34" s="315">
        <v>2630035531</v>
      </c>
      <c r="D34" s="528" t="s">
        <v>506</v>
      </c>
      <c r="E34" s="529"/>
      <c r="F34" s="529"/>
      <c r="G34" s="529"/>
      <c r="H34" s="529"/>
      <c r="I34" s="530"/>
      <c r="J34" s="317">
        <v>1</v>
      </c>
      <c r="K34" s="313" t="s">
        <v>437</v>
      </c>
      <c r="L34" s="312">
        <v>1100</v>
      </c>
      <c r="M34" s="311">
        <f>L34*J34</f>
        <v>1100</v>
      </c>
      <c r="N34" s="308">
        <f>M34*22/122</f>
        <v>198.36065573770492</v>
      </c>
    </row>
    <row r="35" spans="2:14" ht="25.5" customHeight="1" thickBot="1" x14ac:dyDescent="0.25">
      <c r="B35" s="316" t="s">
        <v>446</v>
      </c>
      <c r="C35" s="315" t="s">
        <v>505</v>
      </c>
      <c r="D35" s="528" t="s">
        <v>504</v>
      </c>
      <c r="E35" s="529"/>
      <c r="F35" s="529"/>
      <c r="G35" s="529"/>
      <c r="H35" s="529"/>
      <c r="I35" s="530"/>
      <c r="J35" s="317">
        <v>1</v>
      </c>
      <c r="K35" s="313" t="s">
        <v>437</v>
      </c>
      <c r="L35" s="312">
        <v>400</v>
      </c>
      <c r="M35" s="311">
        <f>L35*J35</f>
        <v>400</v>
      </c>
      <c r="N35" s="308">
        <f>M35*22/122</f>
        <v>72.131147540983605</v>
      </c>
    </row>
    <row r="36" spans="2:14" ht="37.5" customHeight="1" thickBot="1" x14ac:dyDescent="0.25">
      <c r="B36" s="316" t="s">
        <v>443</v>
      </c>
      <c r="C36" s="315" t="s">
        <v>503</v>
      </c>
      <c r="D36" s="528" t="s">
        <v>502</v>
      </c>
      <c r="E36" s="529"/>
      <c r="F36" s="529"/>
      <c r="G36" s="529"/>
      <c r="H36" s="529"/>
      <c r="I36" s="530"/>
      <c r="J36" s="317">
        <v>1</v>
      </c>
      <c r="K36" s="313" t="s">
        <v>437</v>
      </c>
      <c r="L36" s="312">
        <v>750</v>
      </c>
      <c r="M36" s="311">
        <f>L36*J36</f>
        <v>750</v>
      </c>
      <c r="N36" s="308">
        <f>M36*22/122</f>
        <v>135.24590163934425</v>
      </c>
    </row>
    <row r="37" spans="2:14" ht="14.25" customHeight="1" thickBot="1" x14ac:dyDescent="0.25">
      <c r="B37" s="316" t="s">
        <v>440</v>
      </c>
      <c r="C37" s="315" t="s">
        <v>501</v>
      </c>
      <c r="D37" s="532" t="s">
        <v>500</v>
      </c>
      <c r="E37" s="533"/>
      <c r="F37" s="533"/>
      <c r="G37" s="533"/>
      <c r="H37" s="533"/>
      <c r="I37" s="534"/>
      <c r="J37" s="314" t="s">
        <v>449</v>
      </c>
      <c r="K37" s="313" t="s">
        <v>437</v>
      </c>
      <c r="L37" s="312">
        <v>5550</v>
      </c>
      <c r="M37" s="311">
        <f>L37*J37</f>
        <v>5550</v>
      </c>
      <c r="N37" s="308">
        <f>M37*22/122</f>
        <v>1000.8196721311475</v>
      </c>
    </row>
    <row r="38" spans="2:14" ht="12.75" customHeight="1" x14ac:dyDescent="0.2">
      <c r="B38" s="531" t="s">
        <v>436</v>
      </c>
      <c r="C38" s="531"/>
      <c r="D38" s="531"/>
      <c r="E38" s="531"/>
      <c r="F38" s="531"/>
      <c r="G38" s="531"/>
      <c r="H38" s="531"/>
      <c r="I38" s="531"/>
      <c r="J38" s="310">
        <v>4</v>
      </c>
      <c r="K38" s="524" t="s">
        <v>435</v>
      </c>
      <c r="L38" s="524"/>
      <c r="M38" s="309">
        <f>M34+M35+M36+M37</f>
        <v>7800</v>
      </c>
      <c r="N38" s="308">
        <f>M38*22/122</f>
        <v>1406.5573770491803</v>
      </c>
    </row>
    <row r="39" spans="2:14" ht="5.25" customHeight="1" x14ac:dyDescent="0.2"/>
    <row r="40" spans="2:14" ht="12.75" customHeight="1" x14ac:dyDescent="0.2">
      <c r="B40" s="525" t="s">
        <v>499</v>
      </c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5"/>
      <c r="N40" s="525"/>
    </row>
    <row r="41" spans="2:14" ht="11.25" customHeight="1" thickBot="1" x14ac:dyDescent="0.25"/>
    <row r="42" spans="2:14" ht="12.75" customHeight="1" thickTop="1" thickBot="1" x14ac:dyDescent="0.25">
      <c r="B42" s="307"/>
      <c r="C42" s="307"/>
      <c r="D42" s="307"/>
      <c r="E42" s="307"/>
      <c r="F42" s="307"/>
      <c r="G42" s="307"/>
      <c r="H42" s="307"/>
      <c r="I42" s="307"/>
      <c r="J42" s="307"/>
      <c r="K42" s="306"/>
      <c r="L42" s="306" t="s">
        <v>433</v>
      </c>
      <c r="M42" s="305">
        <f>M26+M38</f>
        <v>9700</v>
      </c>
      <c r="N42" s="304">
        <f>M42*22/122</f>
        <v>1749.1803278688524</v>
      </c>
    </row>
    <row r="43" spans="2:14" ht="5.25" customHeight="1" thickTop="1" x14ac:dyDescent="0.2"/>
    <row r="44" spans="2:14" ht="12.75" customHeight="1" x14ac:dyDescent="0.2">
      <c r="B44" s="526" t="s">
        <v>498</v>
      </c>
      <c r="C44" s="526"/>
      <c r="D44" s="526"/>
      <c r="E44" s="526"/>
      <c r="F44" s="526"/>
      <c r="G44" s="526"/>
      <c r="H44" s="526"/>
      <c r="I44" s="526"/>
      <c r="J44" s="526"/>
      <c r="K44" s="526"/>
      <c r="L44" s="526"/>
      <c r="M44" s="526"/>
      <c r="N44" s="526"/>
    </row>
    <row r="45" spans="2:14" ht="11.25" customHeight="1" x14ac:dyDescent="0.2"/>
    <row r="46" spans="2:14" ht="11.25" customHeight="1" x14ac:dyDescent="0.2"/>
    <row r="47" spans="2:14" ht="12.75" customHeight="1" x14ac:dyDescent="0.2">
      <c r="J47" s="302" t="s">
        <v>431</v>
      </c>
      <c r="K47" s="527" t="s">
        <v>430</v>
      </c>
      <c r="L47" s="527"/>
      <c r="M47" s="527"/>
      <c r="N47" s="527"/>
    </row>
    <row r="48" spans="2:14" ht="6" customHeight="1" x14ac:dyDescent="0.2"/>
    <row r="49" spans="2:14" ht="48.75" customHeight="1" x14ac:dyDescent="0.2">
      <c r="B49" s="303"/>
      <c r="C49" s="518" t="s">
        <v>429</v>
      </c>
      <c r="D49" s="518"/>
      <c r="E49" s="518"/>
      <c r="F49" s="518"/>
      <c r="G49" s="518"/>
      <c r="H49" s="518"/>
      <c r="I49" s="518"/>
      <c r="J49" s="518"/>
      <c r="K49" s="518"/>
      <c r="L49" s="518"/>
      <c r="M49" s="518"/>
    </row>
    <row r="50" spans="2:14" ht="6" customHeight="1" x14ac:dyDescent="0.2"/>
    <row r="51" spans="2:14" ht="1.1499999999999999" customHeight="1" x14ac:dyDescent="0.2"/>
    <row r="52" spans="2:14" ht="3.75" customHeight="1" x14ac:dyDescent="0.2"/>
    <row r="53" spans="2:14" ht="11.25" customHeight="1" x14ac:dyDescent="0.2"/>
    <row r="54" spans="2:14" ht="24.75" customHeight="1" x14ac:dyDescent="0.2">
      <c r="B54" s="535" t="s">
        <v>428</v>
      </c>
      <c r="C54" s="535"/>
      <c r="J54" s="302" t="s">
        <v>427</v>
      </c>
      <c r="K54" s="527" t="s">
        <v>425</v>
      </c>
      <c r="L54" s="527"/>
      <c r="M54" s="527"/>
      <c r="N54" s="527"/>
    </row>
    <row r="55" spans="2:14" ht="11.25" customHeight="1" x14ac:dyDescent="0.2"/>
    <row r="56" spans="2:14" ht="24.75" customHeight="1" x14ac:dyDescent="0.2">
      <c r="J56" s="302" t="s">
        <v>426</v>
      </c>
      <c r="K56" s="527" t="s">
        <v>425</v>
      </c>
      <c r="L56" s="527"/>
      <c r="M56" s="527"/>
      <c r="N56" s="527"/>
    </row>
    <row r="57" spans="2:14" ht="12.75" customHeight="1" x14ac:dyDescent="0.2"/>
    <row r="58" spans="2:14" ht="12.75" customHeight="1" x14ac:dyDescent="0.2">
      <c r="B58" s="536" t="s">
        <v>424</v>
      </c>
      <c r="C58" s="536"/>
    </row>
    <row r="59" spans="2:14" ht="22.15" customHeight="1" x14ac:dyDescent="0.2">
      <c r="B59" s="537"/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</row>
    <row r="60" spans="2:14" ht="11.25" customHeight="1" x14ac:dyDescent="0.2"/>
  </sheetData>
  <mergeCells count="36">
    <mergeCell ref="B54:C54"/>
    <mergeCell ref="K54:N54"/>
    <mergeCell ref="K56:N56"/>
    <mergeCell ref="B58:C58"/>
    <mergeCell ref="B59:N59"/>
    <mergeCell ref="C49:M49"/>
    <mergeCell ref="D32:I32"/>
    <mergeCell ref="D33:I33"/>
    <mergeCell ref="D34:I34"/>
    <mergeCell ref="D37:I37"/>
    <mergeCell ref="B38:I38"/>
    <mergeCell ref="K38:L38"/>
    <mergeCell ref="B40:N40"/>
    <mergeCell ref="D36:I36"/>
    <mergeCell ref="J26:L26"/>
    <mergeCell ref="B28:N28"/>
    <mergeCell ref="B44:N44"/>
    <mergeCell ref="K47:N47"/>
    <mergeCell ref="D21:H21"/>
    <mergeCell ref="D22:H22"/>
    <mergeCell ref="D23:H23"/>
    <mergeCell ref="B26:H26"/>
    <mergeCell ref="D35:I35"/>
    <mergeCell ref="D24:H24"/>
    <mergeCell ref="D25:H25"/>
    <mergeCell ref="B7:N7"/>
    <mergeCell ref="B11:N11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2183-AB97-458A-AE42-A37C375487E2}">
  <sheetPr codeName="Лист13">
    <pageSetUpPr fitToPage="1"/>
  </sheetPr>
  <dimension ref="B1:N64"/>
  <sheetViews>
    <sheetView topLeftCell="A4" workbookViewId="0">
      <selection activeCell="V26" sqref="V2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596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595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594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593</v>
      </c>
      <c r="E21" s="390"/>
      <c r="F21" s="390"/>
      <c r="G21" s="390"/>
      <c r="H21" s="391"/>
      <c r="I21" s="291">
        <v>1</v>
      </c>
      <c r="J21" s="300">
        <v>4500</v>
      </c>
      <c r="K21" s="289">
        <v>1</v>
      </c>
      <c r="L21" s="279" t="s">
        <v>11</v>
      </c>
      <c r="M21" s="277">
        <f t="shared" ref="M21:M26" si="0">J21*I21</f>
        <v>4500</v>
      </c>
      <c r="N21" s="276">
        <f t="shared" ref="N21:N27" si="1">M21*22/122</f>
        <v>811.47540983606552</v>
      </c>
    </row>
    <row r="22" spans="2:14" s="275" customFormat="1" ht="13.5" customHeight="1" x14ac:dyDescent="0.25">
      <c r="B22" s="281" t="s">
        <v>446</v>
      </c>
      <c r="C22" s="292"/>
      <c r="D22" s="389" t="s">
        <v>592</v>
      </c>
      <c r="E22" s="390"/>
      <c r="F22" s="390"/>
      <c r="G22" s="390"/>
      <c r="H22" s="391"/>
      <c r="I22" s="291">
        <v>1</v>
      </c>
      <c r="J22" s="300">
        <v>1000</v>
      </c>
      <c r="K22" s="289">
        <v>1</v>
      </c>
      <c r="L22" s="279" t="s">
        <v>11</v>
      </c>
      <c r="M22" s="277">
        <f t="shared" si="0"/>
        <v>1000</v>
      </c>
      <c r="N22" s="276">
        <f t="shared" si="1"/>
        <v>180.32786885245901</v>
      </c>
    </row>
    <row r="23" spans="2:14" s="275" customFormat="1" ht="12" customHeight="1" x14ac:dyDescent="0.25">
      <c r="B23" s="281" t="s">
        <v>443</v>
      </c>
      <c r="C23" s="292"/>
      <c r="D23" s="389" t="s">
        <v>591</v>
      </c>
      <c r="E23" s="390"/>
      <c r="F23" s="390"/>
      <c r="G23" s="390"/>
      <c r="H23" s="391"/>
      <c r="I23" s="291">
        <v>1</v>
      </c>
      <c r="J23" s="300">
        <v>1000</v>
      </c>
      <c r="K23" s="289">
        <v>1</v>
      </c>
      <c r="L23" s="279" t="s">
        <v>11</v>
      </c>
      <c r="M23" s="277">
        <f t="shared" si="0"/>
        <v>1000</v>
      </c>
      <c r="N23" s="276">
        <f t="shared" si="1"/>
        <v>180.32786885245901</v>
      </c>
    </row>
    <row r="24" spans="2:14" s="275" customFormat="1" ht="14.25" customHeight="1" x14ac:dyDescent="0.25">
      <c r="B24" s="281" t="s">
        <v>440</v>
      </c>
      <c r="C24" s="292"/>
      <c r="D24" s="389" t="s">
        <v>467</v>
      </c>
      <c r="E24" s="390"/>
      <c r="F24" s="390"/>
      <c r="G24" s="390"/>
      <c r="H24" s="391"/>
      <c r="I24" s="291">
        <v>1</v>
      </c>
      <c r="J24" s="300">
        <v>500</v>
      </c>
      <c r="K24" s="289">
        <v>1</v>
      </c>
      <c r="L24" s="279" t="s">
        <v>11</v>
      </c>
      <c r="M24" s="277">
        <f t="shared" si="0"/>
        <v>500</v>
      </c>
      <c r="N24" s="276">
        <f t="shared" si="1"/>
        <v>90.163934426229503</v>
      </c>
    </row>
    <row r="25" spans="2:14" s="275" customFormat="1" ht="14.25" customHeight="1" x14ac:dyDescent="0.25">
      <c r="B25" s="281" t="s">
        <v>453</v>
      </c>
      <c r="C25" s="292"/>
      <c r="D25" s="389" t="s">
        <v>465</v>
      </c>
      <c r="E25" s="390"/>
      <c r="F25" s="390"/>
      <c r="G25" s="390"/>
      <c r="H25" s="391"/>
      <c r="I25" s="291">
        <v>1</v>
      </c>
      <c r="J25" s="300">
        <v>150</v>
      </c>
      <c r="K25" s="289">
        <v>1</v>
      </c>
      <c r="L25" s="279" t="s">
        <v>11</v>
      </c>
      <c r="M25" s="277">
        <f t="shared" si="0"/>
        <v>150</v>
      </c>
      <c r="N25" s="276">
        <f t="shared" si="1"/>
        <v>27.049180327868854</v>
      </c>
    </row>
    <row r="26" spans="2:14" s="275" customFormat="1" ht="14.25" customHeight="1" x14ac:dyDescent="0.25">
      <c r="B26" s="281" t="s">
        <v>452</v>
      </c>
      <c r="C26" s="292"/>
      <c r="D26" s="389" t="s">
        <v>466</v>
      </c>
      <c r="E26" s="390"/>
      <c r="F26" s="390"/>
      <c r="G26" s="390"/>
      <c r="H26" s="391"/>
      <c r="I26" s="291">
        <v>1</v>
      </c>
      <c r="J26" s="300">
        <v>150</v>
      </c>
      <c r="K26" s="289">
        <v>1</v>
      </c>
      <c r="L26" s="279" t="s">
        <v>11</v>
      </c>
      <c r="M26" s="277">
        <f t="shared" si="0"/>
        <v>150</v>
      </c>
      <c r="N26" s="276">
        <f t="shared" si="1"/>
        <v>27.049180327868854</v>
      </c>
    </row>
    <row r="27" spans="2:14" ht="12.75" customHeight="1" x14ac:dyDescent="0.25">
      <c r="B27" s="396" t="s">
        <v>464</v>
      </c>
      <c r="C27" s="396"/>
      <c r="D27" s="396"/>
      <c r="E27" s="396"/>
      <c r="F27" s="396"/>
      <c r="G27" s="396"/>
      <c r="H27" s="396"/>
      <c r="I27" s="299">
        <v>6</v>
      </c>
      <c r="J27" s="393" t="s">
        <v>435</v>
      </c>
      <c r="K27" s="393"/>
      <c r="L27" s="393"/>
      <c r="M27" s="277">
        <f>M21+M22+M23+M24+M25+M26</f>
        <v>7300</v>
      </c>
      <c r="N27" s="276">
        <f t="shared" si="1"/>
        <v>1316.3934426229507</v>
      </c>
    </row>
    <row r="28" spans="2:14" ht="11.25" customHeight="1" x14ac:dyDescent="0.25"/>
    <row r="29" spans="2:14" ht="12.75" customHeight="1" x14ac:dyDescent="0.25">
      <c r="B29" s="392" t="s">
        <v>590</v>
      </c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</row>
    <row r="30" spans="2:14" ht="11.25" customHeight="1" x14ac:dyDescent="0.25"/>
    <row r="31" spans="2:14" ht="15" customHeight="1" x14ac:dyDescent="0.25">
      <c r="C31" s="287" t="s">
        <v>589</v>
      </c>
    </row>
    <row r="32" spans="2:14" ht="11.25" customHeight="1" thickBot="1" x14ac:dyDescent="0.3">
      <c r="B32" s="286"/>
      <c r="C32" s="285"/>
      <c r="D32" s="285"/>
      <c r="H32" s="285"/>
      <c r="I32" s="285"/>
      <c r="M32" s="284"/>
      <c r="N32" s="284"/>
    </row>
    <row r="33" spans="2:14" ht="12.75" customHeight="1" thickBot="1" x14ac:dyDescent="0.3">
      <c r="B33" s="282" t="s">
        <v>461</v>
      </c>
      <c r="C33" s="283" t="s">
        <v>460</v>
      </c>
      <c r="D33" s="511" t="s">
        <v>459</v>
      </c>
      <c r="E33" s="511"/>
      <c r="F33" s="511"/>
      <c r="G33" s="511"/>
      <c r="H33" s="511"/>
      <c r="I33" s="511"/>
      <c r="J33" s="282" t="s">
        <v>458</v>
      </c>
      <c r="K33" s="282" t="s">
        <v>457</v>
      </c>
      <c r="L33" s="282" t="s">
        <v>456</v>
      </c>
      <c r="M33" s="282" t="s">
        <v>455</v>
      </c>
      <c r="N33" s="282" t="s">
        <v>454</v>
      </c>
    </row>
    <row r="34" spans="2:14" ht="12.75" customHeight="1" thickBot="1" x14ac:dyDescent="0.3">
      <c r="B34" s="282" t="s">
        <v>449</v>
      </c>
      <c r="C34" s="283" t="s">
        <v>446</v>
      </c>
      <c r="D34" s="511" t="s">
        <v>443</v>
      </c>
      <c r="E34" s="511"/>
      <c r="F34" s="511"/>
      <c r="G34" s="511"/>
      <c r="H34" s="511"/>
      <c r="I34" s="511"/>
      <c r="J34" s="282" t="s">
        <v>440</v>
      </c>
      <c r="K34" s="282" t="s">
        <v>453</v>
      </c>
      <c r="L34" s="282" t="s">
        <v>452</v>
      </c>
      <c r="M34" s="282" t="s">
        <v>451</v>
      </c>
      <c r="N34" s="282" t="s">
        <v>450</v>
      </c>
    </row>
    <row r="35" spans="2:14" s="275" customFormat="1" ht="12.75" customHeight="1" x14ac:dyDescent="0.25">
      <c r="B35" s="281" t="s">
        <v>449</v>
      </c>
      <c r="C35" s="292" t="s">
        <v>588</v>
      </c>
      <c r="D35" s="512" t="s">
        <v>587</v>
      </c>
      <c r="E35" s="512"/>
      <c r="F35" s="512"/>
      <c r="G35" s="512"/>
      <c r="H35" s="512"/>
      <c r="I35" s="512"/>
      <c r="J35" s="291">
        <v>1</v>
      </c>
      <c r="K35" s="279" t="s">
        <v>437</v>
      </c>
      <c r="L35" s="278">
        <v>1800</v>
      </c>
      <c r="M35" s="277">
        <f t="shared" ref="M35:M41" si="2">L35*J35</f>
        <v>1800</v>
      </c>
      <c r="N35" s="276">
        <f t="shared" ref="N35:N42" si="3">M35*22/122</f>
        <v>324.59016393442624</v>
      </c>
    </row>
    <row r="36" spans="2:14" s="275" customFormat="1" ht="24" customHeight="1" x14ac:dyDescent="0.25">
      <c r="B36" s="281" t="s">
        <v>446</v>
      </c>
      <c r="C36" s="292" t="s">
        <v>586</v>
      </c>
      <c r="D36" s="512" t="s">
        <v>585</v>
      </c>
      <c r="E36" s="512"/>
      <c r="F36" s="512"/>
      <c r="G36" s="512"/>
      <c r="H36" s="512"/>
      <c r="I36" s="512"/>
      <c r="J36" s="291">
        <v>1</v>
      </c>
      <c r="K36" s="279" t="s">
        <v>520</v>
      </c>
      <c r="L36" s="278">
        <v>7250</v>
      </c>
      <c r="M36" s="277">
        <f t="shared" si="2"/>
        <v>7250</v>
      </c>
      <c r="N36" s="276">
        <f t="shared" si="3"/>
        <v>1307.377049180328</v>
      </c>
    </row>
    <row r="37" spans="2:14" s="275" customFormat="1" ht="12" customHeight="1" x14ac:dyDescent="0.25">
      <c r="B37" s="281" t="s">
        <v>443</v>
      </c>
      <c r="C37" s="292" t="s">
        <v>584</v>
      </c>
      <c r="D37" s="512" t="s">
        <v>583</v>
      </c>
      <c r="E37" s="512"/>
      <c r="F37" s="512"/>
      <c r="G37" s="512"/>
      <c r="H37" s="512"/>
      <c r="I37" s="512"/>
      <c r="J37" s="291">
        <v>1</v>
      </c>
      <c r="K37" s="279" t="s">
        <v>437</v>
      </c>
      <c r="L37" s="278">
        <v>350</v>
      </c>
      <c r="M37" s="277">
        <f t="shared" si="2"/>
        <v>350</v>
      </c>
      <c r="N37" s="276">
        <f t="shared" si="3"/>
        <v>63.114754098360656</v>
      </c>
    </row>
    <row r="38" spans="2:14" s="275" customFormat="1" ht="24" customHeight="1" x14ac:dyDescent="0.25">
      <c r="B38" s="281" t="s">
        <v>440</v>
      </c>
      <c r="C38" s="280" t="s">
        <v>582</v>
      </c>
      <c r="D38" s="512" t="s">
        <v>581</v>
      </c>
      <c r="E38" s="512"/>
      <c r="F38" s="512"/>
      <c r="G38" s="512"/>
      <c r="H38" s="512"/>
      <c r="I38" s="512"/>
      <c r="J38" s="291">
        <v>1</v>
      </c>
      <c r="K38" s="279" t="s">
        <v>437</v>
      </c>
      <c r="L38" s="278">
        <v>3000</v>
      </c>
      <c r="M38" s="277">
        <f t="shared" si="2"/>
        <v>3000</v>
      </c>
      <c r="N38" s="276">
        <f t="shared" si="3"/>
        <v>540.98360655737702</v>
      </c>
    </row>
    <row r="39" spans="2:14" s="275" customFormat="1" ht="24.75" customHeight="1" x14ac:dyDescent="0.25">
      <c r="B39" s="281" t="s">
        <v>453</v>
      </c>
      <c r="C39" s="280" t="s">
        <v>580</v>
      </c>
      <c r="D39" s="512" t="s">
        <v>579</v>
      </c>
      <c r="E39" s="512"/>
      <c r="F39" s="512"/>
      <c r="G39" s="512"/>
      <c r="H39" s="512"/>
      <c r="I39" s="512"/>
      <c r="J39" s="291">
        <v>1</v>
      </c>
      <c r="K39" s="279" t="s">
        <v>437</v>
      </c>
      <c r="L39" s="278">
        <v>450</v>
      </c>
      <c r="M39" s="277">
        <f t="shared" si="2"/>
        <v>450</v>
      </c>
      <c r="N39" s="276">
        <f t="shared" si="3"/>
        <v>81.147540983606561</v>
      </c>
    </row>
    <row r="40" spans="2:14" s="275" customFormat="1" ht="15" customHeight="1" x14ac:dyDescent="0.25">
      <c r="B40" s="281" t="s">
        <v>452</v>
      </c>
      <c r="C40" s="292" t="s">
        <v>537</v>
      </c>
      <c r="D40" s="512" t="s">
        <v>536</v>
      </c>
      <c r="E40" s="512"/>
      <c r="F40" s="512"/>
      <c r="G40" s="512"/>
      <c r="H40" s="512"/>
      <c r="I40" s="512"/>
      <c r="J40" s="291">
        <v>1</v>
      </c>
      <c r="K40" s="279" t="s">
        <v>437</v>
      </c>
      <c r="L40" s="278">
        <v>400</v>
      </c>
      <c r="M40" s="277">
        <f t="shared" si="2"/>
        <v>400</v>
      </c>
      <c r="N40" s="276">
        <f t="shared" si="3"/>
        <v>72.131147540983605</v>
      </c>
    </row>
    <row r="41" spans="2:14" s="275" customFormat="1" ht="14.25" customHeight="1" x14ac:dyDescent="0.25">
      <c r="B41" s="281" t="s">
        <v>451</v>
      </c>
      <c r="C41" s="292" t="s">
        <v>578</v>
      </c>
      <c r="D41" s="512" t="s">
        <v>577</v>
      </c>
      <c r="E41" s="512"/>
      <c r="F41" s="512"/>
      <c r="G41" s="512"/>
      <c r="H41" s="512"/>
      <c r="I41" s="512"/>
      <c r="J41" s="291">
        <v>1</v>
      </c>
      <c r="K41" s="279" t="s">
        <v>437</v>
      </c>
      <c r="L41" s="278">
        <v>450</v>
      </c>
      <c r="M41" s="277">
        <f t="shared" si="2"/>
        <v>450</v>
      </c>
      <c r="N41" s="276">
        <f t="shared" si="3"/>
        <v>81.147540983606561</v>
      </c>
    </row>
    <row r="42" spans="2:14" ht="12.75" customHeight="1" x14ac:dyDescent="0.25">
      <c r="B42" s="396" t="s">
        <v>436</v>
      </c>
      <c r="C42" s="396"/>
      <c r="D42" s="396"/>
      <c r="E42" s="396"/>
      <c r="F42" s="396"/>
      <c r="G42" s="396"/>
      <c r="H42" s="396"/>
      <c r="I42" s="396"/>
      <c r="J42" s="297">
        <v>8</v>
      </c>
      <c r="K42" s="393" t="s">
        <v>435</v>
      </c>
      <c r="L42" s="393"/>
      <c r="M42" s="277">
        <f>M35+M36+M37+M38+M39+M40+M41</f>
        <v>13700</v>
      </c>
      <c r="N42" s="276">
        <f t="shared" si="3"/>
        <v>2470.4918032786886</v>
      </c>
    </row>
    <row r="43" spans="2:14" ht="5.25" customHeight="1" x14ac:dyDescent="0.25"/>
    <row r="44" spans="2:14" ht="12.75" customHeight="1" x14ac:dyDescent="0.25">
      <c r="B44" s="392" t="s">
        <v>576</v>
      </c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</row>
    <row r="45" spans="2:14" ht="11.25" customHeight="1" thickBot="1" x14ac:dyDescent="0.3"/>
    <row r="46" spans="2:14" ht="12.75" customHeight="1" thickTop="1" thickBot="1" x14ac:dyDescent="0.3">
      <c r="B46" s="271"/>
      <c r="C46" s="271"/>
      <c r="D46" s="271"/>
      <c r="E46" s="271"/>
      <c r="F46" s="271"/>
      <c r="G46" s="271"/>
      <c r="H46" s="271"/>
      <c r="I46" s="271"/>
      <c r="J46" s="271"/>
      <c r="K46" s="270"/>
      <c r="L46" s="270" t="s">
        <v>433</v>
      </c>
      <c r="M46" s="269">
        <f>M27+M42</f>
        <v>21000</v>
      </c>
      <c r="N46" s="268">
        <f>M46*22/122</f>
        <v>3786.8852459016393</v>
      </c>
    </row>
    <row r="47" spans="2:14" ht="5.25" customHeight="1" thickTop="1" x14ac:dyDescent="0.25"/>
    <row r="48" spans="2:14" ht="12.75" customHeight="1" x14ac:dyDescent="0.25">
      <c r="B48" s="388" t="s">
        <v>575</v>
      </c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</row>
    <row r="49" spans="2:14" ht="11.25" customHeight="1" x14ac:dyDescent="0.25"/>
    <row r="50" spans="2:14" ht="11.25" customHeight="1" x14ac:dyDescent="0.25"/>
    <row r="51" spans="2:14" ht="12.75" customHeight="1" x14ac:dyDescent="0.25">
      <c r="J51" s="266" t="s">
        <v>431</v>
      </c>
      <c r="K51" s="384" t="s">
        <v>430</v>
      </c>
      <c r="L51" s="384"/>
      <c r="M51" s="384"/>
      <c r="N51" s="384"/>
    </row>
    <row r="52" spans="2:14" ht="6" customHeight="1" x14ac:dyDescent="0.25"/>
    <row r="53" spans="2:14" ht="48.75" customHeight="1" x14ac:dyDescent="0.25">
      <c r="B53" s="267"/>
      <c r="C53" s="385" t="s">
        <v>429</v>
      </c>
      <c r="D53" s="385"/>
      <c r="E53" s="385"/>
      <c r="F53" s="385"/>
      <c r="G53" s="385"/>
      <c r="H53" s="385"/>
      <c r="I53" s="385"/>
      <c r="J53" s="385"/>
      <c r="K53" s="385"/>
      <c r="L53" s="385"/>
      <c r="M53" s="385"/>
    </row>
    <row r="54" spans="2:14" ht="6" customHeight="1" x14ac:dyDescent="0.25"/>
    <row r="55" spans="2:14" ht="1.1499999999999999" customHeight="1" x14ac:dyDescent="0.25"/>
    <row r="56" spans="2:14" ht="3.75" customHeight="1" x14ac:dyDescent="0.25"/>
    <row r="57" spans="2:14" ht="11.25" customHeight="1" x14ac:dyDescent="0.25"/>
    <row r="58" spans="2:14" ht="24.75" customHeight="1" x14ac:dyDescent="0.25">
      <c r="B58" s="386" t="s">
        <v>574</v>
      </c>
      <c r="C58" s="386"/>
      <c r="J58" s="266" t="s">
        <v>427</v>
      </c>
      <c r="K58" s="384" t="s">
        <v>425</v>
      </c>
      <c r="L58" s="384"/>
      <c r="M58" s="384"/>
      <c r="N58" s="384"/>
    </row>
    <row r="59" spans="2:14" ht="11.25" customHeight="1" x14ac:dyDescent="0.25"/>
    <row r="60" spans="2:14" ht="24.75" customHeight="1" x14ac:dyDescent="0.25">
      <c r="J60" s="266" t="s">
        <v>426</v>
      </c>
      <c r="K60" s="384" t="s">
        <v>425</v>
      </c>
      <c r="L60" s="384"/>
      <c r="M60" s="384"/>
      <c r="N60" s="384"/>
    </row>
    <row r="61" spans="2:14" ht="12.75" customHeight="1" x14ac:dyDescent="0.25"/>
    <row r="62" spans="2:14" ht="12.75" customHeight="1" x14ac:dyDescent="0.25">
      <c r="B62" s="509" t="s">
        <v>424</v>
      </c>
      <c r="C62" s="509"/>
    </row>
    <row r="63" spans="2:14" ht="22.15" customHeight="1" x14ac:dyDescent="0.25">
      <c r="B63" s="510"/>
      <c r="C63" s="510"/>
      <c r="D63" s="510"/>
      <c r="E63" s="510"/>
      <c r="F63" s="510"/>
      <c r="G63" s="510"/>
      <c r="H63" s="510"/>
      <c r="I63" s="510"/>
      <c r="J63" s="510"/>
      <c r="K63" s="510"/>
      <c r="L63" s="510"/>
      <c r="M63" s="510"/>
      <c r="N63" s="510"/>
    </row>
    <row r="64" spans="2:14" ht="11.25" customHeight="1" x14ac:dyDescent="0.25"/>
  </sheetData>
  <mergeCells count="40">
    <mergeCell ref="K60:N60"/>
    <mergeCell ref="B62:C62"/>
    <mergeCell ref="B63:N63"/>
    <mergeCell ref="K42:L42"/>
    <mergeCell ref="B44:N44"/>
    <mergeCell ref="B48:N48"/>
    <mergeCell ref="K51:N51"/>
    <mergeCell ref="C53:M53"/>
    <mergeCell ref="B58:C58"/>
    <mergeCell ref="K58:N58"/>
    <mergeCell ref="B42:I42"/>
    <mergeCell ref="D41:I41"/>
    <mergeCell ref="D35:I35"/>
    <mergeCell ref="D36:I36"/>
    <mergeCell ref="D37:I37"/>
    <mergeCell ref="D38:I38"/>
    <mergeCell ref="D39:I39"/>
    <mergeCell ref="D40:I40"/>
    <mergeCell ref="D22:H22"/>
    <mergeCell ref="D23:H23"/>
    <mergeCell ref="D24:H24"/>
    <mergeCell ref="D25:H25"/>
    <mergeCell ref="D26:H26"/>
    <mergeCell ref="B27:H27"/>
    <mergeCell ref="J27:L27"/>
    <mergeCell ref="B29:N29"/>
    <mergeCell ref="D33:I33"/>
    <mergeCell ref="D34:I34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256" scale="72" orientation="portrait" horizontalDpi="203" verticalDpi="20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672-B424-4952-91D7-23D1002F5D89}">
  <sheetPr codeName="Лист14">
    <pageSetUpPr fitToPage="1"/>
  </sheetPr>
  <dimension ref="B1:N74"/>
  <sheetViews>
    <sheetView workbookViewId="0">
      <selection activeCell="B7" sqref="B7:N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630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629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628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627</v>
      </c>
      <c r="E21" s="390"/>
      <c r="F21" s="390"/>
      <c r="G21" s="390"/>
      <c r="H21" s="391"/>
      <c r="I21" s="291">
        <v>2</v>
      </c>
      <c r="J21" s="300">
        <v>1000</v>
      </c>
      <c r="K21" s="289">
        <v>1</v>
      </c>
      <c r="L21" s="279" t="s">
        <v>11</v>
      </c>
      <c r="M21" s="277">
        <f t="shared" ref="M21:M31" si="0">J21*I21</f>
        <v>2000</v>
      </c>
      <c r="N21" s="276">
        <f t="shared" ref="N21:N32" si="1">M21*22/122</f>
        <v>360.65573770491801</v>
      </c>
    </row>
    <row r="22" spans="2:14" s="275" customFormat="1" ht="12" customHeight="1" x14ac:dyDescent="0.25">
      <c r="B22" s="281" t="s">
        <v>446</v>
      </c>
      <c r="C22" s="292"/>
      <c r="D22" s="389" t="s">
        <v>626</v>
      </c>
      <c r="E22" s="390"/>
      <c r="F22" s="390"/>
      <c r="G22" s="390"/>
      <c r="H22" s="391"/>
      <c r="I22" s="291">
        <v>2</v>
      </c>
      <c r="J22" s="300">
        <v>400</v>
      </c>
      <c r="K22" s="289">
        <v>1</v>
      </c>
      <c r="L22" s="279" t="s">
        <v>11</v>
      </c>
      <c r="M22" s="277">
        <f t="shared" si="0"/>
        <v>800</v>
      </c>
      <c r="N22" s="276">
        <f t="shared" si="1"/>
        <v>144.26229508196721</v>
      </c>
    </row>
    <row r="23" spans="2:14" s="275" customFormat="1" ht="12" customHeight="1" x14ac:dyDescent="0.25">
      <c r="B23" s="281" t="s">
        <v>443</v>
      </c>
      <c r="C23" s="292"/>
      <c r="D23" s="389" t="s">
        <v>625</v>
      </c>
      <c r="E23" s="390"/>
      <c r="F23" s="390"/>
      <c r="G23" s="390"/>
      <c r="H23" s="391"/>
      <c r="I23" s="291">
        <v>1</v>
      </c>
      <c r="J23" s="300">
        <v>500</v>
      </c>
      <c r="K23" s="289">
        <v>1</v>
      </c>
      <c r="L23" s="279" t="s">
        <v>11</v>
      </c>
      <c r="M23" s="277">
        <f t="shared" si="0"/>
        <v>500</v>
      </c>
      <c r="N23" s="276">
        <f t="shared" si="1"/>
        <v>90.163934426229503</v>
      </c>
    </row>
    <row r="24" spans="2:14" s="275" customFormat="1" ht="25.5" customHeight="1" x14ac:dyDescent="0.25">
      <c r="B24" s="281" t="s">
        <v>440</v>
      </c>
      <c r="C24" s="292"/>
      <c r="D24" s="389" t="s">
        <v>624</v>
      </c>
      <c r="E24" s="390"/>
      <c r="F24" s="390"/>
      <c r="G24" s="390"/>
      <c r="H24" s="391"/>
      <c r="I24" s="291">
        <v>1</v>
      </c>
      <c r="J24" s="300">
        <v>800</v>
      </c>
      <c r="K24" s="289">
        <v>1</v>
      </c>
      <c r="L24" s="279" t="s">
        <v>11</v>
      </c>
      <c r="M24" s="277">
        <f t="shared" si="0"/>
        <v>800</v>
      </c>
      <c r="N24" s="276">
        <f t="shared" si="1"/>
        <v>144.26229508196721</v>
      </c>
    </row>
    <row r="25" spans="2:14" s="275" customFormat="1" ht="25.5" customHeight="1" x14ac:dyDescent="0.25">
      <c r="B25" s="281" t="s">
        <v>453</v>
      </c>
      <c r="C25" s="292"/>
      <c r="D25" s="389" t="s">
        <v>623</v>
      </c>
      <c r="E25" s="390"/>
      <c r="F25" s="390"/>
      <c r="G25" s="390"/>
      <c r="H25" s="391"/>
      <c r="I25" s="291">
        <v>1</v>
      </c>
      <c r="J25" s="300">
        <v>1600</v>
      </c>
      <c r="K25" s="289">
        <v>1</v>
      </c>
      <c r="L25" s="279" t="s">
        <v>11</v>
      </c>
      <c r="M25" s="277">
        <f t="shared" si="0"/>
        <v>1600</v>
      </c>
      <c r="N25" s="276">
        <f t="shared" si="1"/>
        <v>288.52459016393442</v>
      </c>
    </row>
    <row r="26" spans="2:14" s="275" customFormat="1" ht="14.25" customHeight="1" x14ac:dyDescent="0.25">
      <c r="B26" s="281" t="s">
        <v>452</v>
      </c>
      <c r="C26" s="292"/>
      <c r="D26" s="389" t="s">
        <v>622</v>
      </c>
      <c r="E26" s="390"/>
      <c r="F26" s="390"/>
      <c r="G26" s="390"/>
      <c r="H26" s="391"/>
      <c r="I26" s="291">
        <v>2</v>
      </c>
      <c r="J26" s="300">
        <v>250</v>
      </c>
      <c r="K26" s="289">
        <v>1</v>
      </c>
      <c r="L26" s="279" t="s">
        <v>11</v>
      </c>
      <c r="M26" s="277">
        <f t="shared" si="0"/>
        <v>500</v>
      </c>
      <c r="N26" s="276">
        <f t="shared" si="1"/>
        <v>90.163934426229503</v>
      </c>
    </row>
    <row r="27" spans="2:14" s="275" customFormat="1" ht="14.25" customHeight="1" x14ac:dyDescent="0.25">
      <c r="B27" s="281" t="s">
        <v>451</v>
      </c>
      <c r="C27" s="292"/>
      <c r="D27" s="389" t="s">
        <v>511</v>
      </c>
      <c r="E27" s="390"/>
      <c r="F27" s="390"/>
      <c r="G27" s="390"/>
      <c r="H27" s="391"/>
      <c r="I27" s="291">
        <v>1</v>
      </c>
      <c r="J27" s="300">
        <v>500</v>
      </c>
      <c r="K27" s="289">
        <v>1</v>
      </c>
      <c r="L27" s="279" t="s">
        <v>11</v>
      </c>
      <c r="M27" s="277">
        <f t="shared" si="0"/>
        <v>500</v>
      </c>
      <c r="N27" s="276">
        <f t="shared" si="1"/>
        <v>90.163934426229503</v>
      </c>
    </row>
    <row r="28" spans="2:14" s="275" customFormat="1" ht="14.25" customHeight="1" x14ac:dyDescent="0.25">
      <c r="B28" s="281" t="s">
        <v>450</v>
      </c>
      <c r="C28" s="292"/>
      <c r="D28" s="389" t="s">
        <v>465</v>
      </c>
      <c r="E28" s="390"/>
      <c r="F28" s="390"/>
      <c r="G28" s="390"/>
      <c r="H28" s="391"/>
      <c r="I28" s="291">
        <v>1</v>
      </c>
      <c r="J28" s="300">
        <v>200</v>
      </c>
      <c r="K28" s="289">
        <v>1</v>
      </c>
      <c r="L28" s="279" t="s">
        <v>11</v>
      </c>
      <c r="M28" s="277">
        <f t="shared" si="0"/>
        <v>200</v>
      </c>
      <c r="N28" s="276">
        <f t="shared" si="1"/>
        <v>36.065573770491802</v>
      </c>
    </row>
    <row r="29" spans="2:14" s="275" customFormat="1" ht="14.25" customHeight="1" x14ac:dyDescent="0.25">
      <c r="B29" s="281" t="s">
        <v>468</v>
      </c>
      <c r="C29" s="292"/>
      <c r="D29" s="389" t="s">
        <v>621</v>
      </c>
      <c r="E29" s="390"/>
      <c r="F29" s="390"/>
      <c r="G29" s="390"/>
      <c r="H29" s="391"/>
      <c r="I29" s="291">
        <v>1</v>
      </c>
      <c r="J29" s="300">
        <v>300</v>
      </c>
      <c r="K29" s="289">
        <v>1</v>
      </c>
      <c r="L29" s="279" t="s">
        <v>11</v>
      </c>
      <c r="M29" s="277">
        <f t="shared" si="0"/>
        <v>300</v>
      </c>
      <c r="N29" s="276">
        <f t="shared" si="1"/>
        <v>54.098360655737707</v>
      </c>
    </row>
    <row r="30" spans="2:14" s="275" customFormat="1" ht="14.25" customHeight="1" x14ac:dyDescent="0.25">
      <c r="B30" s="281" t="s">
        <v>541</v>
      </c>
      <c r="C30" s="292"/>
      <c r="D30" s="389" t="s">
        <v>620</v>
      </c>
      <c r="E30" s="390"/>
      <c r="F30" s="390"/>
      <c r="G30" s="390"/>
      <c r="H30" s="391"/>
      <c r="I30" s="291">
        <v>1</v>
      </c>
      <c r="J30" s="300">
        <v>1500</v>
      </c>
      <c r="K30" s="289">
        <v>1</v>
      </c>
      <c r="L30" s="279" t="s">
        <v>11</v>
      </c>
      <c r="M30" s="277">
        <f t="shared" si="0"/>
        <v>1500</v>
      </c>
      <c r="N30" s="276">
        <f t="shared" si="1"/>
        <v>270.49180327868851</v>
      </c>
    </row>
    <row r="31" spans="2:14" s="275" customFormat="1" ht="14.25" customHeight="1" x14ac:dyDescent="0.25">
      <c r="B31" s="281" t="s">
        <v>538</v>
      </c>
      <c r="C31" s="292"/>
      <c r="D31" s="389" t="s">
        <v>494</v>
      </c>
      <c r="E31" s="390"/>
      <c r="F31" s="390"/>
      <c r="G31" s="390"/>
      <c r="H31" s="391"/>
      <c r="I31" s="291">
        <v>1</v>
      </c>
      <c r="J31" s="300">
        <v>700</v>
      </c>
      <c r="K31" s="289">
        <v>1</v>
      </c>
      <c r="L31" s="279" t="s">
        <v>11</v>
      </c>
      <c r="M31" s="277">
        <f t="shared" si="0"/>
        <v>700</v>
      </c>
      <c r="N31" s="276">
        <f t="shared" si="1"/>
        <v>126.22950819672131</v>
      </c>
    </row>
    <row r="32" spans="2:14" ht="12.75" customHeight="1" x14ac:dyDescent="0.25">
      <c r="B32" s="396" t="s">
        <v>464</v>
      </c>
      <c r="C32" s="396"/>
      <c r="D32" s="396"/>
      <c r="E32" s="396"/>
      <c r="F32" s="396"/>
      <c r="G32" s="396"/>
      <c r="H32" s="396"/>
      <c r="I32" s="299">
        <v>14</v>
      </c>
      <c r="J32" s="393" t="s">
        <v>435</v>
      </c>
      <c r="K32" s="393"/>
      <c r="L32" s="393"/>
      <c r="M32" s="277">
        <f>M21+M22+M23+M24+M25+M26+M27+M28+M29+M30+M31</f>
        <v>9400</v>
      </c>
      <c r="N32" s="276">
        <f t="shared" si="1"/>
        <v>1695.0819672131147</v>
      </c>
    </row>
    <row r="33" spans="2:14" ht="11.25" customHeight="1" x14ac:dyDescent="0.25"/>
    <row r="34" spans="2:14" ht="12.75" customHeight="1" x14ac:dyDescent="0.25">
      <c r="B34" s="392" t="s">
        <v>619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</row>
    <row r="35" spans="2:14" ht="11.25" customHeight="1" x14ac:dyDescent="0.25"/>
    <row r="36" spans="2:14" ht="15" customHeight="1" x14ac:dyDescent="0.25">
      <c r="C36" s="287" t="s">
        <v>618</v>
      </c>
    </row>
    <row r="37" spans="2:14" ht="11.25" customHeight="1" thickBot="1" x14ac:dyDescent="0.3">
      <c r="B37" s="286"/>
      <c r="C37" s="285"/>
      <c r="D37" s="285"/>
      <c r="H37" s="285"/>
      <c r="I37" s="285"/>
      <c r="M37" s="284"/>
      <c r="N37" s="284"/>
    </row>
    <row r="38" spans="2:14" ht="12.75" customHeight="1" thickBot="1" x14ac:dyDescent="0.3">
      <c r="B38" s="282" t="s">
        <v>461</v>
      </c>
      <c r="C38" s="283" t="s">
        <v>460</v>
      </c>
      <c r="D38" s="511" t="s">
        <v>459</v>
      </c>
      <c r="E38" s="511"/>
      <c r="F38" s="511"/>
      <c r="G38" s="511"/>
      <c r="H38" s="511"/>
      <c r="I38" s="511"/>
      <c r="J38" s="282" t="s">
        <v>458</v>
      </c>
      <c r="K38" s="282" t="s">
        <v>457</v>
      </c>
      <c r="L38" s="282" t="s">
        <v>456</v>
      </c>
      <c r="M38" s="282" t="s">
        <v>455</v>
      </c>
      <c r="N38" s="282" t="s">
        <v>454</v>
      </c>
    </row>
    <row r="39" spans="2:14" ht="12.75" customHeight="1" thickBot="1" x14ac:dyDescent="0.3">
      <c r="B39" s="282" t="s">
        <v>449</v>
      </c>
      <c r="C39" s="283" t="s">
        <v>446</v>
      </c>
      <c r="D39" s="511" t="s">
        <v>443</v>
      </c>
      <c r="E39" s="511"/>
      <c r="F39" s="511"/>
      <c r="G39" s="511"/>
      <c r="H39" s="511"/>
      <c r="I39" s="511"/>
      <c r="J39" s="282" t="s">
        <v>440</v>
      </c>
      <c r="K39" s="282" t="s">
        <v>453</v>
      </c>
      <c r="L39" s="282" t="s">
        <v>452</v>
      </c>
      <c r="M39" s="282" t="s">
        <v>451</v>
      </c>
      <c r="N39" s="282" t="s">
        <v>450</v>
      </c>
    </row>
    <row r="40" spans="2:14" s="275" customFormat="1" ht="24.75" customHeight="1" x14ac:dyDescent="0.25">
      <c r="B40" s="281" t="s">
        <v>449</v>
      </c>
      <c r="C40" s="292" t="s">
        <v>617</v>
      </c>
      <c r="D40" s="512" t="s">
        <v>616</v>
      </c>
      <c r="E40" s="512"/>
      <c r="F40" s="512"/>
      <c r="G40" s="512"/>
      <c r="H40" s="512"/>
      <c r="I40" s="512"/>
      <c r="J40" s="291">
        <v>2</v>
      </c>
      <c r="K40" s="279" t="s">
        <v>437</v>
      </c>
      <c r="L40" s="278">
        <v>750</v>
      </c>
      <c r="M40" s="277">
        <f t="shared" ref="M40:M51" si="2">L40*J40</f>
        <v>1500</v>
      </c>
      <c r="N40" s="276">
        <f t="shared" ref="N40:N52" si="3">M40*22/122</f>
        <v>270.49180327868851</v>
      </c>
    </row>
    <row r="41" spans="2:14" s="275" customFormat="1" ht="14.25" customHeight="1" x14ac:dyDescent="0.25">
      <c r="B41" s="281" t="s">
        <v>446</v>
      </c>
      <c r="C41" s="292" t="s">
        <v>615</v>
      </c>
      <c r="D41" s="512" t="s">
        <v>614</v>
      </c>
      <c r="E41" s="512"/>
      <c r="F41" s="512"/>
      <c r="G41" s="512"/>
      <c r="H41" s="512"/>
      <c r="I41" s="512"/>
      <c r="J41" s="291">
        <v>1</v>
      </c>
      <c r="K41" s="279" t="s">
        <v>520</v>
      </c>
      <c r="L41" s="278">
        <v>600</v>
      </c>
      <c r="M41" s="277">
        <f t="shared" si="2"/>
        <v>600</v>
      </c>
      <c r="N41" s="276">
        <f t="shared" si="3"/>
        <v>108.19672131147541</v>
      </c>
    </row>
    <row r="42" spans="2:14" s="275" customFormat="1" ht="24" customHeight="1" x14ac:dyDescent="0.25">
      <c r="B42" s="281" t="s">
        <v>443</v>
      </c>
      <c r="C42" s="292" t="s">
        <v>613</v>
      </c>
      <c r="D42" s="512" t="s">
        <v>612</v>
      </c>
      <c r="E42" s="512"/>
      <c r="F42" s="512"/>
      <c r="G42" s="512"/>
      <c r="H42" s="512"/>
      <c r="I42" s="512"/>
      <c r="J42" s="291">
        <v>1</v>
      </c>
      <c r="K42" s="279" t="s">
        <v>437</v>
      </c>
      <c r="L42" s="278">
        <v>1100</v>
      </c>
      <c r="M42" s="277">
        <f t="shared" si="2"/>
        <v>1100</v>
      </c>
      <c r="N42" s="276">
        <f t="shared" si="3"/>
        <v>198.36065573770492</v>
      </c>
    </row>
    <row r="43" spans="2:14" s="275" customFormat="1" ht="39" customHeight="1" x14ac:dyDescent="0.25">
      <c r="B43" s="281" t="s">
        <v>440</v>
      </c>
      <c r="C43" s="280" t="s">
        <v>611</v>
      </c>
      <c r="D43" s="512" t="s">
        <v>610</v>
      </c>
      <c r="E43" s="512"/>
      <c r="F43" s="512"/>
      <c r="G43" s="512"/>
      <c r="H43" s="512"/>
      <c r="I43" s="512"/>
      <c r="J43" s="291">
        <v>1</v>
      </c>
      <c r="K43" s="279" t="s">
        <v>520</v>
      </c>
      <c r="L43" s="278">
        <v>550</v>
      </c>
      <c r="M43" s="277">
        <f t="shared" si="2"/>
        <v>550</v>
      </c>
      <c r="N43" s="276">
        <f t="shared" si="3"/>
        <v>99.180327868852459</v>
      </c>
    </row>
    <row r="44" spans="2:14" s="275" customFormat="1" ht="24.75" customHeight="1" x14ac:dyDescent="0.25">
      <c r="B44" s="281" t="s">
        <v>453</v>
      </c>
      <c r="C44" s="280" t="s">
        <v>609</v>
      </c>
      <c r="D44" s="512" t="s">
        <v>608</v>
      </c>
      <c r="E44" s="512"/>
      <c r="F44" s="512"/>
      <c r="G44" s="512"/>
      <c r="H44" s="512"/>
      <c r="I44" s="512"/>
      <c r="J44" s="291">
        <v>1</v>
      </c>
      <c r="K44" s="279" t="s">
        <v>437</v>
      </c>
      <c r="L44" s="278">
        <v>750</v>
      </c>
      <c r="M44" s="277">
        <f t="shared" si="2"/>
        <v>750</v>
      </c>
      <c r="N44" s="276">
        <f t="shared" si="3"/>
        <v>135.24590163934425</v>
      </c>
    </row>
    <row r="45" spans="2:14" s="275" customFormat="1" ht="24" customHeight="1" x14ac:dyDescent="0.25">
      <c r="B45" s="281" t="s">
        <v>452</v>
      </c>
      <c r="C45" s="292" t="s">
        <v>607</v>
      </c>
      <c r="D45" s="512" t="s">
        <v>606</v>
      </c>
      <c r="E45" s="512"/>
      <c r="F45" s="512"/>
      <c r="G45" s="512"/>
      <c r="H45" s="512"/>
      <c r="I45" s="512"/>
      <c r="J45" s="291">
        <v>1</v>
      </c>
      <c r="K45" s="279" t="s">
        <v>437</v>
      </c>
      <c r="L45" s="278">
        <v>2000</v>
      </c>
      <c r="M45" s="277">
        <f t="shared" si="2"/>
        <v>2000</v>
      </c>
      <c r="N45" s="276">
        <f t="shared" si="3"/>
        <v>360.65573770491801</v>
      </c>
    </row>
    <row r="46" spans="2:14" s="275" customFormat="1" ht="12.75" customHeight="1" x14ac:dyDescent="0.25">
      <c r="B46" s="281" t="s">
        <v>451</v>
      </c>
      <c r="C46" s="292" t="s">
        <v>537</v>
      </c>
      <c r="D46" s="512" t="s">
        <v>536</v>
      </c>
      <c r="E46" s="512"/>
      <c r="F46" s="512"/>
      <c r="G46" s="512"/>
      <c r="H46" s="512"/>
      <c r="I46" s="512"/>
      <c r="J46" s="291">
        <v>1</v>
      </c>
      <c r="K46" s="279" t="s">
        <v>437</v>
      </c>
      <c r="L46" s="278">
        <v>400</v>
      </c>
      <c r="M46" s="277">
        <f t="shared" si="2"/>
        <v>400</v>
      </c>
      <c r="N46" s="276">
        <f t="shared" si="3"/>
        <v>72.131147540983605</v>
      </c>
    </row>
    <row r="47" spans="2:14" s="275" customFormat="1" ht="24.75" customHeight="1" x14ac:dyDescent="0.25">
      <c r="B47" s="281" t="s">
        <v>450</v>
      </c>
      <c r="C47" s="292" t="s">
        <v>605</v>
      </c>
      <c r="D47" s="512" t="s">
        <v>604</v>
      </c>
      <c r="E47" s="512"/>
      <c r="F47" s="512"/>
      <c r="G47" s="512"/>
      <c r="H47" s="512"/>
      <c r="I47" s="512"/>
      <c r="J47" s="291">
        <v>1</v>
      </c>
      <c r="K47" s="279" t="s">
        <v>437</v>
      </c>
      <c r="L47" s="278">
        <v>350</v>
      </c>
      <c r="M47" s="277">
        <f t="shared" si="2"/>
        <v>350</v>
      </c>
      <c r="N47" s="276">
        <f t="shared" si="3"/>
        <v>63.114754098360656</v>
      </c>
    </row>
    <row r="48" spans="2:14" s="275" customFormat="1" ht="36" customHeight="1" x14ac:dyDescent="0.25">
      <c r="B48" s="281" t="s">
        <v>468</v>
      </c>
      <c r="C48" s="292">
        <v>10840</v>
      </c>
      <c r="D48" s="512" t="s">
        <v>603</v>
      </c>
      <c r="E48" s="512"/>
      <c r="F48" s="512"/>
      <c r="G48" s="512"/>
      <c r="H48" s="512"/>
      <c r="I48" s="512"/>
      <c r="J48" s="291">
        <v>1</v>
      </c>
      <c r="K48" s="279" t="s">
        <v>520</v>
      </c>
      <c r="L48" s="278">
        <v>300</v>
      </c>
      <c r="M48" s="277">
        <f t="shared" si="2"/>
        <v>300</v>
      </c>
      <c r="N48" s="276">
        <f t="shared" si="3"/>
        <v>54.098360655737707</v>
      </c>
    </row>
    <row r="49" spans="2:14" s="275" customFormat="1" ht="12.75" customHeight="1" x14ac:dyDescent="0.25">
      <c r="B49" s="281" t="s">
        <v>541</v>
      </c>
      <c r="C49" s="292">
        <v>4008</v>
      </c>
      <c r="D49" s="512" t="s">
        <v>518</v>
      </c>
      <c r="E49" s="512"/>
      <c r="F49" s="512"/>
      <c r="G49" s="512"/>
      <c r="H49" s="512"/>
      <c r="I49" s="512"/>
      <c r="J49" s="291">
        <v>1</v>
      </c>
      <c r="K49" s="279" t="s">
        <v>437</v>
      </c>
      <c r="L49" s="278">
        <v>250</v>
      </c>
      <c r="M49" s="277">
        <f t="shared" si="2"/>
        <v>250</v>
      </c>
      <c r="N49" s="276">
        <f t="shared" si="3"/>
        <v>45.081967213114751</v>
      </c>
    </row>
    <row r="50" spans="2:14" s="275" customFormat="1" ht="27" customHeight="1" x14ac:dyDescent="0.25">
      <c r="B50" s="281" t="s">
        <v>538</v>
      </c>
      <c r="C50" s="292">
        <v>19065</v>
      </c>
      <c r="D50" s="512" t="s">
        <v>602</v>
      </c>
      <c r="E50" s="512"/>
      <c r="F50" s="512"/>
      <c r="G50" s="512"/>
      <c r="H50" s="512"/>
      <c r="I50" s="512"/>
      <c r="J50" s="291">
        <v>1</v>
      </c>
      <c r="K50" s="279" t="s">
        <v>520</v>
      </c>
      <c r="L50" s="278">
        <v>500</v>
      </c>
      <c r="M50" s="277">
        <f t="shared" si="2"/>
        <v>500</v>
      </c>
      <c r="N50" s="276">
        <f t="shared" si="3"/>
        <v>90.163934426229503</v>
      </c>
    </row>
    <row r="51" spans="2:14" s="275" customFormat="1" ht="25.5" customHeight="1" x14ac:dyDescent="0.25">
      <c r="B51" s="281" t="s">
        <v>535</v>
      </c>
      <c r="C51" s="292" t="s">
        <v>601</v>
      </c>
      <c r="D51" s="512" t="s">
        <v>600</v>
      </c>
      <c r="E51" s="512"/>
      <c r="F51" s="512"/>
      <c r="G51" s="512"/>
      <c r="H51" s="512"/>
      <c r="I51" s="512"/>
      <c r="J51" s="291">
        <v>1</v>
      </c>
      <c r="K51" s="279" t="s">
        <v>520</v>
      </c>
      <c r="L51" s="278">
        <v>7600</v>
      </c>
      <c r="M51" s="277">
        <f t="shared" si="2"/>
        <v>7600</v>
      </c>
      <c r="N51" s="276">
        <f t="shared" si="3"/>
        <v>1370.4918032786886</v>
      </c>
    </row>
    <row r="52" spans="2:14" ht="12.75" customHeight="1" x14ac:dyDescent="0.25">
      <c r="B52" s="396" t="s">
        <v>436</v>
      </c>
      <c r="C52" s="396"/>
      <c r="D52" s="396"/>
      <c r="E52" s="396"/>
      <c r="F52" s="396"/>
      <c r="G52" s="396"/>
      <c r="H52" s="396"/>
      <c r="I52" s="396"/>
      <c r="J52" s="297">
        <v>13</v>
      </c>
      <c r="K52" s="393" t="s">
        <v>435</v>
      </c>
      <c r="L52" s="393"/>
      <c r="M52" s="277">
        <f>M40+M41+M42+M43+M44+M45+M46+M47+M48+M49+M50+M51</f>
        <v>15900</v>
      </c>
      <c r="N52" s="276">
        <f t="shared" si="3"/>
        <v>2867.2131147540986</v>
      </c>
    </row>
    <row r="53" spans="2:14" ht="5.25" customHeight="1" x14ac:dyDescent="0.25"/>
    <row r="54" spans="2:14" ht="12.75" customHeight="1" x14ac:dyDescent="0.25">
      <c r="B54" s="392" t="s">
        <v>599</v>
      </c>
      <c r="C54" s="392"/>
      <c r="D54" s="392"/>
      <c r="E54" s="392"/>
      <c r="F54" s="392"/>
      <c r="G54" s="392"/>
      <c r="H54" s="392"/>
      <c r="I54" s="392"/>
      <c r="J54" s="392"/>
      <c r="K54" s="392"/>
      <c r="L54" s="392"/>
      <c r="M54" s="392"/>
      <c r="N54" s="392"/>
    </row>
    <row r="55" spans="2:14" ht="11.25" customHeight="1" thickBot="1" x14ac:dyDescent="0.3"/>
    <row r="56" spans="2:14" ht="12.75" customHeight="1" thickTop="1" thickBot="1" x14ac:dyDescent="0.3">
      <c r="B56" s="271"/>
      <c r="C56" s="271"/>
      <c r="D56" s="271"/>
      <c r="E56" s="271"/>
      <c r="F56" s="271"/>
      <c r="G56" s="271"/>
      <c r="H56" s="271"/>
      <c r="I56" s="271"/>
      <c r="J56" s="271"/>
      <c r="K56" s="270"/>
      <c r="L56" s="270" t="s">
        <v>433</v>
      </c>
      <c r="M56" s="269">
        <f>M32+M52</f>
        <v>25300</v>
      </c>
      <c r="N56" s="268">
        <f>M56*22/122</f>
        <v>4562.2950819672133</v>
      </c>
    </row>
    <row r="57" spans="2:14" ht="5.25" customHeight="1" thickTop="1" x14ac:dyDescent="0.25"/>
    <row r="58" spans="2:14" ht="12.75" customHeight="1" x14ac:dyDescent="0.25">
      <c r="B58" s="388" t="s">
        <v>598</v>
      </c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</row>
    <row r="59" spans="2:14" ht="11.25" customHeight="1" x14ac:dyDescent="0.25"/>
    <row r="60" spans="2:14" ht="11.25" customHeight="1" x14ac:dyDescent="0.25"/>
    <row r="61" spans="2:14" ht="12.75" customHeight="1" x14ac:dyDescent="0.25">
      <c r="J61" s="266" t="s">
        <v>431</v>
      </c>
      <c r="K61" s="384" t="s">
        <v>430</v>
      </c>
      <c r="L61" s="384"/>
      <c r="M61" s="384"/>
      <c r="N61" s="384"/>
    </row>
    <row r="62" spans="2:14" ht="6" customHeight="1" x14ac:dyDescent="0.25"/>
    <row r="63" spans="2:14" ht="48.75" customHeight="1" x14ac:dyDescent="0.25">
      <c r="B63" s="267"/>
      <c r="C63" s="385" t="s">
        <v>429</v>
      </c>
      <c r="D63" s="385"/>
      <c r="E63" s="385"/>
      <c r="F63" s="385"/>
      <c r="G63" s="385"/>
      <c r="H63" s="385"/>
      <c r="I63" s="385"/>
      <c r="J63" s="385"/>
      <c r="K63" s="385"/>
      <c r="L63" s="385"/>
      <c r="M63" s="385"/>
    </row>
    <row r="64" spans="2:14" ht="6" customHeight="1" x14ac:dyDescent="0.25"/>
    <row r="65" spans="2:14" ht="1.1499999999999999" customHeight="1" x14ac:dyDescent="0.25"/>
    <row r="66" spans="2:14" ht="3.75" customHeight="1" x14ac:dyDescent="0.25"/>
    <row r="67" spans="2:14" ht="11.25" customHeight="1" x14ac:dyDescent="0.25"/>
    <row r="68" spans="2:14" ht="24.75" customHeight="1" x14ac:dyDescent="0.25">
      <c r="B68" s="386" t="s">
        <v>597</v>
      </c>
      <c r="C68" s="386"/>
      <c r="J68" s="266" t="s">
        <v>427</v>
      </c>
      <c r="K68" s="384" t="s">
        <v>425</v>
      </c>
      <c r="L68" s="384"/>
      <c r="M68" s="384"/>
      <c r="N68" s="384"/>
    </row>
    <row r="69" spans="2:14" ht="11.25" customHeight="1" x14ac:dyDescent="0.25"/>
    <row r="70" spans="2:14" ht="24.75" customHeight="1" x14ac:dyDescent="0.25">
      <c r="J70" s="266" t="s">
        <v>426</v>
      </c>
      <c r="K70" s="384" t="s">
        <v>425</v>
      </c>
      <c r="L70" s="384"/>
      <c r="M70" s="384"/>
      <c r="N70" s="384"/>
    </row>
    <row r="71" spans="2:14" ht="12.75" customHeight="1" x14ac:dyDescent="0.25"/>
    <row r="72" spans="2:14" ht="12.75" customHeight="1" x14ac:dyDescent="0.25">
      <c r="B72" s="509" t="s">
        <v>424</v>
      </c>
      <c r="C72" s="509"/>
    </row>
    <row r="73" spans="2:14" ht="22.15" customHeight="1" x14ac:dyDescent="0.25">
      <c r="B73" s="510"/>
      <c r="C73" s="510"/>
      <c r="D73" s="510"/>
      <c r="E73" s="510"/>
      <c r="F73" s="510"/>
      <c r="G73" s="510"/>
      <c r="H73" s="510"/>
      <c r="I73" s="510"/>
      <c r="J73" s="510"/>
      <c r="K73" s="510"/>
      <c r="L73" s="510"/>
      <c r="M73" s="510"/>
      <c r="N73" s="510"/>
    </row>
    <row r="74" spans="2:14" ht="11.25" customHeight="1" x14ac:dyDescent="0.25"/>
  </sheetData>
  <mergeCells count="50">
    <mergeCell ref="D49:I49"/>
    <mergeCell ref="D50:I50"/>
    <mergeCell ref="D51:I51"/>
    <mergeCell ref="B73:N73"/>
    <mergeCell ref="C63:M63"/>
    <mergeCell ref="B68:C68"/>
    <mergeCell ref="K68:N68"/>
    <mergeCell ref="K70:N70"/>
    <mergeCell ref="B72:C72"/>
    <mergeCell ref="B52:I52"/>
    <mergeCell ref="K52:L52"/>
    <mergeCell ref="B54:N54"/>
    <mergeCell ref="B58:N58"/>
    <mergeCell ref="K61:N61"/>
    <mergeCell ref="D45:I45"/>
    <mergeCell ref="D46:I46"/>
    <mergeCell ref="D47:I47"/>
    <mergeCell ref="D48:I48"/>
    <mergeCell ref="D26:H26"/>
    <mergeCell ref="D27:H27"/>
    <mergeCell ref="D28:H28"/>
    <mergeCell ref="D29:H29"/>
    <mergeCell ref="D30:H30"/>
    <mergeCell ref="D39:I39"/>
    <mergeCell ref="D40:I40"/>
    <mergeCell ref="D41:I41"/>
    <mergeCell ref="D42:I42"/>
    <mergeCell ref="D43:I43"/>
    <mergeCell ref="D44:I44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J32:L32"/>
    <mergeCell ref="B34:N34"/>
    <mergeCell ref="D38:I38"/>
    <mergeCell ref="D22:H22"/>
    <mergeCell ref="D23:H23"/>
    <mergeCell ref="D24:H24"/>
    <mergeCell ref="D25:H25"/>
    <mergeCell ref="D31:H31"/>
    <mergeCell ref="B32:H32"/>
  </mergeCells>
  <pageMargins left="0.7" right="0.7" top="0.75" bottom="0.75" header="0.3" footer="0.3"/>
  <pageSetup paperSize="256" scale="66" orientation="portrait" horizontalDpi="203" verticalDpi="20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15B4-3ACE-483F-B315-F271C2D37464}">
  <sheetPr codeName="Лист15">
    <pageSetUpPr fitToPage="1"/>
  </sheetPr>
  <dimension ref="B1:N56"/>
  <sheetViews>
    <sheetView topLeftCell="A7" workbookViewId="0">
      <selection activeCell="S32" sqref="S3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642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641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640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639</v>
      </c>
      <c r="E21" s="390"/>
      <c r="F21" s="390"/>
      <c r="G21" s="390"/>
      <c r="H21" s="391"/>
      <c r="I21" s="291">
        <v>1</v>
      </c>
      <c r="J21" s="300">
        <v>4000</v>
      </c>
      <c r="K21" s="289">
        <v>1</v>
      </c>
      <c r="L21" s="279" t="s">
        <v>11</v>
      </c>
      <c r="M21" s="277">
        <f>J21*I21</f>
        <v>4000</v>
      </c>
      <c r="N21" s="276">
        <f>M21*22/122</f>
        <v>721.31147540983602</v>
      </c>
    </row>
    <row r="22" spans="2:14" s="275" customFormat="1" ht="12" customHeight="1" x14ac:dyDescent="0.25">
      <c r="B22" s="281" t="s">
        <v>446</v>
      </c>
      <c r="C22" s="292"/>
      <c r="D22" s="389" t="s">
        <v>638</v>
      </c>
      <c r="E22" s="390"/>
      <c r="F22" s="390"/>
      <c r="G22" s="390"/>
      <c r="H22" s="391"/>
      <c r="I22" s="291">
        <v>1</v>
      </c>
      <c r="J22" s="300">
        <v>300</v>
      </c>
      <c r="K22" s="289">
        <v>1</v>
      </c>
      <c r="L22" s="279" t="s">
        <v>11</v>
      </c>
      <c r="M22" s="277">
        <f>J22*I22</f>
        <v>300</v>
      </c>
      <c r="N22" s="276">
        <f>M22*22/122</f>
        <v>54.098360655737707</v>
      </c>
    </row>
    <row r="23" spans="2:14" s="275" customFormat="1" ht="22.5" customHeight="1" x14ac:dyDescent="0.25">
      <c r="B23" s="281" t="s">
        <v>443</v>
      </c>
      <c r="C23" s="292"/>
      <c r="D23" s="389" t="s">
        <v>637</v>
      </c>
      <c r="E23" s="390"/>
      <c r="F23" s="390"/>
      <c r="G23" s="390"/>
      <c r="H23" s="391"/>
      <c r="I23" s="291">
        <v>1</v>
      </c>
      <c r="J23" s="300">
        <v>500</v>
      </c>
      <c r="K23" s="289">
        <v>1</v>
      </c>
      <c r="L23" s="279" t="s">
        <v>11</v>
      </c>
      <c r="M23" s="277">
        <f>J23*I23</f>
        <v>500</v>
      </c>
      <c r="N23" s="276">
        <f>M23*22/122</f>
        <v>90.163934426229503</v>
      </c>
    </row>
    <row r="24" spans="2:14" ht="12.75" customHeight="1" x14ac:dyDescent="0.25">
      <c r="B24" s="396" t="s">
        <v>464</v>
      </c>
      <c r="C24" s="396"/>
      <c r="D24" s="396"/>
      <c r="E24" s="396"/>
      <c r="F24" s="396"/>
      <c r="G24" s="396"/>
      <c r="H24" s="396"/>
      <c r="I24" s="299">
        <v>3</v>
      </c>
      <c r="J24" s="393" t="s">
        <v>435</v>
      </c>
      <c r="K24" s="393"/>
      <c r="L24" s="393"/>
      <c r="M24" s="277">
        <f>M21+M22+M23</f>
        <v>4800</v>
      </c>
      <c r="N24" s="276">
        <f>M24*22/122</f>
        <v>865.57377049180332</v>
      </c>
    </row>
    <row r="25" spans="2:14" ht="11.25" customHeight="1" x14ac:dyDescent="0.25"/>
    <row r="26" spans="2:14" ht="12.75" customHeight="1" x14ac:dyDescent="0.25">
      <c r="B26" s="392" t="s">
        <v>636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11.25" customHeight="1" x14ac:dyDescent="0.25"/>
    <row r="28" spans="2:14" ht="15" customHeight="1" x14ac:dyDescent="0.25">
      <c r="C28" s="287" t="s">
        <v>635</v>
      </c>
    </row>
    <row r="29" spans="2:14" ht="11.25" customHeight="1" thickBot="1" x14ac:dyDescent="0.3">
      <c r="B29" s="286"/>
      <c r="C29" s="285"/>
      <c r="D29" s="285"/>
      <c r="H29" s="285"/>
      <c r="I29" s="285"/>
      <c r="M29" s="284"/>
      <c r="N29" s="284"/>
    </row>
    <row r="30" spans="2:14" ht="12.75" customHeight="1" thickBot="1" x14ac:dyDescent="0.3">
      <c r="B30" s="282" t="s">
        <v>461</v>
      </c>
      <c r="C30" s="283" t="s">
        <v>460</v>
      </c>
      <c r="D30" s="511" t="s">
        <v>459</v>
      </c>
      <c r="E30" s="511"/>
      <c r="F30" s="511"/>
      <c r="G30" s="511"/>
      <c r="H30" s="511"/>
      <c r="I30" s="511"/>
      <c r="J30" s="282" t="s">
        <v>458</v>
      </c>
      <c r="K30" s="282" t="s">
        <v>457</v>
      </c>
      <c r="L30" s="282" t="s">
        <v>456</v>
      </c>
      <c r="M30" s="282" t="s">
        <v>455</v>
      </c>
      <c r="N30" s="282" t="s">
        <v>454</v>
      </c>
    </row>
    <row r="31" spans="2:14" ht="12.75" customHeight="1" thickBot="1" x14ac:dyDescent="0.3">
      <c r="B31" s="282" t="s">
        <v>449</v>
      </c>
      <c r="C31" s="283" t="s">
        <v>446</v>
      </c>
      <c r="D31" s="511" t="s">
        <v>443</v>
      </c>
      <c r="E31" s="511"/>
      <c r="F31" s="511"/>
      <c r="G31" s="511"/>
      <c r="H31" s="511"/>
      <c r="I31" s="511"/>
      <c r="J31" s="282" t="s">
        <v>440</v>
      </c>
      <c r="K31" s="282" t="s">
        <v>453</v>
      </c>
      <c r="L31" s="282" t="s">
        <v>452</v>
      </c>
      <c r="M31" s="282" t="s">
        <v>451</v>
      </c>
      <c r="N31" s="282" t="s">
        <v>450</v>
      </c>
    </row>
    <row r="32" spans="2:14" s="275" customFormat="1" ht="24.75" customHeight="1" x14ac:dyDescent="0.25">
      <c r="B32" s="281" t="s">
        <v>449</v>
      </c>
      <c r="C32" s="292">
        <v>71455</v>
      </c>
      <c r="D32" s="512" t="s">
        <v>634</v>
      </c>
      <c r="E32" s="512"/>
      <c r="F32" s="512"/>
      <c r="G32" s="512"/>
      <c r="H32" s="512"/>
      <c r="I32" s="512"/>
      <c r="J32" s="291">
        <v>1</v>
      </c>
      <c r="K32" s="279" t="s">
        <v>520</v>
      </c>
      <c r="L32" s="278">
        <v>9800</v>
      </c>
      <c r="M32" s="277">
        <f>L32*J32</f>
        <v>9800</v>
      </c>
      <c r="N32" s="276">
        <f>M32*22/122</f>
        <v>1767.2131147540983</v>
      </c>
    </row>
    <row r="33" spans="2:14" s="275" customFormat="1" ht="24" customHeight="1" x14ac:dyDescent="0.25">
      <c r="B33" s="281" t="s">
        <v>446</v>
      </c>
      <c r="C33" s="292">
        <v>2389901363</v>
      </c>
      <c r="D33" s="512" t="s">
        <v>633</v>
      </c>
      <c r="E33" s="512"/>
      <c r="F33" s="512"/>
      <c r="G33" s="512"/>
      <c r="H33" s="512"/>
      <c r="I33" s="512"/>
      <c r="J33" s="291">
        <v>1</v>
      </c>
      <c r="K33" s="279" t="s">
        <v>437</v>
      </c>
      <c r="L33" s="278">
        <v>400</v>
      </c>
      <c r="M33" s="277">
        <f>L33*J33</f>
        <v>400</v>
      </c>
      <c r="N33" s="276">
        <f>M33*22/122</f>
        <v>72.131147540983605</v>
      </c>
    </row>
    <row r="34" spans="2:14" ht="12.75" customHeight="1" x14ac:dyDescent="0.25">
      <c r="B34" s="396" t="s">
        <v>436</v>
      </c>
      <c r="C34" s="396"/>
      <c r="D34" s="396"/>
      <c r="E34" s="396"/>
      <c r="F34" s="396"/>
      <c r="G34" s="396"/>
      <c r="H34" s="396"/>
      <c r="I34" s="396"/>
      <c r="J34" s="297">
        <v>2</v>
      </c>
      <c r="K34" s="393" t="s">
        <v>435</v>
      </c>
      <c r="L34" s="393"/>
      <c r="M34" s="277">
        <f>M32+M33</f>
        <v>10200</v>
      </c>
      <c r="N34" s="276">
        <f>M34*22/122</f>
        <v>1839.344262295082</v>
      </c>
    </row>
    <row r="35" spans="2:14" ht="5.25" customHeight="1" x14ac:dyDescent="0.25"/>
    <row r="36" spans="2:14" ht="12.75" customHeight="1" x14ac:dyDescent="0.25">
      <c r="B36" s="392" t="s">
        <v>632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</row>
    <row r="37" spans="2:14" ht="11.25" customHeight="1" thickBot="1" x14ac:dyDescent="0.3"/>
    <row r="38" spans="2:14" ht="12.75" customHeight="1" thickTop="1" thickBot="1" x14ac:dyDescent="0.3">
      <c r="B38" s="271"/>
      <c r="C38" s="271"/>
      <c r="D38" s="271"/>
      <c r="E38" s="271"/>
      <c r="F38" s="271"/>
      <c r="G38" s="271"/>
      <c r="H38" s="271"/>
      <c r="I38" s="271"/>
      <c r="J38" s="271"/>
      <c r="K38" s="270"/>
      <c r="L38" s="270" t="s">
        <v>433</v>
      </c>
      <c r="M38" s="269">
        <f>M24+M34</f>
        <v>15000</v>
      </c>
      <c r="N38" s="268">
        <f>M38*22/122</f>
        <v>2704.9180327868853</v>
      </c>
    </row>
    <row r="39" spans="2:14" ht="5.25" customHeight="1" thickTop="1" x14ac:dyDescent="0.25"/>
    <row r="40" spans="2:14" ht="12.75" customHeight="1" x14ac:dyDescent="0.25">
      <c r="B40" s="388" t="s">
        <v>631</v>
      </c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66" t="s">
        <v>431</v>
      </c>
      <c r="K43" s="384" t="s">
        <v>430</v>
      </c>
      <c r="L43" s="384"/>
      <c r="M43" s="384"/>
      <c r="N43" s="384"/>
    </row>
    <row r="44" spans="2:14" ht="6" customHeight="1" x14ac:dyDescent="0.25"/>
    <row r="45" spans="2:14" ht="48.75" customHeight="1" x14ac:dyDescent="0.25">
      <c r="B45" s="267"/>
      <c r="C45" s="385" t="s">
        <v>429</v>
      </c>
      <c r="D45" s="385"/>
      <c r="E45" s="385"/>
      <c r="F45" s="385"/>
      <c r="G45" s="385"/>
      <c r="H45" s="385"/>
      <c r="I45" s="385"/>
      <c r="J45" s="385"/>
      <c r="K45" s="385"/>
      <c r="L45" s="385"/>
      <c r="M45" s="385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386" t="s">
        <v>597</v>
      </c>
      <c r="C50" s="386"/>
      <c r="J50" s="266" t="s">
        <v>427</v>
      </c>
      <c r="K50" s="384" t="s">
        <v>425</v>
      </c>
      <c r="L50" s="384"/>
      <c r="M50" s="384"/>
      <c r="N50" s="384"/>
    </row>
    <row r="51" spans="2:14" ht="11.25" customHeight="1" x14ac:dyDescent="0.25"/>
    <row r="52" spans="2:14" ht="24.75" customHeight="1" x14ac:dyDescent="0.25">
      <c r="J52" s="266" t="s">
        <v>426</v>
      </c>
      <c r="K52" s="384" t="s">
        <v>425</v>
      </c>
      <c r="L52" s="384"/>
      <c r="M52" s="384"/>
      <c r="N52" s="384"/>
    </row>
    <row r="53" spans="2:14" ht="12.75" customHeight="1" x14ac:dyDescent="0.25"/>
    <row r="54" spans="2:14" ht="12.75" customHeight="1" x14ac:dyDescent="0.25">
      <c r="B54" s="509" t="s">
        <v>424</v>
      </c>
      <c r="C54" s="509"/>
    </row>
    <row r="55" spans="2:14" ht="22.15" customHeight="1" x14ac:dyDescent="0.25">
      <c r="B55" s="510"/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</row>
    <row r="56" spans="2:14" ht="11.25" customHeight="1" x14ac:dyDescent="0.25"/>
  </sheetData>
  <mergeCells count="32">
    <mergeCell ref="D32:I32"/>
    <mergeCell ref="D33:I33"/>
    <mergeCell ref="C45:M45"/>
    <mergeCell ref="B34:I34"/>
    <mergeCell ref="K34:L34"/>
    <mergeCell ref="B36:N36"/>
    <mergeCell ref="B40:N40"/>
    <mergeCell ref="K43:N43"/>
    <mergeCell ref="B24:H24"/>
    <mergeCell ref="J24:L24"/>
    <mergeCell ref="B26:N26"/>
    <mergeCell ref="D30:I30"/>
    <mergeCell ref="D31:I31"/>
    <mergeCell ref="B50:C50"/>
    <mergeCell ref="K50:N50"/>
    <mergeCell ref="K52:N52"/>
    <mergeCell ref="B54:C54"/>
    <mergeCell ref="B55:N55"/>
    <mergeCell ref="D22:H22"/>
    <mergeCell ref="D23:H23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1:H21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9DA7-818D-4DC8-8D6A-164056CB2C9E}">
  <sheetPr codeName="Лист16">
    <pageSetUpPr fitToPage="1"/>
  </sheetPr>
  <dimension ref="B1:N64"/>
  <sheetViews>
    <sheetView topLeftCell="A12" workbookViewId="0">
      <selection activeCell="C21" sqref="C21:N2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664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663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662</v>
      </c>
    </row>
    <row r="18" spans="2:14" ht="15.75" thickBot="1" x14ac:dyDescent="0.3">
      <c r="B18" s="286"/>
      <c r="M18" s="284"/>
    </row>
    <row r="19" spans="2:14" ht="15.75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5.75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5" customHeight="1" x14ac:dyDescent="0.25">
      <c r="B21" s="281" t="s">
        <v>449</v>
      </c>
      <c r="C21" s="292"/>
      <c r="D21" s="389" t="s">
        <v>467</v>
      </c>
      <c r="E21" s="390"/>
      <c r="F21" s="390"/>
      <c r="G21" s="390"/>
      <c r="H21" s="391"/>
      <c r="I21" s="291">
        <v>1</v>
      </c>
      <c r="J21" s="300">
        <v>700</v>
      </c>
      <c r="K21" s="289">
        <v>1</v>
      </c>
      <c r="L21" s="279" t="s">
        <v>11</v>
      </c>
      <c r="M21" s="277">
        <f t="shared" ref="M21:M27" si="0">J21*I21</f>
        <v>700</v>
      </c>
      <c r="N21" s="276">
        <f t="shared" ref="N21:N28" si="1">M21*22/122</f>
        <v>126.22950819672131</v>
      </c>
    </row>
    <row r="22" spans="2:14" s="275" customFormat="1" ht="15" customHeight="1" x14ac:dyDescent="0.25">
      <c r="B22" s="281" t="s">
        <v>446</v>
      </c>
      <c r="C22" s="292"/>
      <c r="D22" s="389" t="s">
        <v>465</v>
      </c>
      <c r="E22" s="390"/>
      <c r="F22" s="390"/>
      <c r="G22" s="390"/>
      <c r="H22" s="391"/>
      <c r="I22" s="291">
        <v>1</v>
      </c>
      <c r="J22" s="300">
        <v>200</v>
      </c>
      <c r="K22" s="289">
        <v>1</v>
      </c>
      <c r="L22" s="279" t="s">
        <v>11</v>
      </c>
      <c r="M22" s="277">
        <f t="shared" si="0"/>
        <v>200</v>
      </c>
      <c r="N22" s="276">
        <f t="shared" si="1"/>
        <v>36.065573770491802</v>
      </c>
    </row>
    <row r="23" spans="2:14" s="275" customFormat="1" ht="15" customHeight="1" x14ac:dyDescent="0.25">
      <c r="B23" s="281" t="s">
        <v>443</v>
      </c>
      <c r="C23" s="292"/>
      <c r="D23" s="389" t="s">
        <v>661</v>
      </c>
      <c r="E23" s="390"/>
      <c r="F23" s="390"/>
      <c r="G23" s="390"/>
      <c r="H23" s="391"/>
      <c r="I23" s="291">
        <v>1</v>
      </c>
      <c r="J23" s="300">
        <v>600</v>
      </c>
      <c r="K23" s="289">
        <v>1</v>
      </c>
      <c r="L23" s="279" t="s">
        <v>11</v>
      </c>
      <c r="M23" s="277">
        <f t="shared" si="0"/>
        <v>600</v>
      </c>
      <c r="N23" s="276">
        <f t="shared" si="1"/>
        <v>108.19672131147541</v>
      </c>
    </row>
    <row r="24" spans="2:14" s="275" customFormat="1" ht="15" customHeight="1" x14ac:dyDescent="0.25">
      <c r="B24" s="281" t="s">
        <v>440</v>
      </c>
      <c r="C24" s="292"/>
      <c r="D24" s="389" t="s">
        <v>660</v>
      </c>
      <c r="E24" s="390"/>
      <c r="F24" s="390"/>
      <c r="G24" s="390"/>
      <c r="H24" s="391"/>
      <c r="I24" s="291">
        <v>1</v>
      </c>
      <c r="J24" s="300">
        <v>500</v>
      </c>
      <c r="K24" s="289">
        <v>1</v>
      </c>
      <c r="L24" s="279" t="s">
        <v>11</v>
      </c>
      <c r="M24" s="277">
        <f t="shared" si="0"/>
        <v>500</v>
      </c>
      <c r="N24" s="276">
        <f t="shared" si="1"/>
        <v>90.163934426229503</v>
      </c>
    </row>
    <row r="25" spans="2:14" s="275" customFormat="1" ht="15" customHeight="1" x14ac:dyDescent="0.25">
      <c r="B25" s="281" t="s">
        <v>453</v>
      </c>
      <c r="C25" s="292"/>
      <c r="D25" s="389" t="s">
        <v>466</v>
      </c>
      <c r="E25" s="390"/>
      <c r="F25" s="390"/>
      <c r="G25" s="390"/>
      <c r="H25" s="391"/>
      <c r="I25" s="291">
        <v>1</v>
      </c>
      <c r="J25" s="300">
        <v>200</v>
      </c>
      <c r="K25" s="289">
        <v>1</v>
      </c>
      <c r="L25" s="279" t="s">
        <v>11</v>
      </c>
      <c r="M25" s="277">
        <f t="shared" si="0"/>
        <v>200</v>
      </c>
      <c r="N25" s="276">
        <f t="shared" si="1"/>
        <v>36.065573770491802</v>
      </c>
    </row>
    <row r="26" spans="2:14" s="275" customFormat="1" ht="15" customHeight="1" x14ac:dyDescent="0.25">
      <c r="B26" s="281" t="s">
        <v>452</v>
      </c>
      <c r="C26" s="292"/>
      <c r="D26" s="389" t="s">
        <v>561</v>
      </c>
      <c r="E26" s="390"/>
      <c r="F26" s="390"/>
      <c r="G26" s="390"/>
      <c r="H26" s="391"/>
      <c r="I26" s="291">
        <v>1</v>
      </c>
      <c r="J26" s="300">
        <v>600</v>
      </c>
      <c r="K26" s="289">
        <v>1</v>
      </c>
      <c r="L26" s="279" t="s">
        <v>11</v>
      </c>
      <c r="M26" s="277">
        <f t="shared" si="0"/>
        <v>600</v>
      </c>
      <c r="N26" s="276">
        <f t="shared" si="1"/>
        <v>108.19672131147541</v>
      </c>
    </row>
    <row r="27" spans="2:14" s="275" customFormat="1" ht="15" customHeight="1" x14ac:dyDescent="0.25">
      <c r="B27" s="281" t="s">
        <v>451</v>
      </c>
      <c r="C27" s="292"/>
      <c r="D27" s="389" t="s">
        <v>659</v>
      </c>
      <c r="E27" s="390"/>
      <c r="F27" s="390"/>
      <c r="G27" s="390"/>
      <c r="H27" s="391"/>
      <c r="I27" s="291">
        <v>1</v>
      </c>
      <c r="J27" s="300">
        <v>600</v>
      </c>
      <c r="K27" s="289">
        <v>1</v>
      </c>
      <c r="L27" s="279" t="s">
        <v>11</v>
      </c>
      <c r="M27" s="277">
        <f t="shared" si="0"/>
        <v>600</v>
      </c>
      <c r="N27" s="276">
        <f t="shared" si="1"/>
        <v>108.19672131147541</v>
      </c>
    </row>
    <row r="28" spans="2:14" x14ac:dyDescent="0.25">
      <c r="B28" s="396" t="s">
        <v>464</v>
      </c>
      <c r="C28" s="396"/>
      <c r="D28" s="396"/>
      <c r="E28" s="396"/>
      <c r="F28" s="396"/>
      <c r="G28" s="396"/>
      <c r="H28" s="397"/>
      <c r="I28" s="299">
        <v>7</v>
      </c>
      <c r="J28" s="393" t="s">
        <v>435</v>
      </c>
      <c r="K28" s="394"/>
      <c r="L28" s="395"/>
      <c r="M28" s="277">
        <f>M21+M22+M23+M24+M25+M26+M27</f>
        <v>3400</v>
      </c>
      <c r="N28" s="276">
        <f t="shared" si="1"/>
        <v>613.11475409836066</v>
      </c>
    </row>
    <row r="30" spans="2:14" ht="15" customHeight="1" x14ac:dyDescent="0.25">
      <c r="B30" s="392" t="s">
        <v>658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2" spans="2:14" x14ac:dyDescent="0.25">
      <c r="C32" s="287" t="s">
        <v>657</v>
      </c>
    </row>
    <row r="33" spans="2:14" ht="15.75" thickBot="1" x14ac:dyDescent="0.3">
      <c r="B33" s="286"/>
      <c r="C33" s="285"/>
      <c r="D33" s="285"/>
      <c r="H33" s="285"/>
      <c r="I33" s="285"/>
      <c r="M33" s="284"/>
      <c r="N33" s="284"/>
    </row>
    <row r="34" spans="2:14" ht="15.75" thickBot="1" x14ac:dyDescent="0.3">
      <c r="B34" s="282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82" t="s">
        <v>458</v>
      </c>
      <c r="K34" s="282" t="s">
        <v>457</v>
      </c>
      <c r="L34" s="282" t="s">
        <v>456</v>
      </c>
      <c r="M34" s="282" t="s">
        <v>455</v>
      </c>
      <c r="N34" s="282" t="s">
        <v>454</v>
      </c>
    </row>
    <row r="35" spans="2:14" ht="15.75" thickBot="1" x14ac:dyDescent="0.3">
      <c r="B35" s="282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82" t="s">
        <v>440</v>
      </c>
      <c r="K35" s="282" t="s">
        <v>453</v>
      </c>
      <c r="L35" s="282" t="s">
        <v>452</v>
      </c>
      <c r="M35" s="282" t="s">
        <v>451</v>
      </c>
      <c r="N35" s="282" t="s">
        <v>450</v>
      </c>
    </row>
    <row r="36" spans="2:14" s="275" customFormat="1" ht="24.75" customHeight="1" x14ac:dyDescent="0.25">
      <c r="B36" s="281" t="s">
        <v>449</v>
      </c>
      <c r="C36" s="292" t="s">
        <v>656</v>
      </c>
      <c r="D36" s="467" t="s">
        <v>655</v>
      </c>
      <c r="E36" s="468"/>
      <c r="F36" s="468"/>
      <c r="G36" s="468"/>
      <c r="H36" s="468"/>
      <c r="I36" s="469"/>
      <c r="J36" s="291">
        <v>1</v>
      </c>
      <c r="K36" s="279" t="s">
        <v>437</v>
      </c>
      <c r="L36" s="278">
        <v>700</v>
      </c>
      <c r="M36" s="277">
        <f t="shared" ref="M36:M42" si="2">L36*J36</f>
        <v>700</v>
      </c>
      <c r="N36" s="276">
        <f t="shared" ref="N36:N43" si="3">M36*22/122</f>
        <v>126.22950819672131</v>
      </c>
    </row>
    <row r="37" spans="2:14" s="275" customFormat="1" ht="13.5" customHeight="1" x14ac:dyDescent="0.25">
      <c r="B37" s="281" t="s">
        <v>446</v>
      </c>
      <c r="C37" s="292" t="s">
        <v>654</v>
      </c>
      <c r="D37" s="389" t="s">
        <v>653</v>
      </c>
      <c r="E37" s="390"/>
      <c r="F37" s="390"/>
      <c r="G37" s="390"/>
      <c r="H37" s="390"/>
      <c r="I37" s="391"/>
      <c r="J37" s="291">
        <v>1</v>
      </c>
      <c r="K37" s="279" t="s">
        <v>437</v>
      </c>
      <c r="L37" s="278">
        <v>700</v>
      </c>
      <c r="M37" s="277">
        <f t="shared" si="2"/>
        <v>700</v>
      </c>
      <c r="N37" s="276">
        <f t="shared" si="3"/>
        <v>126.22950819672131</v>
      </c>
    </row>
    <row r="38" spans="2:14" s="275" customFormat="1" ht="25.5" customHeight="1" x14ac:dyDescent="0.25">
      <c r="B38" s="281" t="s">
        <v>443</v>
      </c>
      <c r="C38" s="280" t="s">
        <v>652</v>
      </c>
      <c r="D38" s="389" t="s">
        <v>651</v>
      </c>
      <c r="E38" s="390"/>
      <c r="F38" s="390"/>
      <c r="G38" s="390"/>
      <c r="H38" s="390"/>
      <c r="I38" s="391"/>
      <c r="J38" s="291">
        <v>1</v>
      </c>
      <c r="K38" s="279" t="s">
        <v>437</v>
      </c>
      <c r="L38" s="278">
        <v>550</v>
      </c>
      <c r="M38" s="277">
        <f t="shared" si="2"/>
        <v>550</v>
      </c>
      <c r="N38" s="276">
        <f t="shared" si="3"/>
        <v>99.180327868852459</v>
      </c>
    </row>
    <row r="39" spans="2:14" s="275" customFormat="1" ht="15" customHeight="1" x14ac:dyDescent="0.25">
      <c r="B39" s="281" t="s">
        <v>440</v>
      </c>
      <c r="C39" s="292" t="s">
        <v>501</v>
      </c>
      <c r="D39" s="389" t="s">
        <v>500</v>
      </c>
      <c r="E39" s="390"/>
      <c r="F39" s="390"/>
      <c r="G39" s="390"/>
      <c r="H39" s="390"/>
      <c r="I39" s="391"/>
      <c r="J39" s="291">
        <v>2</v>
      </c>
      <c r="K39" s="279" t="s">
        <v>437</v>
      </c>
      <c r="L39" s="278">
        <v>5400</v>
      </c>
      <c r="M39" s="277">
        <f t="shared" si="2"/>
        <v>10800</v>
      </c>
      <c r="N39" s="276">
        <f t="shared" si="3"/>
        <v>1947.5409836065573</v>
      </c>
    </row>
    <row r="40" spans="2:14" s="275" customFormat="1" ht="24.75" customHeight="1" x14ac:dyDescent="0.25">
      <c r="B40" s="281" t="s">
        <v>453</v>
      </c>
      <c r="C40" s="280" t="s">
        <v>650</v>
      </c>
      <c r="D40" s="389" t="s">
        <v>649</v>
      </c>
      <c r="E40" s="390"/>
      <c r="F40" s="390"/>
      <c r="G40" s="390"/>
      <c r="H40" s="390"/>
      <c r="I40" s="391"/>
      <c r="J40" s="291">
        <v>3</v>
      </c>
      <c r="K40" s="279" t="s">
        <v>437</v>
      </c>
      <c r="L40" s="278">
        <v>3850</v>
      </c>
      <c r="M40" s="277">
        <f t="shared" si="2"/>
        <v>11550</v>
      </c>
      <c r="N40" s="276">
        <f t="shared" si="3"/>
        <v>2082.7868852459014</v>
      </c>
    </row>
    <row r="41" spans="2:14" s="275" customFormat="1" ht="24" customHeight="1" x14ac:dyDescent="0.25">
      <c r="B41" s="281" t="s">
        <v>452</v>
      </c>
      <c r="C41" s="280" t="s">
        <v>648</v>
      </c>
      <c r="D41" s="389" t="s">
        <v>647</v>
      </c>
      <c r="E41" s="390"/>
      <c r="F41" s="390"/>
      <c r="G41" s="390"/>
      <c r="H41" s="390"/>
      <c r="I41" s="391"/>
      <c r="J41" s="291">
        <v>3</v>
      </c>
      <c r="K41" s="279" t="s">
        <v>437</v>
      </c>
      <c r="L41" s="278">
        <v>3000</v>
      </c>
      <c r="M41" s="277">
        <f t="shared" si="2"/>
        <v>9000</v>
      </c>
      <c r="N41" s="276">
        <f t="shared" si="3"/>
        <v>1622.950819672131</v>
      </c>
    </row>
    <row r="42" spans="2:14" s="275" customFormat="1" ht="24.75" customHeight="1" x14ac:dyDescent="0.25">
      <c r="B42" s="281" t="s">
        <v>451</v>
      </c>
      <c r="C42" s="292" t="s">
        <v>646</v>
      </c>
      <c r="D42" s="389" t="s">
        <v>645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1200</v>
      </c>
      <c r="M42" s="277">
        <f t="shared" si="2"/>
        <v>1200</v>
      </c>
      <c r="N42" s="276">
        <f t="shared" si="3"/>
        <v>216.39344262295083</v>
      </c>
    </row>
    <row r="43" spans="2:14" x14ac:dyDescent="0.25">
      <c r="B43" s="396" t="s">
        <v>436</v>
      </c>
      <c r="C43" s="396"/>
      <c r="D43" s="396"/>
      <c r="E43" s="396"/>
      <c r="F43" s="396"/>
      <c r="G43" s="396"/>
      <c r="H43" s="396"/>
      <c r="I43" s="397"/>
      <c r="J43" s="297">
        <v>12</v>
      </c>
      <c r="K43" s="393" t="s">
        <v>435</v>
      </c>
      <c r="L43" s="395"/>
      <c r="M43" s="277">
        <f>M36+M37+M38+M39+M40+M41+M42</f>
        <v>34500</v>
      </c>
      <c r="N43" s="276">
        <f t="shared" si="3"/>
        <v>6221.311475409836</v>
      </c>
    </row>
    <row r="45" spans="2:14" ht="15" customHeight="1" x14ac:dyDescent="0.25">
      <c r="B45" s="392" t="s">
        <v>644</v>
      </c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</row>
    <row r="46" spans="2:14" ht="15.75" thickBot="1" x14ac:dyDescent="0.3"/>
    <row r="47" spans="2:14" ht="16.5" thickTop="1" thickBot="1" x14ac:dyDescent="0.3">
      <c r="B47" s="271"/>
      <c r="C47" s="271"/>
      <c r="D47" s="271"/>
      <c r="E47" s="271"/>
      <c r="F47" s="271"/>
      <c r="G47" s="271"/>
      <c r="H47" s="271"/>
      <c r="I47" s="271"/>
      <c r="J47" s="271"/>
      <c r="K47" s="270"/>
      <c r="L47" s="270" t="s">
        <v>433</v>
      </c>
      <c r="M47" s="269">
        <f>M28+M43</f>
        <v>37900</v>
      </c>
      <c r="N47" s="268">
        <f>M47*22/122</f>
        <v>6834.4262295081971</v>
      </c>
    </row>
    <row r="48" spans="2:14" ht="15.75" thickTop="1" x14ac:dyDescent="0.25"/>
    <row r="49" spans="2:14" ht="15" customHeight="1" x14ac:dyDescent="0.25">
      <c r="B49" s="388" t="s">
        <v>643</v>
      </c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</row>
    <row r="52" spans="2:14" ht="15" customHeight="1" x14ac:dyDescent="0.25">
      <c r="J52" s="266" t="s">
        <v>431</v>
      </c>
      <c r="K52" s="384" t="s">
        <v>430</v>
      </c>
      <c r="L52" s="384"/>
      <c r="M52" s="384"/>
      <c r="N52" s="384"/>
    </row>
    <row r="54" spans="2:14" ht="53.25" customHeight="1" x14ac:dyDescent="0.25">
      <c r="B54" s="267"/>
      <c r="C54" s="385" t="s">
        <v>429</v>
      </c>
      <c r="D54" s="385"/>
      <c r="E54" s="385"/>
      <c r="F54" s="385"/>
      <c r="G54" s="385"/>
      <c r="H54" s="385"/>
      <c r="I54" s="385"/>
      <c r="J54" s="385"/>
      <c r="K54" s="385"/>
      <c r="L54" s="385"/>
      <c r="M54" s="385"/>
    </row>
    <row r="59" spans="2:14" ht="24" customHeight="1" x14ac:dyDescent="0.25">
      <c r="B59" s="386" t="s">
        <v>597</v>
      </c>
      <c r="C59" s="386"/>
      <c r="J59" s="266" t="s">
        <v>427</v>
      </c>
      <c r="K59" s="384" t="s">
        <v>425</v>
      </c>
      <c r="L59" s="384"/>
      <c r="M59" s="384"/>
      <c r="N59" s="384"/>
    </row>
    <row r="61" spans="2:14" ht="26.25" customHeight="1" x14ac:dyDescent="0.25">
      <c r="J61" s="266" t="s">
        <v>426</v>
      </c>
      <c r="K61" s="384" t="s">
        <v>425</v>
      </c>
      <c r="L61" s="384"/>
      <c r="M61" s="384"/>
      <c r="N61" s="384"/>
    </row>
    <row r="63" spans="2:14" x14ac:dyDescent="0.25">
      <c r="B63" s="387" t="s">
        <v>424</v>
      </c>
      <c r="C63" s="387"/>
    </row>
    <row r="64" spans="2:14" x14ac:dyDescent="0.25">
      <c r="B64" s="381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383"/>
    </row>
  </sheetData>
  <mergeCells count="41">
    <mergeCell ref="J28:L28"/>
    <mergeCell ref="B30:N30"/>
    <mergeCell ref="B7:N7"/>
    <mergeCell ref="B11:N11"/>
    <mergeCell ref="D26:H26"/>
    <mergeCell ref="B12:N12"/>
    <mergeCell ref="D19:H19"/>
    <mergeCell ref="D20:H20"/>
    <mergeCell ref="D25:H25"/>
    <mergeCell ref="D22:H22"/>
    <mergeCell ref="D23:H23"/>
    <mergeCell ref="D24:H24"/>
    <mergeCell ref="D21:H21"/>
    <mergeCell ref="M1:N3"/>
    <mergeCell ref="B2:J2"/>
    <mergeCell ref="C4:N4"/>
    <mergeCell ref="B6:G6"/>
    <mergeCell ref="H6:N6"/>
    <mergeCell ref="B1:J1"/>
    <mergeCell ref="D41:I41"/>
    <mergeCell ref="D42:I42"/>
    <mergeCell ref="B43:I43"/>
    <mergeCell ref="D27:H27"/>
    <mergeCell ref="D40:I40"/>
    <mergeCell ref="B28:H28"/>
    <mergeCell ref="D35:I35"/>
    <mergeCell ref="D36:I36"/>
    <mergeCell ref="D37:I37"/>
    <mergeCell ref="D38:I38"/>
    <mergeCell ref="D39:I39"/>
    <mergeCell ref="D34:I34"/>
    <mergeCell ref="B64:N64"/>
    <mergeCell ref="K43:L43"/>
    <mergeCell ref="B45:N45"/>
    <mergeCell ref="B49:N49"/>
    <mergeCell ref="K52:N52"/>
    <mergeCell ref="C54:M54"/>
    <mergeCell ref="B59:C59"/>
    <mergeCell ref="K59:N59"/>
    <mergeCell ref="K61:N61"/>
    <mergeCell ref="B63:C63"/>
  </mergeCells>
  <pageMargins left="0.7" right="0.7" top="0.75" bottom="0.75" header="0.3" footer="0.3"/>
  <pageSetup paperSize="256" scale="69" orientation="portrait" horizontalDpi="203" verticalDpi="20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6C8E-F812-43DD-8D9E-3C3A05CBD99C}">
  <sheetPr codeName="Лист17">
    <pageSetUpPr fitToPage="1"/>
  </sheetPr>
  <dimension ref="B1:N56"/>
  <sheetViews>
    <sheetView workbookViewId="0">
      <selection sqref="A1:XFD104857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672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671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670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467</v>
      </c>
      <c r="E21" s="390"/>
      <c r="F21" s="390"/>
      <c r="G21" s="390"/>
      <c r="H21" s="391"/>
      <c r="I21" s="291">
        <v>1</v>
      </c>
      <c r="J21" s="300">
        <v>500</v>
      </c>
      <c r="K21" s="289">
        <v>1</v>
      </c>
      <c r="L21" s="279" t="s">
        <v>11</v>
      </c>
      <c r="M21" s="277">
        <f>J21*I21</f>
        <v>500</v>
      </c>
      <c r="N21" s="276">
        <f>M21*22/122</f>
        <v>90.163934426229503</v>
      </c>
    </row>
    <row r="22" spans="2:14" s="275" customFormat="1" ht="13.5" customHeight="1" x14ac:dyDescent="0.25">
      <c r="B22" s="281" t="s">
        <v>446</v>
      </c>
      <c r="C22" s="292"/>
      <c r="D22" s="389" t="s">
        <v>465</v>
      </c>
      <c r="E22" s="390"/>
      <c r="F22" s="390"/>
      <c r="G22" s="390"/>
      <c r="H22" s="391"/>
      <c r="I22" s="291">
        <v>1</v>
      </c>
      <c r="J22" s="300">
        <v>200</v>
      </c>
      <c r="K22" s="289">
        <v>1</v>
      </c>
      <c r="L22" s="279" t="s">
        <v>11</v>
      </c>
      <c r="M22" s="277">
        <f>J22*I22</f>
        <v>200</v>
      </c>
      <c r="N22" s="276">
        <f>M22*22/122</f>
        <v>36.065573770491802</v>
      </c>
    </row>
    <row r="23" spans="2:14" ht="12.75" customHeight="1" x14ac:dyDescent="0.25">
      <c r="B23" s="396" t="s">
        <v>464</v>
      </c>
      <c r="C23" s="396"/>
      <c r="D23" s="396"/>
      <c r="E23" s="396"/>
      <c r="F23" s="396"/>
      <c r="G23" s="396"/>
      <c r="H23" s="396"/>
      <c r="I23" s="299">
        <v>2</v>
      </c>
      <c r="J23" s="393" t="s">
        <v>435</v>
      </c>
      <c r="K23" s="393"/>
      <c r="L23" s="393"/>
      <c r="M23" s="277">
        <f>M21+M22</f>
        <v>700</v>
      </c>
      <c r="N23" s="276">
        <f>M23*22/122</f>
        <v>126.22950819672131</v>
      </c>
    </row>
    <row r="24" spans="2:14" ht="11.25" customHeight="1" x14ac:dyDescent="0.25"/>
    <row r="25" spans="2:14" ht="12.75" customHeight="1" x14ac:dyDescent="0.25">
      <c r="B25" s="392" t="s">
        <v>669</v>
      </c>
      <c r="C25" s="392"/>
      <c r="D25" s="392"/>
      <c r="E25" s="392"/>
      <c r="F25" s="392"/>
      <c r="G25" s="392"/>
      <c r="H25" s="392"/>
      <c r="I25" s="392"/>
      <c r="J25" s="392"/>
      <c r="K25" s="392"/>
      <c r="L25" s="392"/>
      <c r="M25" s="392"/>
      <c r="N25" s="392"/>
    </row>
    <row r="26" spans="2:14" ht="11.25" customHeight="1" x14ac:dyDescent="0.25"/>
    <row r="27" spans="2:14" ht="15" customHeight="1" x14ac:dyDescent="0.25">
      <c r="C27" s="287" t="s">
        <v>668</v>
      </c>
    </row>
    <row r="28" spans="2:14" ht="11.25" customHeight="1" thickBot="1" x14ac:dyDescent="0.3">
      <c r="B28" s="286"/>
      <c r="C28" s="285"/>
      <c r="D28" s="285"/>
      <c r="H28" s="285"/>
      <c r="I28" s="285"/>
      <c r="M28" s="284"/>
      <c r="N28" s="284"/>
    </row>
    <row r="29" spans="2:14" ht="12.75" customHeight="1" thickBot="1" x14ac:dyDescent="0.3">
      <c r="B29" s="282" t="s">
        <v>461</v>
      </c>
      <c r="C29" s="283" t="s">
        <v>460</v>
      </c>
      <c r="D29" s="511" t="s">
        <v>459</v>
      </c>
      <c r="E29" s="511"/>
      <c r="F29" s="511"/>
      <c r="G29" s="511"/>
      <c r="H29" s="511"/>
      <c r="I29" s="511"/>
      <c r="J29" s="282" t="s">
        <v>458</v>
      </c>
      <c r="K29" s="282" t="s">
        <v>457</v>
      </c>
      <c r="L29" s="282" t="s">
        <v>456</v>
      </c>
      <c r="M29" s="282" t="s">
        <v>455</v>
      </c>
      <c r="N29" s="282" t="s">
        <v>454</v>
      </c>
    </row>
    <row r="30" spans="2:14" ht="12.75" customHeight="1" thickBot="1" x14ac:dyDescent="0.3">
      <c r="B30" s="282" t="s">
        <v>449</v>
      </c>
      <c r="C30" s="283" t="s">
        <v>446</v>
      </c>
      <c r="D30" s="511" t="s">
        <v>443</v>
      </c>
      <c r="E30" s="511"/>
      <c r="F30" s="511"/>
      <c r="G30" s="511"/>
      <c r="H30" s="511"/>
      <c r="I30" s="511"/>
      <c r="J30" s="282" t="s">
        <v>440</v>
      </c>
      <c r="K30" s="282" t="s">
        <v>453</v>
      </c>
      <c r="L30" s="282" t="s">
        <v>452</v>
      </c>
      <c r="M30" s="282" t="s">
        <v>451</v>
      </c>
      <c r="N30" s="282" t="s">
        <v>450</v>
      </c>
    </row>
    <row r="31" spans="2:14" s="275" customFormat="1" ht="13.5" customHeight="1" x14ac:dyDescent="0.25">
      <c r="B31" s="281" t="s">
        <v>449</v>
      </c>
      <c r="C31" s="292" t="s">
        <v>537</v>
      </c>
      <c r="D31" s="512" t="s">
        <v>536</v>
      </c>
      <c r="E31" s="512"/>
      <c r="F31" s="512"/>
      <c r="G31" s="512"/>
      <c r="H31" s="512"/>
      <c r="I31" s="512"/>
      <c r="J31" s="291">
        <v>1</v>
      </c>
      <c r="K31" s="279" t="s">
        <v>437</v>
      </c>
      <c r="L31" s="278">
        <v>400</v>
      </c>
      <c r="M31" s="277">
        <f>L31*J31</f>
        <v>400</v>
      </c>
      <c r="N31" s="276">
        <f>M31*22/122</f>
        <v>72.131147540983605</v>
      </c>
    </row>
    <row r="32" spans="2:14" s="275" customFormat="1" ht="24" customHeight="1" x14ac:dyDescent="0.25">
      <c r="B32" s="281" t="s">
        <v>446</v>
      </c>
      <c r="C32" s="292" t="s">
        <v>605</v>
      </c>
      <c r="D32" s="512" t="s">
        <v>604</v>
      </c>
      <c r="E32" s="512"/>
      <c r="F32" s="512"/>
      <c r="G32" s="512"/>
      <c r="H32" s="512"/>
      <c r="I32" s="512"/>
      <c r="J32" s="291">
        <v>1</v>
      </c>
      <c r="K32" s="279" t="s">
        <v>437</v>
      </c>
      <c r="L32" s="278">
        <v>350</v>
      </c>
      <c r="M32" s="277">
        <f>L32*J32</f>
        <v>350</v>
      </c>
      <c r="N32" s="276">
        <f>M32*22/122</f>
        <v>63.114754098360656</v>
      </c>
    </row>
    <row r="33" spans="2:14" s="275" customFormat="1" ht="13.5" customHeight="1" x14ac:dyDescent="0.25">
      <c r="B33" s="281" t="s">
        <v>443</v>
      </c>
      <c r="C33" s="292">
        <v>3705304</v>
      </c>
      <c r="D33" s="512" t="s">
        <v>530</v>
      </c>
      <c r="E33" s="512"/>
      <c r="F33" s="512"/>
      <c r="G33" s="512"/>
      <c r="H33" s="512"/>
      <c r="I33" s="512"/>
      <c r="J33" s="291">
        <v>1</v>
      </c>
      <c r="K33" s="279" t="s">
        <v>437</v>
      </c>
      <c r="L33" s="278">
        <v>1150</v>
      </c>
      <c r="M33" s="277">
        <f>L33*J33</f>
        <v>1150</v>
      </c>
      <c r="N33" s="276">
        <f>M33*22/122</f>
        <v>207.37704918032787</v>
      </c>
    </row>
    <row r="34" spans="2:14" ht="12.75" customHeight="1" x14ac:dyDescent="0.25">
      <c r="B34" s="396" t="s">
        <v>436</v>
      </c>
      <c r="C34" s="396"/>
      <c r="D34" s="396"/>
      <c r="E34" s="396"/>
      <c r="F34" s="396"/>
      <c r="G34" s="396"/>
      <c r="H34" s="396"/>
      <c r="I34" s="396"/>
      <c r="J34" s="297">
        <v>3</v>
      </c>
      <c r="K34" s="393" t="s">
        <v>435</v>
      </c>
      <c r="L34" s="393"/>
      <c r="M34" s="277">
        <f>M31+M32+M33</f>
        <v>1900</v>
      </c>
      <c r="N34" s="276">
        <f>M34*22/122</f>
        <v>342.62295081967216</v>
      </c>
    </row>
    <row r="35" spans="2:14" ht="10.5" customHeight="1" x14ac:dyDescent="0.25"/>
    <row r="36" spans="2:14" ht="12.75" customHeight="1" x14ac:dyDescent="0.25">
      <c r="B36" s="392" t="s">
        <v>667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</row>
    <row r="37" spans="2:14" ht="11.25" customHeight="1" thickBot="1" x14ac:dyDescent="0.3"/>
    <row r="38" spans="2:14" ht="12.75" customHeight="1" thickTop="1" thickBot="1" x14ac:dyDescent="0.3">
      <c r="B38" s="271"/>
      <c r="C38" s="271"/>
      <c r="D38" s="271"/>
      <c r="E38" s="271"/>
      <c r="F38" s="271"/>
      <c r="G38" s="271"/>
      <c r="H38" s="271"/>
      <c r="I38" s="271"/>
      <c r="J38" s="271"/>
      <c r="K38" s="270"/>
      <c r="L38" s="270" t="s">
        <v>433</v>
      </c>
      <c r="M38" s="269">
        <f>M23+M34</f>
        <v>2600</v>
      </c>
      <c r="N38" s="268">
        <f>M38*22/122</f>
        <v>468.85245901639342</v>
      </c>
    </row>
    <row r="39" spans="2:14" ht="5.25" customHeight="1" thickTop="1" x14ac:dyDescent="0.25"/>
    <row r="40" spans="2:14" ht="12.75" customHeight="1" x14ac:dyDescent="0.25">
      <c r="B40" s="388" t="s">
        <v>666</v>
      </c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</row>
    <row r="41" spans="2:14" ht="11.25" customHeight="1" x14ac:dyDescent="0.25"/>
    <row r="42" spans="2:14" ht="11.25" customHeight="1" x14ac:dyDescent="0.25"/>
    <row r="43" spans="2:14" ht="12.75" customHeight="1" x14ac:dyDescent="0.25">
      <c r="J43" s="266" t="s">
        <v>431</v>
      </c>
      <c r="K43" s="384" t="s">
        <v>430</v>
      </c>
      <c r="L43" s="384"/>
      <c r="M43" s="384"/>
      <c r="N43" s="384"/>
    </row>
    <row r="44" spans="2:14" ht="6" customHeight="1" x14ac:dyDescent="0.25"/>
    <row r="45" spans="2:14" ht="48.75" customHeight="1" x14ac:dyDescent="0.25">
      <c r="B45" s="267"/>
      <c r="C45" s="385" t="s">
        <v>429</v>
      </c>
      <c r="D45" s="385"/>
      <c r="E45" s="385"/>
      <c r="F45" s="385"/>
      <c r="G45" s="385"/>
      <c r="H45" s="385"/>
      <c r="I45" s="385"/>
      <c r="J45" s="385"/>
      <c r="K45" s="385"/>
      <c r="L45" s="385"/>
      <c r="M45" s="385"/>
    </row>
    <row r="46" spans="2:14" ht="6" customHeight="1" x14ac:dyDescent="0.25"/>
    <row r="47" spans="2:14" ht="1.1499999999999999" customHeight="1" x14ac:dyDescent="0.25"/>
    <row r="48" spans="2:14" ht="3.75" customHeight="1" x14ac:dyDescent="0.25"/>
    <row r="49" spans="2:14" ht="11.25" customHeight="1" x14ac:dyDescent="0.25"/>
    <row r="50" spans="2:14" ht="24.75" customHeight="1" x14ac:dyDescent="0.25">
      <c r="B50" s="386" t="s">
        <v>665</v>
      </c>
      <c r="C50" s="386"/>
      <c r="J50" s="266" t="s">
        <v>427</v>
      </c>
      <c r="K50" s="384" t="s">
        <v>425</v>
      </c>
      <c r="L50" s="384"/>
      <c r="M50" s="384"/>
      <c r="N50" s="384"/>
    </row>
    <row r="51" spans="2:14" ht="11.25" customHeight="1" x14ac:dyDescent="0.25"/>
    <row r="52" spans="2:14" ht="24.75" customHeight="1" x14ac:dyDescent="0.25">
      <c r="J52" s="266" t="s">
        <v>426</v>
      </c>
      <c r="K52" s="384" t="s">
        <v>425</v>
      </c>
      <c r="L52" s="384"/>
      <c r="M52" s="384"/>
      <c r="N52" s="384"/>
    </row>
    <row r="53" spans="2:14" ht="12.75" customHeight="1" x14ac:dyDescent="0.25"/>
    <row r="54" spans="2:14" ht="12.75" customHeight="1" x14ac:dyDescent="0.25">
      <c r="B54" s="509" t="s">
        <v>424</v>
      </c>
      <c r="C54" s="509"/>
    </row>
    <row r="55" spans="2:14" ht="22.15" customHeight="1" x14ac:dyDescent="0.25">
      <c r="B55" s="510"/>
      <c r="C55" s="510"/>
      <c r="D55" s="510"/>
      <c r="E55" s="510"/>
      <c r="F55" s="510"/>
      <c r="G55" s="510"/>
      <c r="H55" s="510"/>
      <c r="I55" s="510"/>
      <c r="J55" s="510"/>
      <c r="K55" s="510"/>
      <c r="L55" s="510"/>
      <c r="M55" s="510"/>
      <c r="N55" s="510"/>
    </row>
    <row r="56" spans="2:14" ht="11.25" customHeight="1" x14ac:dyDescent="0.25"/>
  </sheetData>
  <mergeCells count="32">
    <mergeCell ref="B54:C54"/>
    <mergeCell ref="B55:N55"/>
    <mergeCell ref="B25:N25"/>
    <mergeCell ref="D29:I29"/>
    <mergeCell ref="D30:I30"/>
    <mergeCell ref="D31:I31"/>
    <mergeCell ref="B34:I34"/>
    <mergeCell ref="K34:L34"/>
    <mergeCell ref="K50:N50"/>
    <mergeCell ref="D32:I32"/>
    <mergeCell ref="D33:I33"/>
    <mergeCell ref="B23:H23"/>
    <mergeCell ref="J23:L23"/>
    <mergeCell ref="K52:N52"/>
    <mergeCell ref="B36:N36"/>
    <mergeCell ref="B40:N40"/>
    <mergeCell ref="K43:N43"/>
    <mergeCell ref="C45:M45"/>
    <mergeCell ref="B50:C50"/>
    <mergeCell ref="D22:H22"/>
    <mergeCell ref="B1:J1"/>
    <mergeCell ref="M1:N3"/>
    <mergeCell ref="B2:J2"/>
    <mergeCell ref="C4:N4"/>
    <mergeCell ref="B6:G6"/>
    <mergeCell ref="H6:N6"/>
    <mergeCell ref="D21:H21"/>
    <mergeCell ref="B7:N7"/>
    <mergeCell ref="B11:N11"/>
    <mergeCell ref="B12:N12"/>
    <mergeCell ref="D19:H19"/>
    <mergeCell ref="D20:H20"/>
  </mergeCells>
  <pageMargins left="0.70866141732283472" right="0.70866141732283472" top="0.74803149606299213" bottom="0.74803149606299213" header="0.31496062992125984" footer="0.31496062992125984"/>
  <pageSetup paperSize="9" scale="7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8023-AAF9-42F5-98DB-C938DB98C083}">
  <sheetPr codeName="Лист18">
    <pageSetUpPr fitToPage="1"/>
  </sheetPr>
  <dimension ref="B1:N79"/>
  <sheetViews>
    <sheetView workbookViewId="0">
      <selection activeCell="B7" sqref="B7:N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709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708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707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706</v>
      </c>
      <c r="E21" s="390"/>
      <c r="F21" s="390"/>
      <c r="G21" s="390"/>
      <c r="H21" s="391"/>
      <c r="I21" s="291">
        <v>1</v>
      </c>
      <c r="J21" s="300">
        <v>300</v>
      </c>
      <c r="K21" s="289">
        <v>1</v>
      </c>
      <c r="L21" s="279" t="s">
        <v>11</v>
      </c>
      <c r="M21" s="277">
        <f t="shared" ref="M21:M35" si="0">J21*I21</f>
        <v>300</v>
      </c>
      <c r="N21" s="276">
        <f t="shared" ref="N21:N36" si="1">M21*22/122</f>
        <v>54.098360655737707</v>
      </c>
    </row>
    <row r="22" spans="2:14" s="275" customFormat="1" ht="13.5" customHeight="1" x14ac:dyDescent="0.25">
      <c r="B22" s="281" t="s">
        <v>446</v>
      </c>
      <c r="C22" s="292"/>
      <c r="D22" s="389" t="s">
        <v>625</v>
      </c>
      <c r="E22" s="390"/>
      <c r="F22" s="390"/>
      <c r="G22" s="390"/>
      <c r="H22" s="391"/>
      <c r="I22" s="291">
        <v>1</v>
      </c>
      <c r="J22" s="300">
        <v>700</v>
      </c>
      <c r="K22" s="289">
        <v>1</v>
      </c>
      <c r="L22" s="279" t="s">
        <v>11</v>
      </c>
      <c r="M22" s="277">
        <f t="shared" si="0"/>
        <v>700</v>
      </c>
      <c r="N22" s="276">
        <f t="shared" si="1"/>
        <v>126.22950819672131</v>
      </c>
    </row>
    <row r="23" spans="2:14" s="275" customFormat="1" ht="12" customHeight="1" x14ac:dyDescent="0.25">
      <c r="B23" s="281" t="s">
        <v>443</v>
      </c>
      <c r="C23" s="292"/>
      <c r="D23" s="389" t="s">
        <v>705</v>
      </c>
      <c r="E23" s="390"/>
      <c r="F23" s="390"/>
      <c r="G23" s="390"/>
      <c r="H23" s="391"/>
      <c r="I23" s="291">
        <v>1</v>
      </c>
      <c r="J23" s="300">
        <v>600</v>
      </c>
      <c r="K23" s="289">
        <v>1</v>
      </c>
      <c r="L23" s="279" t="s">
        <v>11</v>
      </c>
      <c r="M23" s="277">
        <f t="shared" si="0"/>
        <v>600</v>
      </c>
      <c r="N23" s="276">
        <f t="shared" si="1"/>
        <v>108.19672131147541</v>
      </c>
    </row>
    <row r="24" spans="2:14" s="275" customFormat="1" ht="14.25" customHeight="1" x14ac:dyDescent="0.25">
      <c r="B24" s="281" t="s">
        <v>440</v>
      </c>
      <c r="C24" s="292"/>
      <c r="D24" s="389" t="s">
        <v>704</v>
      </c>
      <c r="E24" s="390"/>
      <c r="F24" s="390"/>
      <c r="G24" s="390"/>
      <c r="H24" s="391"/>
      <c r="I24" s="291">
        <v>1</v>
      </c>
      <c r="J24" s="300">
        <v>400</v>
      </c>
      <c r="K24" s="289">
        <v>1</v>
      </c>
      <c r="L24" s="279" t="s">
        <v>11</v>
      </c>
      <c r="M24" s="277">
        <f t="shared" si="0"/>
        <v>400</v>
      </c>
      <c r="N24" s="276">
        <f t="shared" si="1"/>
        <v>72.131147540983605</v>
      </c>
    </row>
    <row r="25" spans="2:14" s="275" customFormat="1" ht="24.75" customHeight="1" x14ac:dyDescent="0.25">
      <c r="B25" s="281" t="s">
        <v>453</v>
      </c>
      <c r="C25" s="292"/>
      <c r="D25" s="389" t="s">
        <v>637</v>
      </c>
      <c r="E25" s="390"/>
      <c r="F25" s="390"/>
      <c r="G25" s="390"/>
      <c r="H25" s="391"/>
      <c r="I25" s="291">
        <v>1</v>
      </c>
      <c r="J25" s="300">
        <v>800</v>
      </c>
      <c r="K25" s="289">
        <v>1</v>
      </c>
      <c r="L25" s="279" t="s">
        <v>11</v>
      </c>
      <c r="M25" s="277">
        <f t="shared" si="0"/>
        <v>800</v>
      </c>
      <c r="N25" s="276">
        <f t="shared" si="1"/>
        <v>144.26229508196721</v>
      </c>
    </row>
    <row r="26" spans="2:14" s="275" customFormat="1" ht="14.25" customHeight="1" x14ac:dyDescent="0.25">
      <c r="B26" s="281" t="s">
        <v>452</v>
      </c>
      <c r="C26" s="292"/>
      <c r="D26" s="389" t="s">
        <v>510</v>
      </c>
      <c r="E26" s="390"/>
      <c r="F26" s="390"/>
      <c r="G26" s="390"/>
      <c r="H26" s="391"/>
      <c r="I26" s="291">
        <v>1</v>
      </c>
      <c r="J26" s="300">
        <v>300</v>
      </c>
      <c r="K26" s="289">
        <v>1</v>
      </c>
      <c r="L26" s="279" t="s">
        <v>11</v>
      </c>
      <c r="M26" s="277">
        <f t="shared" si="0"/>
        <v>300</v>
      </c>
      <c r="N26" s="276">
        <f t="shared" si="1"/>
        <v>54.098360655737707</v>
      </c>
    </row>
    <row r="27" spans="2:14" s="275" customFormat="1" ht="24" customHeight="1" x14ac:dyDescent="0.25">
      <c r="B27" s="281" t="s">
        <v>451</v>
      </c>
      <c r="C27" s="292"/>
      <c r="D27" s="389" t="s">
        <v>703</v>
      </c>
      <c r="E27" s="390"/>
      <c r="F27" s="390"/>
      <c r="G27" s="390"/>
      <c r="H27" s="391"/>
      <c r="I27" s="291">
        <v>2</v>
      </c>
      <c r="J27" s="300">
        <v>400</v>
      </c>
      <c r="K27" s="289">
        <v>1</v>
      </c>
      <c r="L27" s="279" t="s">
        <v>11</v>
      </c>
      <c r="M27" s="277">
        <f t="shared" si="0"/>
        <v>800</v>
      </c>
      <c r="N27" s="276">
        <f t="shared" si="1"/>
        <v>144.26229508196721</v>
      </c>
    </row>
    <row r="28" spans="2:14" s="275" customFormat="1" ht="14.25" customHeight="1" x14ac:dyDescent="0.25">
      <c r="B28" s="281" t="s">
        <v>450</v>
      </c>
      <c r="C28" s="292"/>
      <c r="D28" s="389" t="s">
        <v>702</v>
      </c>
      <c r="E28" s="390"/>
      <c r="F28" s="390"/>
      <c r="G28" s="390"/>
      <c r="H28" s="391"/>
      <c r="I28" s="291">
        <v>1</v>
      </c>
      <c r="J28" s="300">
        <v>600</v>
      </c>
      <c r="K28" s="289">
        <v>1</v>
      </c>
      <c r="L28" s="279" t="s">
        <v>11</v>
      </c>
      <c r="M28" s="277">
        <f t="shared" si="0"/>
        <v>600</v>
      </c>
      <c r="N28" s="276">
        <f t="shared" si="1"/>
        <v>108.19672131147541</v>
      </c>
    </row>
    <row r="29" spans="2:14" s="275" customFormat="1" ht="14.25" customHeight="1" x14ac:dyDescent="0.25">
      <c r="B29" s="281" t="s">
        <v>468</v>
      </c>
      <c r="C29" s="292"/>
      <c r="D29" s="389" t="s">
        <v>592</v>
      </c>
      <c r="E29" s="390"/>
      <c r="F29" s="390"/>
      <c r="G29" s="390"/>
      <c r="H29" s="391"/>
      <c r="I29" s="291">
        <v>1</v>
      </c>
      <c r="J29" s="300">
        <v>1000</v>
      </c>
      <c r="K29" s="289">
        <v>1</v>
      </c>
      <c r="L29" s="279" t="s">
        <v>11</v>
      </c>
      <c r="M29" s="277">
        <f t="shared" si="0"/>
        <v>1000</v>
      </c>
      <c r="N29" s="276">
        <f t="shared" si="1"/>
        <v>180.32786885245901</v>
      </c>
    </row>
    <row r="30" spans="2:14" s="275" customFormat="1" ht="14.25" customHeight="1" x14ac:dyDescent="0.25">
      <c r="B30" s="281" t="s">
        <v>541</v>
      </c>
      <c r="C30" s="292"/>
      <c r="D30" s="389" t="s">
        <v>701</v>
      </c>
      <c r="E30" s="390"/>
      <c r="F30" s="390"/>
      <c r="G30" s="390"/>
      <c r="H30" s="391"/>
      <c r="I30" s="291">
        <v>2</v>
      </c>
      <c r="J30" s="300">
        <v>600</v>
      </c>
      <c r="K30" s="289">
        <v>1</v>
      </c>
      <c r="L30" s="279" t="s">
        <v>11</v>
      </c>
      <c r="M30" s="277">
        <f t="shared" si="0"/>
        <v>1200</v>
      </c>
      <c r="N30" s="276">
        <f t="shared" si="1"/>
        <v>216.39344262295083</v>
      </c>
    </row>
    <row r="31" spans="2:14" s="275" customFormat="1" ht="14.25" customHeight="1" x14ac:dyDescent="0.25">
      <c r="B31" s="281" t="s">
        <v>538</v>
      </c>
      <c r="C31" s="292"/>
      <c r="D31" s="389" t="s">
        <v>700</v>
      </c>
      <c r="E31" s="390"/>
      <c r="F31" s="390"/>
      <c r="G31" s="390"/>
      <c r="H31" s="391"/>
      <c r="I31" s="291">
        <v>1</v>
      </c>
      <c r="J31" s="300">
        <v>15000</v>
      </c>
      <c r="K31" s="289">
        <v>1</v>
      </c>
      <c r="L31" s="279" t="s">
        <v>11</v>
      </c>
      <c r="M31" s="277">
        <f t="shared" si="0"/>
        <v>15000</v>
      </c>
      <c r="N31" s="276">
        <f t="shared" si="1"/>
        <v>2704.9180327868853</v>
      </c>
    </row>
    <row r="32" spans="2:14" s="275" customFormat="1" ht="26.25" customHeight="1" x14ac:dyDescent="0.25">
      <c r="B32" s="281" t="s">
        <v>535</v>
      </c>
      <c r="C32" s="292"/>
      <c r="D32" s="389" t="s">
        <v>699</v>
      </c>
      <c r="E32" s="390"/>
      <c r="F32" s="390"/>
      <c r="G32" s="390"/>
      <c r="H32" s="391"/>
      <c r="I32" s="291">
        <v>1</v>
      </c>
      <c r="J32" s="300">
        <v>1500</v>
      </c>
      <c r="K32" s="289">
        <v>1</v>
      </c>
      <c r="L32" s="279" t="s">
        <v>11</v>
      </c>
      <c r="M32" s="277">
        <f t="shared" si="0"/>
        <v>1500</v>
      </c>
      <c r="N32" s="276">
        <f t="shared" si="1"/>
        <v>270.49180327868851</v>
      </c>
    </row>
    <row r="33" spans="2:14" s="275" customFormat="1" ht="14.25" customHeight="1" x14ac:dyDescent="0.25">
      <c r="B33" s="281" t="s">
        <v>532</v>
      </c>
      <c r="C33" s="292"/>
      <c r="D33" s="389" t="s">
        <v>698</v>
      </c>
      <c r="E33" s="390"/>
      <c r="F33" s="390"/>
      <c r="G33" s="390"/>
      <c r="H33" s="391"/>
      <c r="I33" s="291">
        <v>1</v>
      </c>
      <c r="J33" s="300">
        <v>700</v>
      </c>
      <c r="K33" s="289">
        <v>1</v>
      </c>
      <c r="L33" s="279" t="s">
        <v>11</v>
      </c>
      <c r="M33" s="277">
        <f t="shared" si="0"/>
        <v>700</v>
      </c>
      <c r="N33" s="276">
        <f t="shared" si="1"/>
        <v>126.22950819672131</v>
      </c>
    </row>
    <row r="34" spans="2:14" s="275" customFormat="1" ht="14.25" customHeight="1" x14ac:dyDescent="0.25">
      <c r="B34" s="281" t="s">
        <v>529</v>
      </c>
      <c r="C34" s="292"/>
      <c r="D34" s="389" t="s">
        <v>697</v>
      </c>
      <c r="E34" s="390"/>
      <c r="F34" s="390"/>
      <c r="G34" s="390"/>
      <c r="H34" s="391"/>
      <c r="I34" s="291">
        <v>1</v>
      </c>
      <c r="J34" s="300">
        <v>4000</v>
      </c>
      <c r="K34" s="289">
        <v>1</v>
      </c>
      <c r="L34" s="279" t="s">
        <v>11</v>
      </c>
      <c r="M34" s="277">
        <f t="shared" si="0"/>
        <v>4000</v>
      </c>
      <c r="N34" s="276">
        <f t="shared" si="1"/>
        <v>721.31147540983602</v>
      </c>
    </row>
    <row r="35" spans="2:14" s="275" customFormat="1" ht="12" customHeight="1" x14ac:dyDescent="0.25">
      <c r="B35" s="281" t="s">
        <v>526</v>
      </c>
      <c r="C35" s="292"/>
      <c r="D35" s="389" t="s">
        <v>696</v>
      </c>
      <c r="E35" s="390"/>
      <c r="F35" s="390"/>
      <c r="G35" s="390"/>
      <c r="H35" s="391"/>
      <c r="I35" s="291">
        <v>1</v>
      </c>
      <c r="J35" s="300">
        <v>600</v>
      </c>
      <c r="K35" s="289">
        <v>1</v>
      </c>
      <c r="L35" s="279" t="s">
        <v>11</v>
      </c>
      <c r="M35" s="277">
        <f t="shared" si="0"/>
        <v>600</v>
      </c>
      <c r="N35" s="276">
        <f t="shared" si="1"/>
        <v>108.19672131147541</v>
      </c>
    </row>
    <row r="36" spans="2:14" ht="12.75" customHeight="1" x14ac:dyDescent="0.25">
      <c r="B36" s="396" t="s">
        <v>464</v>
      </c>
      <c r="C36" s="396"/>
      <c r="D36" s="396"/>
      <c r="E36" s="396"/>
      <c r="F36" s="396"/>
      <c r="G36" s="396"/>
      <c r="H36" s="396"/>
      <c r="I36" s="299">
        <v>17</v>
      </c>
      <c r="J36" s="393" t="s">
        <v>435</v>
      </c>
      <c r="K36" s="393"/>
      <c r="L36" s="393"/>
      <c r="M36" s="277">
        <f>M21+M22+M23+M24+M25+M26+M27+M28+M29+M30+M31+M32+M33+M34+M35</f>
        <v>28500</v>
      </c>
      <c r="N36" s="276">
        <f t="shared" si="1"/>
        <v>5139.3442622950815</v>
      </c>
    </row>
    <row r="37" spans="2:14" ht="11.25" customHeight="1" x14ac:dyDescent="0.25"/>
    <row r="38" spans="2:14" ht="12.75" customHeight="1" x14ac:dyDescent="0.25">
      <c r="B38" s="392" t="s">
        <v>695</v>
      </c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</row>
    <row r="39" spans="2:14" ht="11.25" customHeight="1" x14ac:dyDescent="0.25"/>
    <row r="40" spans="2:14" ht="15" customHeight="1" x14ac:dyDescent="0.25">
      <c r="C40" s="287" t="s">
        <v>694</v>
      </c>
    </row>
    <row r="41" spans="2:14" ht="11.25" customHeight="1" thickBot="1" x14ac:dyDescent="0.3">
      <c r="B41" s="286"/>
      <c r="C41" s="285"/>
      <c r="D41" s="285"/>
      <c r="H41" s="285"/>
      <c r="I41" s="285"/>
      <c r="M41" s="284"/>
      <c r="N41" s="284"/>
    </row>
    <row r="42" spans="2:14" ht="12.75" customHeight="1" thickBot="1" x14ac:dyDescent="0.3">
      <c r="B42" s="282" t="s">
        <v>461</v>
      </c>
      <c r="C42" s="283" t="s">
        <v>460</v>
      </c>
      <c r="D42" s="511" t="s">
        <v>459</v>
      </c>
      <c r="E42" s="511"/>
      <c r="F42" s="511"/>
      <c r="G42" s="511"/>
      <c r="H42" s="511"/>
      <c r="I42" s="511"/>
      <c r="J42" s="282" t="s">
        <v>458</v>
      </c>
      <c r="K42" s="282" t="s">
        <v>457</v>
      </c>
      <c r="L42" s="282" t="s">
        <v>456</v>
      </c>
      <c r="M42" s="282" t="s">
        <v>455</v>
      </c>
      <c r="N42" s="282" t="s">
        <v>454</v>
      </c>
    </row>
    <row r="43" spans="2:14" ht="12.75" customHeight="1" thickBot="1" x14ac:dyDescent="0.3">
      <c r="B43" s="282" t="s">
        <v>449</v>
      </c>
      <c r="C43" s="283" t="s">
        <v>446</v>
      </c>
      <c r="D43" s="511" t="s">
        <v>443</v>
      </c>
      <c r="E43" s="511"/>
      <c r="F43" s="511"/>
      <c r="G43" s="511"/>
      <c r="H43" s="511"/>
      <c r="I43" s="511"/>
      <c r="J43" s="282" t="s">
        <v>440</v>
      </c>
      <c r="K43" s="282" t="s">
        <v>453</v>
      </c>
      <c r="L43" s="282" t="s">
        <v>452</v>
      </c>
      <c r="M43" s="282" t="s">
        <v>451</v>
      </c>
      <c r="N43" s="282" t="s">
        <v>450</v>
      </c>
    </row>
    <row r="44" spans="2:14" s="275" customFormat="1" ht="27" customHeight="1" x14ac:dyDescent="0.25">
      <c r="B44" s="281" t="s">
        <v>449</v>
      </c>
      <c r="C44" s="292" t="s">
        <v>693</v>
      </c>
      <c r="D44" s="512" t="s">
        <v>692</v>
      </c>
      <c r="E44" s="512"/>
      <c r="F44" s="512"/>
      <c r="G44" s="512"/>
      <c r="H44" s="512"/>
      <c r="I44" s="512"/>
      <c r="J44" s="291">
        <v>1</v>
      </c>
      <c r="K44" s="279" t="s">
        <v>437</v>
      </c>
      <c r="L44" s="278">
        <v>4500</v>
      </c>
      <c r="M44" s="277">
        <f t="shared" ref="M44:M56" si="2">L44*J44</f>
        <v>4500</v>
      </c>
      <c r="N44" s="276">
        <f t="shared" ref="N44:N57" si="3">M44*22/122</f>
        <v>811.47540983606552</v>
      </c>
    </row>
    <row r="45" spans="2:14" s="275" customFormat="1" ht="24" customHeight="1" x14ac:dyDescent="0.25">
      <c r="B45" s="281" t="s">
        <v>446</v>
      </c>
      <c r="C45" s="292" t="s">
        <v>691</v>
      </c>
      <c r="D45" s="512" t="s">
        <v>690</v>
      </c>
      <c r="E45" s="512"/>
      <c r="F45" s="512"/>
      <c r="G45" s="512"/>
      <c r="H45" s="512"/>
      <c r="I45" s="512"/>
      <c r="J45" s="291">
        <v>1</v>
      </c>
      <c r="K45" s="279" t="s">
        <v>437</v>
      </c>
      <c r="L45" s="278">
        <v>1200</v>
      </c>
      <c r="M45" s="277">
        <f t="shared" si="2"/>
        <v>1200</v>
      </c>
      <c r="N45" s="276">
        <f t="shared" si="3"/>
        <v>216.39344262295083</v>
      </c>
    </row>
    <row r="46" spans="2:14" s="275" customFormat="1" ht="12.75" customHeight="1" x14ac:dyDescent="0.25">
      <c r="B46" s="281" t="s">
        <v>443</v>
      </c>
      <c r="C46" s="292" t="s">
        <v>689</v>
      </c>
      <c r="D46" s="512" t="s">
        <v>688</v>
      </c>
      <c r="E46" s="512"/>
      <c r="F46" s="512"/>
      <c r="G46" s="512"/>
      <c r="H46" s="512"/>
      <c r="I46" s="512"/>
      <c r="J46" s="291">
        <v>2</v>
      </c>
      <c r="K46" s="279" t="s">
        <v>437</v>
      </c>
      <c r="L46" s="278">
        <v>15</v>
      </c>
      <c r="M46" s="277">
        <f t="shared" si="2"/>
        <v>30</v>
      </c>
      <c r="N46" s="276">
        <f t="shared" si="3"/>
        <v>5.4098360655737707</v>
      </c>
    </row>
    <row r="47" spans="2:14" s="275" customFormat="1" ht="24" customHeight="1" x14ac:dyDescent="0.25">
      <c r="B47" s="281" t="s">
        <v>440</v>
      </c>
      <c r="C47" s="280" t="s">
        <v>687</v>
      </c>
      <c r="D47" s="512" t="s">
        <v>686</v>
      </c>
      <c r="E47" s="512"/>
      <c r="F47" s="512"/>
      <c r="G47" s="512"/>
      <c r="H47" s="512"/>
      <c r="I47" s="512"/>
      <c r="J47" s="291">
        <v>1</v>
      </c>
      <c r="K47" s="279" t="s">
        <v>520</v>
      </c>
      <c r="L47" s="278">
        <v>800</v>
      </c>
      <c r="M47" s="277">
        <f t="shared" si="2"/>
        <v>800</v>
      </c>
      <c r="N47" s="276">
        <f t="shared" si="3"/>
        <v>144.26229508196721</v>
      </c>
    </row>
    <row r="48" spans="2:14" s="275" customFormat="1" ht="25.5" customHeight="1" x14ac:dyDescent="0.25">
      <c r="B48" s="281" t="s">
        <v>453</v>
      </c>
      <c r="C48" s="292" t="s">
        <v>685</v>
      </c>
      <c r="D48" s="512" t="s">
        <v>684</v>
      </c>
      <c r="E48" s="512"/>
      <c r="F48" s="512"/>
      <c r="G48" s="512"/>
      <c r="H48" s="512"/>
      <c r="I48" s="512"/>
      <c r="J48" s="291">
        <v>1</v>
      </c>
      <c r="K48" s="279" t="s">
        <v>437</v>
      </c>
      <c r="L48" s="278">
        <v>4000</v>
      </c>
      <c r="M48" s="277">
        <f t="shared" si="2"/>
        <v>4000</v>
      </c>
      <c r="N48" s="276">
        <f t="shared" si="3"/>
        <v>721.31147540983602</v>
      </c>
    </row>
    <row r="49" spans="2:14" s="275" customFormat="1" ht="25.5" customHeight="1" x14ac:dyDescent="0.25">
      <c r="B49" s="281" t="s">
        <v>452</v>
      </c>
      <c r="C49" s="292">
        <v>2389901364</v>
      </c>
      <c r="D49" s="512" t="s">
        <v>683</v>
      </c>
      <c r="E49" s="512"/>
      <c r="F49" s="512"/>
      <c r="G49" s="512"/>
      <c r="H49" s="512"/>
      <c r="I49" s="512"/>
      <c r="J49" s="291">
        <v>1</v>
      </c>
      <c r="K49" s="279" t="s">
        <v>437</v>
      </c>
      <c r="L49" s="278">
        <v>70</v>
      </c>
      <c r="M49" s="277">
        <f t="shared" si="2"/>
        <v>70</v>
      </c>
      <c r="N49" s="276">
        <f t="shared" si="3"/>
        <v>12.622950819672131</v>
      </c>
    </row>
    <row r="50" spans="2:14" s="275" customFormat="1" ht="22.5" customHeight="1" x14ac:dyDescent="0.25">
      <c r="B50" s="281" t="s">
        <v>451</v>
      </c>
      <c r="C50" s="292">
        <v>614503</v>
      </c>
      <c r="D50" s="512" t="s">
        <v>682</v>
      </c>
      <c r="E50" s="512"/>
      <c r="F50" s="512"/>
      <c r="G50" s="512"/>
      <c r="H50" s="512"/>
      <c r="I50" s="512"/>
      <c r="J50" s="279">
        <v>1.5</v>
      </c>
      <c r="K50" s="279" t="s">
        <v>437</v>
      </c>
      <c r="L50" s="278">
        <v>140</v>
      </c>
      <c r="M50" s="277">
        <f t="shared" si="2"/>
        <v>210</v>
      </c>
      <c r="N50" s="276">
        <f t="shared" si="3"/>
        <v>37.868852459016395</v>
      </c>
    </row>
    <row r="51" spans="2:14" s="275" customFormat="1" ht="37.5" customHeight="1" x14ac:dyDescent="0.25">
      <c r="B51" s="281" t="s">
        <v>450</v>
      </c>
      <c r="C51" s="292"/>
      <c r="D51" s="512" t="s">
        <v>681</v>
      </c>
      <c r="E51" s="512"/>
      <c r="F51" s="512"/>
      <c r="G51" s="512"/>
      <c r="H51" s="512"/>
      <c r="I51" s="512"/>
      <c r="J51" s="291">
        <v>1</v>
      </c>
      <c r="K51" s="279" t="s">
        <v>437</v>
      </c>
      <c r="L51" s="278">
        <v>260</v>
      </c>
      <c r="M51" s="277">
        <f t="shared" si="2"/>
        <v>260</v>
      </c>
      <c r="N51" s="276">
        <f t="shared" si="3"/>
        <v>46.885245901639344</v>
      </c>
    </row>
    <row r="52" spans="2:14" s="275" customFormat="1" ht="14.25" customHeight="1" x14ac:dyDescent="0.25">
      <c r="B52" s="281" t="s">
        <v>468</v>
      </c>
      <c r="C52" s="292" t="s">
        <v>680</v>
      </c>
      <c r="D52" s="512" t="s">
        <v>679</v>
      </c>
      <c r="E52" s="512"/>
      <c r="F52" s="512"/>
      <c r="G52" s="512"/>
      <c r="H52" s="512"/>
      <c r="I52" s="512"/>
      <c r="J52" s="291">
        <v>1</v>
      </c>
      <c r="K52" s="279" t="s">
        <v>437</v>
      </c>
      <c r="L52" s="278">
        <v>1100</v>
      </c>
      <c r="M52" s="277">
        <f t="shared" si="2"/>
        <v>1100</v>
      </c>
      <c r="N52" s="276">
        <f t="shared" si="3"/>
        <v>198.36065573770492</v>
      </c>
    </row>
    <row r="53" spans="2:14" s="275" customFormat="1" ht="15" customHeight="1" x14ac:dyDescent="0.25">
      <c r="B53" s="281" t="s">
        <v>541</v>
      </c>
      <c r="C53" s="292">
        <v>707613</v>
      </c>
      <c r="D53" s="512" t="s">
        <v>678</v>
      </c>
      <c r="E53" s="512"/>
      <c r="F53" s="512"/>
      <c r="G53" s="512"/>
      <c r="H53" s="512"/>
      <c r="I53" s="512"/>
      <c r="J53" s="291">
        <v>1</v>
      </c>
      <c r="K53" s="279" t="s">
        <v>437</v>
      </c>
      <c r="L53" s="278">
        <v>350</v>
      </c>
      <c r="M53" s="277">
        <f t="shared" si="2"/>
        <v>350</v>
      </c>
      <c r="N53" s="276">
        <f t="shared" si="3"/>
        <v>63.114754098360656</v>
      </c>
    </row>
    <row r="54" spans="2:14" s="275" customFormat="1" ht="13.5" customHeight="1" x14ac:dyDescent="0.25">
      <c r="B54" s="281" t="s">
        <v>538</v>
      </c>
      <c r="C54" s="292">
        <v>162624</v>
      </c>
      <c r="D54" s="512" t="s">
        <v>677</v>
      </c>
      <c r="E54" s="512"/>
      <c r="F54" s="512"/>
      <c r="G54" s="512"/>
      <c r="H54" s="512"/>
      <c r="I54" s="512"/>
      <c r="J54" s="279">
        <v>0.4</v>
      </c>
      <c r="K54" s="279" t="s">
        <v>437</v>
      </c>
      <c r="L54" s="278">
        <v>1950</v>
      </c>
      <c r="M54" s="277">
        <f t="shared" si="2"/>
        <v>780</v>
      </c>
      <c r="N54" s="276">
        <f t="shared" si="3"/>
        <v>140.65573770491804</v>
      </c>
    </row>
    <row r="55" spans="2:14" s="275" customFormat="1" ht="26.25" customHeight="1" x14ac:dyDescent="0.25">
      <c r="B55" s="281" t="s">
        <v>535</v>
      </c>
      <c r="C55" s="292">
        <v>2389901363</v>
      </c>
      <c r="D55" s="512" t="s">
        <v>633</v>
      </c>
      <c r="E55" s="512"/>
      <c r="F55" s="512"/>
      <c r="G55" s="512"/>
      <c r="H55" s="512"/>
      <c r="I55" s="512"/>
      <c r="J55" s="291">
        <v>2</v>
      </c>
      <c r="K55" s="279" t="s">
        <v>437</v>
      </c>
      <c r="L55" s="278">
        <v>400</v>
      </c>
      <c r="M55" s="277">
        <f t="shared" si="2"/>
        <v>800</v>
      </c>
      <c r="N55" s="276">
        <f t="shared" si="3"/>
        <v>144.26229508196721</v>
      </c>
    </row>
    <row r="56" spans="2:14" s="275" customFormat="1" ht="24" customHeight="1" x14ac:dyDescent="0.25">
      <c r="B56" s="281" t="s">
        <v>532</v>
      </c>
      <c r="C56" s="292"/>
      <c r="D56" s="512" t="s">
        <v>676</v>
      </c>
      <c r="E56" s="512"/>
      <c r="F56" s="512"/>
      <c r="G56" s="512"/>
      <c r="H56" s="512"/>
      <c r="I56" s="512"/>
      <c r="J56" s="291">
        <v>1</v>
      </c>
      <c r="K56" s="279" t="s">
        <v>437</v>
      </c>
      <c r="L56" s="278">
        <v>7200</v>
      </c>
      <c r="M56" s="277">
        <f t="shared" si="2"/>
        <v>7200</v>
      </c>
      <c r="N56" s="276">
        <f t="shared" si="3"/>
        <v>1298.360655737705</v>
      </c>
    </row>
    <row r="57" spans="2:14" ht="12.75" customHeight="1" x14ac:dyDescent="0.25">
      <c r="B57" s="396" t="s">
        <v>436</v>
      </c>
      <c r="C57" s="396"/>
      <c r="D57" s="396"/>
      <c r="E57" s="396"/>
      <c r="F57" s="396"/>
      <c r="G57" s="396"/>
      <c r="H57" s="396"/>
      <c r="I57" s="396"/>
      <c r="J57" s="297">
        <v>14.9</v>
      </c>
      <c r="K57" s="393" t="s">
        <v>435</v>
      </c>
      <c r="L57" s="393"/>
      <c r="M57" s="277">
        <f>M44+M45+M46+M47+M48+M49+M50+M51+M52+M53+M54+M55+M56</f>
        <v>21300</v>
      </c>
      <c r="N57" s="276">
        <f t="shared" si="3"/>
        <v>3840.9836065573772</v>
      </c>
    </row>
    <row r="58" spans="2:14" ht="5.25" customHeight="1" x14ac:dyDescent="0.25"/>
    <row r="59" spans="2:14" ht="12.75" customHeight="1" x14ac:dyDescent="0.25">
      <c r="B59" s="392" t="s">
        <v>675</v>
      </c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</row>
    <row r="60" spans="2:14" ht="11.25" customHeight="1" thickBot="1" x14ac:dyDescent="0.3"/>
    <row r="61" spans="2:14" ht="12.75" customHeight="1" thickTop="1" thickBot="1" x14ac:dyDescent="0.3">
      <c r="B61" s="271"/>
      <c r="C61" s="271"/>
      <c r="D61" s="271"/>
      <c r="E61" s="271"/>
      <c r="F61" s="271"/>
      <c r="G61" s="271"/>
      <c r="H61" s="271"/>
      <c r="I61" s="271"/>
      <c r="J61" s="271"/>
      <c r="K61" s="270"/>
      <c r="L61" s="270" t="s">
        <v>433</v>
      </c>
      <c r="M61" s="269">
        <f>M36+M57</f>
        <v>49800</v>
      </c>
      <c r="N61" s="268">
        <f>M61*22/122</f>
        <v>8980.3278688524588</v>
      </c>
    </row>
    <row r="62" spans="2:14" ht="15.75" customHeight="1" thickTop="1" x14ac:dyDescent="0.25"/>
    <row r="63" spans="2:14" ht="12.75" customHeight="1" x14ac:dyDescent="0.25">
      <c r="B63" s="388" t="s">
        <v>674</v>
      </c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</row>
    <row r="64" spans="2:14" ht="11.25" customHeight="1" x14ac:dyDescent="0.25"/>
    <row r="65" spans="2:14" ht="11.25" customHeight="1" x14ac:dyDescent="0.25"/>
    <row r="66" spans="2:14" ht="12.75" customHeight="1" x14ac:dyDescent="0.25">
      <c r="J66" s="266" t="s">
        <v>431</v>
      </c>
      <c r="K66" s="384" t="s">
        <v>430</v>
      </c>
      <c r="L66" s="384"/>
      <c r="M66" s="384"/>
      <c r="N66" s="384"/>
    </row>
    <row r="67" spans="2:14" ht="6" customHeight="1" x14ac:dyDescent="0.25"/>
    <row r="68" spans="2:14" ht="48.75" customHeight="1" x14ac:dyDescent="0.25">
      <c r="B68" s="267"/>
      <c r="C68" s="385" t="s">
        <v>429</v>
      </c>
      <c r="D68" s="385"/>
      <c r="E68" s="385"/>
      <c r="F68" s="385"/>
      <c r="G68" s="385"/>
      <c r="H68" s="385"/>
      <c r="I68" s="385"/>
      <c r="J68" s="385"/>
      <c r="K68" s="385"/>
      <c r="L68" s="385"/>
      <c r="M68" s="385"/>
    </row>
    <row r="69" spans="2:14" ht="6" customHeight="1" x14ac:dyDescent="0.25"/>
    <row r="70" spans="2:14" ht="1.1499999999999999" customHeight="1" x14ac:dyDescent="0.25"/>
    <row r="71" spans="2:14" ht="3.75" customHeight="1" x14ac:dyDescent="0.25"/>
    <row r="72" spans="2:14" ht="11.25" customHeight="1" x14ac:dyDescent="0.25"/>
    <row r="73" spans="2:14" ht="24.75" customHeight="1" x14ac:dyDescent="0.25">
      <c r="B73" s="386" t="s">
        <v>673</v>
      </c>
      <c r="C73" s="386"/>
      <c r="J73" s="266" t="s">
        <v>427</v>
      </c>
      <c r="K73" s="384" t="s">
        <v>425</v>
      </c>
      <c r="L73" s="384"/>
      <c r="M73" s="384"/>
      <c r="N73" s="384"/>
    </row>
    <row r="74" spans="2:14" ht="11.25" customHeight="1" x14ac:dyDescent="0.25"/>
    <row r="75" spans="2:14" ht="24.75" customHeight="1" x14ac:dyDescent="0.25">
      <c r="J75" s="266" t="s">
        <v>426</v>
      </c>
      <c r="K75" s="384" t="s">
        <v>425</v>
      </c>
      <c r="L75" s="384"/>
      <c r="M75" s="384"/>
      <c r="N75" s="384"/>
    </row>
    <row r="76" spans="2:14" ht="12.75" customHeight="1" x14ac:dyDescent="0.25"/>
    <row r="77" spans="2:14" ht="12.75" customHeight="1" x14ac:dyDescent="0.25">
      <c r="B77" s="509" t="s">
        <v>424</v>
      </c>
      <c r="C77" s="509"/>
    </row>
    <row r="78" spans="2:14" ht="22.15" customHeight="1" x14ac:dyDescent="0.25">
      <c r="B78" s="510"/>
      <c r="C78" s="510"/>
      <c r="D78" s="510"/>
      <c r="E78" s="510"/>
      <c r="F78" s="510"/>
      <c r="G78" s="510"/>
      <c r="H78" s="510"/>
      <c r="I78" s="510"/>
      <c r="J78" s="510"/>
      <c r="K78" s="510"/>
      <c r="L78" s="510"/>
      <c r="M78" s="510"/>
      <c r="N78" s="510"/>
    </row>
    <row r="79" spans="2:14" ht="11.25" customHeight="1" x14ac:dyDescent="0.25"/>
  </sheetData>
  <mergeCells count="55">
    <mergeCell ref="B77:C77"/>
    <mergeCell ref="B78:N78"/>
    <mergeCell ref="K66:N66"/>
    <mergeCell ref="C68:M68"/>
    <mergeCell ref="B73:C73"/>
    <mergeCell ref="K73:N73"/>
    <mergeCell ref="K75:N75"/>
    <mergeCell ref="B57:I57"/>
    <mergeCell ref="K57:L57"/>
    <mergeCell ref="B59:N59"/>
    <mergeCell ref="B63:N63"/>
    <mergeCell ref="D34:H34"/>
    <mergeCell ref="D35:H35"/>
    <mergeCell ref="B36:H36"/>
    <mergeCell ref="J36:L36"/>
    <mergeCell ref="B38:N38"/>
    <mergeCell ref="D45:I45"/>
    <mergeCell ref="D56:I56"/>
    <mergeCell ref="D44:I44"/>
    <mergeCell ref="D46:I46"/>
    <mergeCell ref="D47:I47"/>
    <mergeCell ref="D48:I48"/>
    <mergeCell ref="D49:I49"/>
    <mergeCell ref="D25:H25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23:H23"/>
    <mergeCell ref="D24:H24"/>
    <mergeCell ref="D26:H26"/>
    <mergeCell ref="D27:H27"/>
    <mergeCell ref="D28:H28"/>
    <mergeCell ref="D42:I42"/>
    <mergeCell ref="D43:I43"/>
    <mergeCell ref="D29:H29"/>
    <mergeCell ref="D30:H30"/>
    <mergeCell ref="D31:H31"/>
    <mergeCell ref="D32:H32"/>
    <mergeCell ref="D55:I55"/>
    <mergeCell ref="D51:I51"/>
    <mergeCell ref="D50:I50"/>
    <mergeCell ref="D33:H33"/>
    <mergeCell ref="D52:I52"/>
    <mergeCell ref="D53:I53"/>
    <mergeCell ref="D54:I54"/>
  </mergeCells>
  <pageMargins left="0.7" right="0.7" top="0.75" bottom="0.75" header="0.3" footer="0.3"/>
  <pageSetup paperSize="9" scale="61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CAE3-44A5-4990-829B-27C4B46CB236}">
  <sheetPr codeName="Лист19">
    <pageSetUpPr fitToPage="1"/>
  </sheetPr>
  <dimension ref="B1:N82"/>
  <sheetViews>
    <sheetView topLeftCell="A4" workbookViewId="0">
      <selection activeCell="C57" sqref="C57:N5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745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744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743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494</v>
      </c>
      <c r="E21" s="390"/>
      <c r="F21" s="390"/>
      <c r="G21" s="390"/>
      <c r="H21" s="391"/>
      <c r="I21" s="291">
        <v>1</v>
      </c>
      <c r="J21" s="300">
        <v>1000</v>
      </c>
      <c r="K21" s="289">
        <v>1</v>
      </c>
      <c r="L21" s="279" t="s">
        <v>11</v>
      </c>
      <c r="M21" s="277">
        <f t="shared" ref="M21:M35" si="0">J21*I21</f>
        <v>1000</v>
      </c>
      <c r="N21" s="276">
        <f t="shared" ref="N21:N36" si="1">M21*22/122</f>
        <v>180.32786885245901</v>
      </c>
    </row>
    <row r="22" spans="2:14" s="275" customFormat="1" ht="13.5" customHeight="1" x14ac:dyDescent="0.25">
      <c r="B22" s="281" t="s">
        <v>446</v>
      </c>
      <c r="C22" s="292"/>
      <c r="D22" s="389" t="s">
        <v>742</v>
      </c>
      <c r="E22" s="390"/>
      <c r="F22" s="390"/>
      <c r="G22" s="390"/>
      <c r="H22" s="391"/>
      <c r="I22" s="291">
        <v>1</v>
      </c>
      <c r="J22" s="300">
        <v>600</v>
      </c>
      <c r="K22" s="289">
        <v>1</v>
      </c>
      <c r="L22" s="279" t="s">
        <v>11</v>
      </c>
      <c r="M22" s="277">
        <f t="shared" si="0"/>
        <v>600</v>
      </c>
      <c r="N22" s="276">
        <f t="shared" si="1"/>
        <v>108.19672131147541</v>
      </c>
    </row>
    <row r="23" spans="2:14" s="275" customFormat="1" ht="12" customHeight="1" x14ac:dyDescent="0.25">
      <c r="B23" s="281" t="s">
        <v>443</v>
      </c>
      <c r="C23" s="292"/>
      <c r="D23" s="389" t="s">
        <v>741</v>
      </c>
      <c r="E23" s="390"/>
      <c r="F23" s="390"/>
      <c r="G23" s="390"/>
      <c r="H23" s="391"/>
      <c r="I23" s="291">
        <v>1</v>
      </c>
      <c r="J23" s="300">
        <v>150</v>
      </c>
      <c r="K23" s="289">
        <v>1</v>
      </c>
      <c r="L23" s="279" t="s">
        <v>11</v>
      </c>
      <c r="M23" s="277">
        <f t="shared" si="0"/>
        <v>150</v>
      </c>
      <c r="N23" s="276">
        <f t="shared" si="1"/>
        <v>27.049180327868854</v>
      </c>
    </row>
    <row r="24" spans="2:14" s="275" customFormat="1" ht="14.25" customHeight="1" x14ac:dyDescent="0.25">
      <c r="B24" s="281" t="s">
        <v>440</v>
      </c>
      <c r="C24" s="292"/>
      <c r="D24" s="389" t="s">
        <v>467</v>
      </c>
      <c r="E24" s="390"/>
      <c r="F24" s="390"/>
      <c r="G24" s="390"/>
      <c r="H24" s="391"/>
      <c r="I24" s="291">
        <v>1</v>
      </c>
      <c r="J24" s="300">
        <v>600</v>
      </c>
      <c r="K24" s="289">
        <v>1</v>
      </c>
      <c r="L24" s="279" t="s">
        <v>11</v>
      </c>
      <c r="M24" s="277">
        <f t="shared" si="0"/>
        <v>600</v>
      </c>
      <c r="N24" s="276">
        <f t="shared" si="1"/>
        <v>108.19672131147541</v>
      </c>
    </row>
    <row r="25" spans="2:14" s="275" customFormat="1" ht="14.25" customHeight="1" x14ac:dyDescent="0.25">
      <c r="B25" s="281" t="s">
        <v>453</v>
      </c>
      <c r="C25" s="292"/>
      <c r="D25" s="389" t="s">
        <v>465</v>
      </c>
      <c r="E25" s="390"/>
      <c r="F25" s="390"/>
      <c r="G25" s="390"/>
      <c r="H25" s="391"/>
      <c r="I25" s="291">
        <v>1</v>
      </c>
      <c r="J25" s="300">
        <v>300</v>
      </c>
      <c r="K25" s="289">
        <v>1</v>
      </c>
      <c r="L25" s="279" t="s">
        <v>11</v>
      </c>
      <c r="M25" s="277">
        <f t="shared" si="0"/>
        <v>300</v>
      </c>
      <c r="N25" s="276">
        <f t="shared" si="1"/>
        <v>54.098360655737707</v>
      </c>
    </row>
    <row r="26" spans="2:14" s="275" customFormat="1" ht="14.25" customHeight="1" x14ac:dyDescent="0.25">
      <c r="B26" s="281" t="s">
        <v>452</v>
      </c>
      <c r="C26" s="292"/>
      <c r="D26" s="389" t="s">
        <v>661</v>
      </c>
      <c r="E26" s="390"/>
      <c r="F26" s="390"/>
      <c r="G26" s="390"/>
      <c r="H26" s="391"/>
      <c r="I26" s="291">
        <v>2</v>
      </c>
      <c r="J26" s="300">
        <v>350</v>
      </c>
      <c r="K26" s="289">
        <v>1</v>
      </c>
      <c r="L26" s="279" t="s">
        <v>11</v>
      </c>
      <c r="M26" s="277">
        <f t="shared" si="0"/>
        <v>700</v>
      </c>
      <c r="N26" s="276">
        <f t="shared" si="1"/>
        <v>126.22950819672131</v>
      </c>
    </row>
    <row r="27" spans="2:14" s="275" customFormat="1" ht="14.25" customHeight="1" x14ac:dyDescent="0.25">
      <c r="B27" s="281" t="s">
        <v>451</v>
      </c>
      <c r="C27" s="292"/>
      <c r="D27" s="389" t="s">
        <v>660</v>
      </c>
      <c r="E27" s="390"/>
      <c r="F27" s="390"/>
      <c r="G27" s="390"/>
      <c r="H27" s="391"/>
      <c r="I27" s="291">
        <v>1</v>
      </c>
      <c r="J27" s="300">
        <v>500</v>
      </c>
      <c r="K27" s="289">
        <v>1</v>
      </c>
      <c r="L27" s="279" t="s">
        <v>11</v>
      </c>
      <c r="M27" s="277">
        <f t="shared" si="0"/>
        <v>500</v>
      </c>
      <c r="N27" s="276">
        <f t="shared" si="1"/>
        <v>90.163934426229503</v>
      </c>
    </row>
    <row r="28" spans="2:14" s="275" customFormat="1" ht="14.25" customHeight="1" x14ac:dyDescent="0.25">
      <c r="B28" s="281" t="s">
        <v>450</v>
      </c>
      <c r="C28" s="292"/>
      <c r="D28" s="389" t="s">
        <v>740</v>
      </c>
      <c r="E28" s="390"/>
      <c r="F28" s="390"/>
      <c r="G28" s="390"/>
      <c r="H28" s="391"/>
      <c r="I28" s="291">
        <v>1</v>
      </c>
      <c r="J28" s="300">
        <v>400</v>
      </c>
      <c r="K28" s="289">
        <v>1</v>
      </c>
      <c r="L28" s="279" t="s">
        <v>11</v>
      </c>
      <c r="M28" s="277">
        <f t="shared" si="0"/>
        <v>400</v>
      </c>
      <c r="N28" s="276">
        <f t="shared" si="1"/>
        <v>72.131147540983605</v>
      </c>
    </row>
    <row r="29" spans="2:14" s="275" customFormat="1" ht="14.25" customHeight="1" x14ac:dyDescent="0.25">
      <c r="B29" s="281" t="s">
        <v>468</v>
      </c>
      <c r="C29" s="292"/>
      <c r="D29" s="389" t="s">
        <v>570</v>
      </c>
      <c r="E29" s="390"/>
      <c r="F29" s="390"/>
      <c r="G29" s="390"/>
      <c r="H29" s="391"/>
      <c r="I29" s="291">
        <v>1</v>
      </c>
      <c r="J29" s="300">
        <v>2500</v>
      </c>
      <c r="K29" s="289">
        <v>1</v>
      </c>
      <c r="L29" s="279" t="s">
        <v>11</v>
      </c>
      <c r="M29" s="277">
        <f t="shared" si="0"/>
        <v>2500</v>
      </c>
      <c r="N29" s="276">
        <f t="shared" si="1"/>
        <v>450.81967213114751</v>
      </c>
    </row>
    <row r="30" spans="2:14" s="275" customFormat="1" ht="14.25" customHeight="1" x14ac:dyDescent="0.25">
      <c r="B30" s="281" t="s">
        <v>541</v>
      </c>
      <c r="C30" s="292"/>
      <c r="D30" s="389" t="s">
        <v>739</v>
      </c>
      <c r="E30" s="390"/>
      <c r="F30" s="390"/>
      <c r="G30" s="390"/>
      <c r="H30" s="391"/>
      <c r="I30" s="291">
        <v>1</v>
      </c>
      <c r="J30" s="300">
        <v>200</v>
      </c>
      <c r="K30" s="289">
        <v>1</v>
      </c>
      <c r="L30" s="279" t="s">
        <v>11</v>
      </c>
      <c r="M30" s="277">
        <f t="shared" si="0"/>
        <v>200</v>
      </c>
      <c r="N30" s="276">
        <f t="shared" si="1"/>
        <v>36.065573770491802</v>
      </c>
    </row>
    <row r="31" spans="2:14" s="275" customFormat="1" ht="14.25" customHeight="1" x14ac:dyDescent="0.25">
      <c r="B31" s="281" t="s">
        <v>538</v>
      </c>
      <c r="C31" s="292"/>
      <c r="D31" s="389" t="s">
        <v>738</v>
      </c>
      <c r="E31" s="390"/>
      <c r="F31" s="390"/>
      <c r="G31" s="390"/>
      <c r="H31" s="391"/>
      <c r="I31" s="291">
        <v>1</v>
      </c>
      <c r="J31" s="300">
        <v>1500</v>
      </c>
      <c r="K31" s="289">
        <v>1</v>
      </c>
      <c r="L31" s="279" t="s">
        <v>11</v>
      </c>
      <c r="M31" s="277">
        <f t="shared" si="0"/>
        <v>1500</v>
      </c>
      <c r="N31" s="276">
        <f t="shared" si="1"/>
        <v>270.49180327868851</v>
      </c>
    </row>
    <row r="32" spans="2:14" s="275" customFormat="1" ht="14.25" customHeight="1" x14ac:dyDescent="0.25">
      <c r="B32" s="281" t="s">
        <v>535</v>
      </c>
      <c r="C32" s="292"/>
      <c r="D32" s="389" t="s">
        <v>737</v>
      </c>
      <c r="E32" s="390"/>
      <c r="F32" s="390"/>
      <c r="G32" s="390"/>
      <c r="H32" s="391"/>
      <c r="I32" s="291">
        <v>1</v>
      </c>
      <c r="J32" s="300">
        <v>200</v>
      </c>
      <c r="K32" s="289">
        <v>1</v>
      </c>
      <c r="L32" s="279" t="s">
        <v>11</v>
      </c>
      <c r="M32" s="277">
        <f t="shared" si="0"/>
        <v>200</v>
      </c>
      <c r="N32" s="276">
        <f t="shared" si="1"/>
        <v>36.065573770491802</v>
      </c>
    </row>
    <row r="33" spans="2:14" s="275" customFormat="1" ht="14.25" customHeight="1" x14ac:dyDescent="0.25">
      <c r="B33" s="281" t="s">
        <v>532</v>
      </c>
      <c r="C33" s="292"/>
      <c r="D33" s="389" t="s">
        <v>736</v>
      </c>
      <c r="E33" s="390"/>
      <c r="F33" s="390"/>
      <c r="G33" s="390"/>
      <c r="H33" s="391"/>
      <c r="I33" s="291">
        <v>1</v>
      </c>
      <c r="J33" s="300">
        <v>600</v>
      </c>
      <c r="K33" s="289">
        <v>1</v>
      </c>
      <c r="L33" s="279" t="s">
        <v>11</v>
      </c>
      <c r="M33" s="277">
        <f t="shared" si="0"/>
        <v>600</v>
      </c>
      <c r="N33" s="276">
        <f t="shared" si="1"/>
        <v>108.19672131147541</v>
      </c>
    </row>
    <row r="34" spans="2:14" s="275" customFormat="1" ht="14.25" customHeight="1" x14ac:dyDescent="0.25">
      <c r="B34" s="281" t="s">
        <v>529</v>
      </c>
      <c r="C34" s="292"/>
      <c r="D34" s="389" t="s">
        <v>735</v>
      </c>
      <c r="E34" s="390"/>
      <c r="F34" s="390"/>
      <c r="G34" s="390"/>
      <c r="H34" s="391"/>
      <c r="I34" s="291">
        <v>1</v>
      </c>
      <c r="J34" s="300">
        <v>600</v>
      </c>
      <c r="K34" s="289">
        <v>1</v>
      </c>
      <c r="L34" s="279" t="s">
        <v>11</v>
      </c>
      <c r="M34" s="277">
        <f t="shared" si="0"/>
        <v>600</v>
      </c>
      <c r="N34" s="276">
        <f t="shared" si="1"/>
        <v>108.19672131147541</v>
      </c>
    </row>
    <row r="35" spans="2:14" s="275" customFormat="1" ht="12" customHeight="1" x14ac:dyDescent="0.25">
      <c r="B35" s="281" t="s">
        <v>526</v>
      </c>
      <c r="C35" s="292"/>
      <c r="D35" s="389" t="s">
        <v>734</v>
      </c>
      <c r="E35" s="390"/>
      <c r="F35" s="390"/>
      <c r="G35" s="390"/>
      <c r="H35" s="391"/>
      <c r="I35" s="291">
        <v>1</v>
      </c>
      <c r="J35" s="300">
        <v>600</v>
      </c>
      <c r="K35" s="289">
        <v>1</v>
      </c>
      <c r="L35" s="279" t="s">
        <v>11</v>
      </c>
      <c r="M35" s="277">
        <f t="shared" si="0"/>
        <v>600</v>
      </c>
      <c r="N35" s="276">
        <f t="shared" si="1"/>
        <v>108.19672131147541</v>
      </c>
    </row>
    <row r="36" spans="2:14" ht="12.75" customHeight="1" x14ac:dyDescent="0.25">
      <c r="B36" s="396" t="s">
        <v>464</v>
      </c>
      <c r="C36" s="396"/>
      <c r="D36" s="396"/>
      <c r="E36" s="396"/>
      <c r="F36" s="396"/>
      <c r="G36" s="396"/>
      <c r="H36" s="396"/>
      <c r="I36" s="299">
        <v>16</v>
      </c>
      <c r="J36" s="393" t="s">
        <v>435</v>
      </c>
      <c r="K36" s="393"/>
      <c r="L36" s="393"/>
      <c r="M36" s="277">
        <f>M21+M22+M23+M24+M25+M26+M27+M28+M29+M30+M31+M32+M33+M34+M35</f>
        <v>10450</v>
      </c>
      <c r="N36" s="276">
        <f t="shared" si="1"/>
        <v>1884.4262295081967</v>
      </c>
    </row>
    <row r="37" spans="2:14" ht="11.25" customHeight="1" x14ac:dyDescent="0.25"/>
    <row r="38" spans="2:14" ht="12.75" customHeight="1" x14ac:dyDescent="0.25">
      <c r="B38" s="392" t="s">
        <v>733</v>
      </c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</row>
    <row r="39" spans="2:14" ht="11.25" customHeight="1" x14ac:dyDescent="0.25"/>
    <row r="40" spans="2:14" ht="15" customHeight="1" x14ac:dyDescent="0.25">
      <c r="C40" s="287" t="s">
        <v>732</v>
      </c>
    </row>
    <row r="41" spans="2:14" ht="11.25" customHeight="1" thickBot="1" x14ac:dyDescent="0.3">
      <c r="B41" s="286"/>
      <c r="C41" s="285"/>
      <c r="D41" s="285"/>
      <c r="H41" s="285"/>
      <c r="I41" s="285"/>
      <c r="M41" s="284"/>
      <c r="N41" s="284"/>
    </row>
    <row r="42" spans="2:14" ht="12.75" customHeight="1" thickBot="1" x14ac:dyDescent="0.3">
      <c r="B42" s="282" t="s">
        <v>461</v>
      </c>
      <c r="C42" s="283" t="s">
        <v>460</v>
      </c>
      <c r="D42" s="511" t="s">
        <v>459</v>
      </c>
      <c r="E42" s="511"/>
      <c r="F42" s="511"/>
      <c r="G42" s="511"/>
      <c r="H42" s="511"/>
      <c r="I42" s="511"/>
      <c r="J42" s="282" t="s">
        <v>458</v>
      </c>
      <c r="K42" s="282" t="s">
        <v>457</v>
      </c>
      <c r="L42" s="282" t="s">
        <v>456</v>
      </c>
      <c r="M42" s="282" t="s">
        <v>455</v>
      </c>
      <c r="N42" s="282" t="s">
        <v>454</v>
      </c>
    </row>
    <row r="43" spans="2:14" ht="12.75" customHeight="1" thickBot="1" x14ac:dyDescent="0.3">
      <c r="B43" s="282" t="s">
        <v>449</v>
      </c>
      <c r="C43" s="283" t="s">
        <v>446</v>
      </c>
      <c r="D43" s="511" t="s">
        <v>443</v>
      </c>
      <c r="E43" s="511"/>
      <c r="F43" s="511"/>
      <c r="G43" s="511"/>
      <c r="H43" s="511"/>
      <c r="I43" s="511"/>
      <c r="J43" s="282" t="s">
        <v>440</v>
      </c>
      <c r="K43" s="282" t="s">
        <v>453</v>
      </c>
      <c r="L43" s="282" t="s">
        <v>452</v>
      </c>
      <c r="M43" s="282" t="s">
        <v>451</v>
      </c>
      <c r="N43" s="282" t="s">
        <v>450</v>
      </c>
    </row>
    <row r="44" spans="2:14" s="275" customFormat="1" ht="27" customHeight="1" x14ac:dyDescent="0.25">
      <c r="B44" s="281" t="s">
        <v>449</v>
      </c>
      <c r="C44" s="292">
        <v>3705307</v>
      </c>
      <c r="D44" s="512" t="s">
        <v>731</v>
      </c>
      <c r="E44" s="512"/>
      <c r="F44" s="512"/>
      <c r="G44" s="512"/>
      <c r="H44" s="512"/>
      <c r="I44" s="512"/>
      <c r="J44" s="291">
        <v>1</v>
      </c>
      <c r="K44" s="279" t="s">
        <v>437</v>
      </c>
      <c r="L44" s="278">
        <v>350</v>
      </c>
      <c r="M44" s="277">
        <f t="shared" ref="M44:M59" si="2">L44*J44</f>
        <v>350</v>
      </c>
      <c r="N44" s="276">
        <f t="shared" ref="N44:N60" si="3">M44*22/122</f>
        <v>63.114754098360656</v>
      </c>
    </row>
    <row r="45" spans="2:14" s="275" customFormat="1" ht="24" customHeight="1" x14ac:dyDescent="0.25">
      <c r="B45" s="281" t="s">
        <v>446</v>
      </c>
      <c r="C45" s="292">
        <v>3705305</v>
      </c>
      <c r="D45" s="512" t="s">
        <v>730</v>
      </c>
      <c r="E45" s="512"/>
      <c r="F45" s="512"/>
      <c r="G45" s="512"/>
      <c r="H45" s="512"/>
      <c r="I45" s="512"/>
      <c r="J45" s="291">
        <v>1</v>
      </c>
      <c r="K45" s="279" t="s">
        <v>437</v>
      </c>
      <c r="L45" s="278">
        <v>1250</v>
      </c>
      <c r="M45" s="277">
        <f t="shared" si="2"/>
        <v>1250</v>
      </c>
      <c r="N45" s="276">
        <f t="shared" si="3"/>
        <v>225.40983606557376</v>
      </c>
    </row>
    <row r="46" spans="2:14" s="275" customFormat="1" ht="24" customHeight="1" x14ac:dyDescent="0.25">
      <c r="B46" s="281" t="s">
        <v>443</v>
      </c>
      <c r="C46" s="292" t="s">
        <v>729</v>
      </c>
      <c r="D46" s="512" t="s">
        <v>728</v>
      </c>
      <c r="E46" s="512"/>
      <c r="F46" s="512"/>
      <c r="G46" s="512"/>
      <c r="H46" s="512"/>
      <c r="I46" s="512"/>
      <c r="J46" s="291">
        <v>1</v>
      </c>
      <c r="K46" s="279" t="s">
        <v>437</v>
      </c>
      <c r="L46" s="278">
        <v>600</v>
      </c>
      <c r="M46" s="277">
        <f t="shared" si="2"/>
        <v>600</v>
      </c>
      <c r="N46" s="276">
        <f t="shared" si="3"/>
        <v>108.19672131147541</v>
      </c>
    </row>
    <row r="47" spans="2:14" s="275" customFormat="1" ht="24" customHeight="1" x14ac:dyDescent="0.25">
      <c r="B47" s="281" t="s">
        <v>440</v>
      </c>
      <c r="C47" s="280" t="s">
        <v>727</v>
      </c>
      <c r="D47" s="512" t="s">
        <v>726</v>
      </c>
      <c r="E47" s="512"/>
      <c r="F47" s="512"/>
      <c r="G47" s="512"/>
      <c r="H47" s="512"/>
      <c r="I47" s="512"/>
      <c r="J47" s="291">
        <v>1</v>
      </c>
      <c r="K47" s="279" t="s">
        <v>437</v>
      </c>
      <c r="L47" s="278">
        <v>400</v>
      </c>
      <c r="M47" s="277">
        <f t="shared" si="2"/>
        <v>400</v>
      </c>
      <c r="N47" s="276">
        <f t="shared" si="3"/>
        <v>72.131147540983605</v>
      </c>
    </row>
    <row r="48" spans="2:14" s="275" customFormat="1" ht="15" customHeight="1" x14ac:dyDescent="0.25">
      <c r="B48" s="281" t="s">
        <v>453</v>
      </c>
      <c r="C48" s="292">
        <v>162624</v>
      </c>
      <c r="D48" s="512" t="s">
        <v>677</v>
      </c>
      <c r="E48" s="512"/>
      <c r="F48" s="512"/>
      <c r="G48" s="512"/>
      <c r="H48" s="512"/>
      <c r="I48" s="512"/>
      <c r="J48" s="291">
        <v>0.5</v>
      </c>
      <c r="K48" s="279" t="s">
        <v>437</v>
      </c>
      <c r="L48" s="278">
        <v>3800</v>
      </c>
      <c r="M48" s="277">
        <f t="shared" si="2"/>
        <v>1900</v>
      </c>
      <c r="N48" s="276">
        <f t="shared" si="3"/>
        <v>342.62295081967216</v>
      </c>
    </row>
    <row r="49" spans="2:14" s="275" customFormat="1" ht="13.5" customHeight="1" x14ac:dyDescent="0.25">
      <c r="B49" s="281" t="s">
        <v>452</v>
      </c>
      <c r="C49" s="292">
        <v>2389901364</v>
      </c>
      <c r="D49" s="512" t="s">
        <v>725</v>
      </c>
      <c r="E49" s="512"/>
      <c r="F49" s="512"/>
      <c r="G49" s="512"/>
      <c r="H49" s="512"/>
      <c r="I49" s="512"/>
      <c r="J49" s="291">
        <v>1</v>
      </c>
      <c r="K49" s="279" t="s">
        <v>437</v>
      </c>
      <c r="L49" s="278">
        <v>1400</v>
      </c>
      <c r="M49" s="277">
        <f t="shared" si="2"/>
        <v>1400</v>
      </c>
      <c r="N49" s="276">
        <f t="shared" si="3"/>
        <v>252.45901639344262</v>
      </c>
    </row>
    <row r="50" spans="2:14" s="275" customFormat="1" ht="14.25" customHeight="1" x14ac:dyDescent="0.25">
      <c r="B50" s="281" t="s">
        <v>451</v>
      </c>
      <c r="C50" s="292">
        <v>614503</v>
      </c>
      <c r="D50" s="512" t="s">
        <v>488</v>
      </c>
      <c r="E50" s="512"/>
      <c r="F50" s="512"/>
      <c r="G50" s="512"/>
      <c r="H50" s="512"/>
      <c r="I50" s="512"/>
      <c r="J50" s="291">
        <v>2</v>
      </c>
      <c r="K50" s="279" t="s">
        <v>437</v>
      </c>
      <c r="L50" s="278">
        <v>900</v>
      </c>
      <c r="M50" s="277">
        <f t="shared" si="2"/>
        <v>1800</v>
      </c>
      <c r="N50" s="276">
        <f t="shared" si="3"/>
        <v>324.59016393442624</v>
      </c>
    </row>
    <row r="51" spans="2:14" s="275" customFormat="1" ht="24" customHeight="1" x14ac:dyDescent="0.25">
      <c r="B51" s="281" t="s">
        <v>450</v>
      </c>
      <c r="C51" s="292"/>
      <c r="D51" s="512" t="s">
        <v>724</v>
      </c>
      <c r="E51" s="512"/>
      <c r="F51" s="512"/>
      <c r="G51" s="512"/>
      <c r="H51" s="512"/>
      <c r="I51" s="512"/>
      <c r="J51" s="291">
        <v>1</v>
      </c>
      <c r="K51" s="279" t="s">
        <v>520</v>
      </c>
      <c r="L51" s="278">
        <v>650</v>
      </c>
      <c r="M51" s="277">
        <f t="shared" si="2"/>
        <v>650</v>
      </c>
      <c r="N51" s="276">
        <f t="shared" si="3"/>
        <v>117.21311475409836</v>
      </c>
    </row>
    <row r="52" spans="2:14" s="275" customFormat="1" ht="24" customHeight="1" x14ac:dyDescent="0.25">
      <c r="B52" s="281" t="s">
        <v>468</v>
      </c>
      <c r="C52" s="292" t="s">
        <v>723</v>
      </c>
      <c r="D52" s="512" t="s">
        <v>722</v>
      </c>
      <c r="E52" s="512"/>
      <c r="F52" s="512"/>
      <c r="G52" s="512"/>
      <c r="H52" s="512"/>
      <c r="I52" s="512"/>
      <c r="J52" s="291">
        <v>1</v>
      </c>
      <c r="K52" s="279" t="s">
        <v>437</v>
      </c>
      <c r="L52" s="278">
        <v>18500</v>
      </c>
      <c r="M52" s="277">
        <f t="shared" si="2"/>
        <v>18500</v>
      </c>
      <c r="N52" s="276">
        <f t="shared" si="3"/>
        <v>3336.0655737704919</v>
      </c>
    </row>
    <row r="53" spans="2:14" s="275" customFormat="1" ht="24" customHeight="1" x14ac:dyDescent="0.25">
      <c r="B53" s="281" t="s">
        <v>541</v>
      </c>
      <c r="C53" s="292" t="s">
        <v>721</v>
      </c>
      <c r="D53" s="512" t="s">
        <v>720</v>
      </c>
      <c r="E53" s="512"/>
      <c r="F53" s="512"/>
      <c r="G53" s="512"/>
      <c r="H53" s="512"/>
      <c r="I53" s="512"/>
      <c r="J53" s="291">
        <v>1</v>
      </c>
      <c r="K53" s="279" t="s">
        <v>437</v>
      </c>
      <c r="L53" s="278">
        <v>350</v>
      </c>
      <c r="M53" s="277">
        <f t="shared" si="2"/>
        <v>350</v>
      </c>
      <c r="N53" s="276">
        <f t="shared" si="3"/>
        <v>63.114754098360656</v>
      </c>
    </row>
    <row r="54" spans="2:14" s="275" customFormat="1" ht="24" customHeight="1" x14ac:dyDescent="0.25">
      <c r="B54" s="281" t="s">
        <v>538</v>
      </c>
      <c r="C54" s="292" t="s">
        <v>719</v>
      </c>
      <c r="D54" s="512" t="s">
        <v>718</v>
      </c>
      <c r="E54" s="512"/>
      <c r="F54" s="512"/>
      <c r="G54" s="512"/>
      <c r="H54" s="512"/>
      <c r="I54" s="512"/>
      <c r="J54" s="291">
        <v>1</v>
      </c>
      <c r="K54" s="279" t="s">
        <v>437</v>
      </c>
      <c r="L54" s="278">
        <v>1950</v>
      </c>
      <c r="M54" s="277">
        <f t="shared" si="2"/>
        <v>1950</v>
      </c>
      <c r="N54" s="276">
        <f t="shared" si="3"/>
        <v>351.63934426229508</v>
      </c>
    </row>
    <row r="55" spans="2:14" s="275" customFormat="1" ht="26.25" customHeight="1" x14ac:dyDescent="0.25">
      <c r="B55" s="281" t="s">
        <v>535</v>
      </c>
      <c r="C55" s="292" t="s">
        <v>717</v>
      </c>
      <c r="D55" s="512" t="s">
        <v>716</v>
      </c>
      <c r="E55" s="512"/>
      <c r="F55" s="512"/>
      <c r="G55" s="512"/>
      <c r="H55" s="512"/>
      <c r="I55" s="512"/>
      <c r="J55" s="291">
        <v>1</v>
      </c>
      <c r="K55" s="279" t="s">
        <v>437</v>
      </c>
      <c r="L55" s="278">
        <v>6500</v>
      </c>
      <c r="M55" s="277">
        <f t="shared" si="2"/>
        <v>6500</v>
      </c>
      <c r="N55" s="276">
        <f t="shared" si="3"/>
        <v>1172.1311475409836</v>
      </c>
    </row>
    <row r="56" spans="2:14" s="275" customFormat="1" ht="24" customHeight="1" x14ac:dyDescent="0.25">
      <c r="B56" s="281" t="s">
        <v>532</v>
      </c>
      <c r="C56" s="292" t="s">
        <v>691</v>
      </c>
      <c r="D56" s="512" t="s">
        <v>690</v>
      </c>
      <c r="E56" s="512"/>
      <c r="F56" s="512"/>
      <c r="G56" s="512"/>
      <c r="H56" s="512"/>
      <c r="I56" s="512"/>
      <c r="J56" s="291">
        <v>1</v>
      </c>
      <c r="K56" s="279" t="s">
        <v>437</v>
      </c>
      <c r="L56" s="278">
        <v>1180</v>
      </c>
      <c r="M56" s="277">
        <f t="shared" si="2"/>
        <v>1180</v>
      </c>
      <c r="N56" s="276">
        <f t="shared" si="3"/>
        <v>212.78688524590163</v>
      </c>
    </row>
    <row r="57" spans="2:14" s="275" customFormat="1" ht="24.75" customHeight="1" x14ac:dyDescent="0.25">
      <c r="B57" s="281" t="s">
        <v>529</v>
      </c>
      <c r="C57" s="292" t="s">
        <v>525</v>
      </c>
      <c r="D57" s="512" t="s">
        <v>524</v>
      </c>
      <c r="E57" s="512"/>
      <c r="F57" s="512"/>
      <c r="G57" s="512"/>
      <c r="H57" s="512"/>
      <c r="I57" s="512"/>
      <c r="J57" s="291">
        <v>1</v>
      </c>
      <c r="K57" s="279" t="s">
        <v>520</v>
      </c>
      <c r="L57" s="278">
        <v>600</v>
      </c>
      <c r="M57" s="277">
        <f t="shared" si="2"/>
        <v>600</v>
      </c>
      <c r="N57" s="276">
        <f t="shared" si="3"/>
        <v>108.19672131147541</v>
      </c>
    </row>
    <row r="58" spans="2:14" s="275" customFormat="1" ht="24.75" customHeight="1" x14ac:dyDescent="0.25">
      <c r="B58" s="281" t="s">
        <v>526</v>
      </c>
      <c r="C58" s="280" t="s">
        <v>715</v>
      </c>
      <c r="D58" s="512" t="s">
        <v>714</v>
      </c>
      <c r="E58" s="512"/>
      <c r="F58" s="512"/>
      <c r="G58" s="512"/>
      <c r="H58" s="512"/>
      <c r="I58" s="512"/>
      <c r="J58" s="291">
        <v>1</v>
      </c>
      <c r="K58" s="279" t="s">
        <v>437</v>
      </c>
      <c r="L58" s="278">
        <v>1900</v>
      </c>
      <c r="M58" s="277">
        <f t="shared" si="2"/>
        <v>1900</v>
      </c>
      <c r="N58" s="276">
        <f t="shared" si="3"/>
        <v>342.62295081967216</v>
      </c>
    </row>
    <row r="59" spans="2:14" s="275" customFormat="1" ht="24" customHeight="1" x14ac:dyDescent="0.25">
      <c r="B59" s="281" t="s">
        <v>523</v>
      </c>
      <c r="C59" s="292">
        <v>6933709</v>
      </c>
      <c r="D59" s="512" t="s">
        <v>713</v>
      </c>
      <c r="E59" s="512"/>
      <c r="F59" s="512"/>
      <c r="G59" s="512"/>
      <c r="H59" s="512"/>
      <c r="I59" s="512"/>
      <c r="J59" s="291">
        <v>1</v>
      </c>
      <c r="K59" s="279" t="s">
        <v>437</v>
      </c>
      <c r="L59" s="278">
        <v>1120</v>
      </c>
      <c r="M59" s="277">
        <f t="shared" si="2"/>
        <v>1120</v>
      </c>
      <c r="N59" s="276">
        <f t="shared" si="3"/>
        <v>201.96721311475409</v>
      </c>
    </row>
    <row r="60" spans="2:14" ht="12.75" customHeight="1" x14ac:dyDescent="0.25">
      <c r="B60" s="396" t="s">
        <v>436</v>
      </c>
      <c r="C60" s="396"/>
      <c r="D60" s="396"/>
      <c r="E60" s="396"/>
      <c r="F60" s="396"/>
      <c r="G60" s="396"/>
      <c r="H60" s="396"/>
      <c r="I60" s="396"/>
      <c r="J60" s="297">
        <v>16</v>
      </c>
      <c r="K60" s="393" t="s">
        <v>435</v>
      </c>
      <c r="L60" s="393"/>
      <c r="M60" s="277">
        <f>M44+M45+M46+M47+M48+M49+M50+M51+M52+M53+M54+M55+M56+M57+M58+M59</f>
        <v>40450</v>
      </c>
      <c r="N60" s="276">
        <f t="shared" si="3"/>
        <v>7294.2622950819668</v>
      </c>
    </row>
    <row r="61" spans="2:14" ht="5.25" customHeight="1" x14ac:dyDescent="0.25"/>
    <row r="62" spans="2:14" ht="12.75" customHeight="1" x14ac:dyDescent="0.25">
      <c r="B62" s="392" t="s">
        <v>712</v>
      </c>
      <c r="C62" s="392"/>
      <c r="D62" s="392"/>
      <c r="E62" s="392"/>
      <c r="F62" s="392"/>
      <c r="G62" s="392"/>
      <c r="H62" s="392"/>
      <c r="I62" s="392"/>
      <c r="J62" s="392"/>
      <c r="K62" s="392"/>
      <c r="L62" s="392"/>
      <c r="M62" s="392"/>
      <c r="N62" s="392"/>
    </row>
    <row r="63" spans="2:14" ht="11.25" customHeight="1" thickBot="1" x14ac:dyDescent="0.3"/>
    <row r="64" spans="2:14" ht="12.75" customHeight="1" thickTop="1" thickBot="1" x14ac:dyDescent="0.3">
      <c r="B64" s="271"/>
      <c r="C64" s="271"/>
      <c r="D64" s="271"/>
      <c r="E64" s="271"/>
      <c r="F64" s="271"/>
      <c r="G64" s="271"/>
      <c r="H64" s="271"/>
      <c r="I64" s="271"/>
      <c r="J64" s="271"/>
      <c r="K64" s="270"/>
      <c r="L64" s="270" t="s">
        <v>433</v>
      </c>
      <c r="M64" s="269">
        <f>M36+M60</f>
        <v>50900</v>
      </c>
      <c r="N64" s="268">
        <f>M64*22/122</f>
        <v>9178.6885245901631</v>
      </c>
    </row>
    <row r="65" spans="2:14" ht="15.75" customHeight="1" thickTop="1" x14ac:dyDescent="0.25"/>
    <row r="66" spans="2:14" ht="12.75" customHeight="1" x14ac:dyDescent="0.25">
      <c r="B66" s="388" t="s">
        <v>711</v>
      </c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</row>
    <row r="67" spans="2:14" ht="11.25" customHeight="1" x14ac:dyDescent="0.25"/>
    <row r="68" spans="2:14" ht="11.25" customHeight="1" x14ac:dyDescent="0.25"/>
    <row r="69" spans="2:14" ht="12.75" customHeight="1" x14ac:dyDescent="0.25">
      <c r="J69" s="266" t="s">
        <v>431</v>
      </c>
      <c r="K69" s="384" t="s">
        <v>430</v>
      </c>
      <c r="L69" s="384"/>
      <c r="M69" s="384"/>
      <c r="N69" s="384"/>
    </row>
    <row r="70" spans="2:14" ht="6" customHeight="1" x14ac:dyDescent="0.25"/>
    <row r="71" spans="2:14" ht="48.75" customHeight="1" x14ac:dyDescent="0.25">
      <c r="B71" s="267"/>
      <c r="C71" s="385" t="s">
        <v>429</v>
      </c>
      <c r="D71" s="385"/>
      <c r="E71" s="385"/>
      <c r="F71" s="385"/>
      <c r="G71" s="385"/>
      <c r="H71" s="385"/>
      <c r="I71" s="385"/>
      <c r="J71" s="385"/>
      <c r="K71" s="385"/>
      <c r="L71" s="385"/>
      <c r="M71" s="385"/>
    </row>
    <row r="72" spans="2:14" ht="6" customHeight="1" x14ac:dyDescent="0.25"/>
    <row r="73" spans="2:14" ht="1.1499999999999999" customHeight="1" x14ac:dyDescent="0.25"/>
    <row r="74" spans="2:14" ht="3.75" customHeight="1" x14ac:dyDescent="0.25"/>
    <row r="75" spans="2:14" ht="11.25" customHeight="1" x14ac:dyDescent="0.25"/>
    <row r="76" spans="2:14" ht="24.75" customHeight="1" x14ac:dyDescent="0.25">
      <c r="B76" s="386" t="s">
        <v>710</v>
      </c>
      <c r="C76" s="386"/>
      <c r="J76" s="266" t="s">
        <v>427</v>
      </c>
      <c r="K76" s="384" t="s">
        <v>425</v>
      </c>
      <c r="L76" s="384"/>
      <c r="M76" s="384"/>
      <c r="N76" s="384"/>
    </row>
    <row r="77" spans="2:14" ht="11.25" customHeight="1" x14ac:dyDescent="0.25"/>
    <row r="78" spans="2:14" ht="24.75" customHeight="1" x14ac:dyDescent="0.25">
      <c r="J78" s="266" t="s">
        <v>426</v>
      </c>
      <c r="K78" s="384" t="s">
        <v>425</v>
      </c>
      <c r="L78" s="384"/>
      <c r="M78" s="384"/>
      <c r="N78" s="384"/>
    </row>
    <row r="79" spans="2:14" ht="12.75" customHeight="1" x14ac:dyDescent="0.25"/>
    <row r="80" spans="2:14" ht="12.75" customHeight="1" x14ac:dyDescent="0.25">
      <c r="B80" s="509" t="s">
        <v>424</v>
      </c>
      <c r="C80" s="509"/>
    </row>
    <row r="81" spans="2:14" ht="22.15" customHeight="1" x14ac:dyDescent="0.25">
      <c r="B81" s="510"/>
      <c r="C81" s="510"/>
      <c r="D81" s="510"/>
      <c r="E81" s="510"/>
      <c r="F81" s="510"/>
      <c r="G81" s="510"/>
      <c r="H81" s="510"/>
      <c r="I81" s="510"/>
      <c r="J81" s="510"/>
      <c r="K81" s="510"/>
      <c r="L81" s="510"/>
      <c r="M81" s="510"/>
      <c r="N81" s="510"/>
    </row>
    <row r="82" spans="2:14" ht="11.25" customHeight="1" x14ac:dyDescent="0.25"/>
  </sheetData>
  <mergeCells count="58">
    <mergeCell ref="D48:I48"/>
    <mergeCell ref="B36:H36"/>
    <mergeCell ref="D42:I42"/>
    <mergeCell ref="D43:I43"/>
    <mergeCell ref="D44:I44"/>
    <mergeCell ref="D45:I45"/>
    <mergeCell ref="D47:I47"/>
    <mergeCell ref="D46:I46"/>
    <mergeCell ref="B7:N7"/>
    <mergeCell ref="D30:H30"/>
    <mergeCell ref="D31:H31"/>
    <mergeCell ref="D32:H32"/>
    <mergeCell ref="D33:H33"/>
    <mergeCell ref="B11:N11"/>
    <mergeCell ref="B12:N12"/>
    <mergeCell ref="D19:H19"/>
    <mergeCell ref="D20:H20"/>
    <mergeCell ref="D21:H21"/>
    <mergeCell ref="D29:H29"/>
    <mergeCell ref="M1:N3"/>
    <mergeCell ref="B2:J2"/>
    <mergeCell ref="C4:N4"/>
    <mergeCell ref="B6:G6"/>
    <mergeCell ref="H6:N6"/>
    <mergeCell ref="B1:J1"/>
    <mergeCell ref="J36:L36"/>
    <mergeCell ref="B38:N38"/>
    <mergeCell ref="D22:H22"/>
    <mergeCell ref="D23:H23"/>
    <mergeCell ref="D24:H24"/>
    <mergeCell ref="D35:H35"/>
    <mergeCell ref="D25:H25"/>
    <mergeCell ref="D26:H26"/>
    <mergeCell ref="D27:H27"/>
    <mergeCell ref="D28:H28"/>
    <mergeCell ref="D34:H34"/>
    <mergeCell ref="D49:I49"/>
    <mergeCell ref="D50:I50"/>
    <mergeCell ref="D59:I59"/>
    <mergeCell ref="D58:I58"/>
    <mergeCell ref="D55:I55"/>
    <mergeCell ref="D56:I56"/>
    <mergeCell ref="D57:I57"/>
    <mergeCell ref="D51:I51"/>
    <mergeCell ref="D52:I52"/>
    <mergeCell ref="D53:I53"/>
    <mergeCell ref="D54:I54"/>
    <mergeCell ref="B60:I60"/>
    <mergeCell ref="K60:L60"/>
    <mergeCell ref="B62:N62"/>
    <mergeCell ref="B80:C80"/>
    <mergeCell ref="B81:N81"/>
    <mergeCell ref="B66:N66"/>
    <mergeCell ref="K69:N69"/>
    <mergeCell ref="C71:M71"/>
    <mergeCell ref="B76:C76"/>
    <mergeCell ref="K76:N76"/>
    <mergeCell ref="K78:N78"/>
  </mergeCells>
  <pageMargins left="0.7" right="0.7" top="0.75" bottom="0.75" header="0.3" footer="0.3"/>
  <pageSetup paperSize="9" scale="60" orientation="portrait" horizontalDpi="203" verticalDpi="20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0DC5-9041-4640-A5D0-17A5B1780A05}">
  <sheetPr codeName="Лист20">
    <pageSetUpPr fitToPage="1"/>
  </sheetPr>
  <dimension ref="B1:N63"/>
  <sheetViews>
    <sheetView workbookViewId="0">
      <selection activeCell="P41" sqref="P41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8.140625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8.1406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8.1406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8.1406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8.1406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8.1406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8.1406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8.1406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8.1406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8.1406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8.1406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8.1406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8.1406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8.1406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8.1406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8.1406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8.1406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8.1406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8.1406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8.1406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8.1406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8.1406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8.1406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8.1406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8.1406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8.1406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8.1406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8.1406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8.1406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8.1406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8.1406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8.1406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8.1406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8.1406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8.1406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8.1406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8.1406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8.1406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8.1406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8.1406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8.1406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8.1406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8.1406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8.1406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8.1406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8.1406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8.1406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8.1406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8.1406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8.1406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8.1406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8.1406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8.1406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8.1406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8.1406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8.1406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8.1406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8.1406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8.1406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8.1406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8.1406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8.1406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8.1406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8.1406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764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2.75" customHeight="1" x14ac:dyDescent="0.25">
      <c r="B7" s="402" t="s">
        <v>763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24.7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762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3.5" customHeight="1" thickBot="1" x14ac:dyDescent="0.3">
      <c r="B21" s="281" t="s">
        <v>449</v>
      </c>
      <c r="C21" s="292"/>
      <c r="D21" s="413" t="s">
        <v>761</v>
      </c>
      <c r="E21" s="414"/>
      <c r="F21" s="414"/>
      <c r="G21" s="414"/>
      <c r="H21" s="415"/>
      <c r="I21" s="291">
        <v>1</v>
      </c>
      <c r="J21" s="290">
        <v>2500</v>
      </c>
      <c r="K21" s="289">
        <v>1</v>
      </c>
      <c r="L21" s="279" t="s">
        <v>11</v>
      </c>
      <c r="M21" s="277">
        <f t="shared" ref="M21:M27" si="0">J21*I21</f>
        <v>2500</v>
      </c>
      <c r="N21" s="276">
        <f t="shared" ref="N21:N28" si="1">M21*22/122</f>
        <v>450.81967213114751</v>
      </c>
    </row>
    <row r="22" spans="2:14" s="275" customFormat="1" ht="25.5" customHeight="1" thickBot="1" x14ac:dyDescent="0.3">
      <c r="B22" s="281" t="s">
        <v>446</v>
      </c>
      <c r="C22" s="292"/>
      <c r="D22" s="413" t="s">
        <v>760</v>
      </c>
      <c r="E22" s="414"/>
      <c r="F22" s="414"/>
      <c r="G22" s="414"/>
      <c r="H22" s="415"/>
      <c r="I22" s="291">
        <v>2</v>
      </c>
      <c r="J22" s="290">
        <v>1000</v>
      </c>
      <c r="K22" s="289">
        <v>1</v>
      </c>
      <c r="L22" s="279" t="s">
        <v>11</v>
      </c>
      <c r="M22" s="277">
        <f t="shared" si="0"/>
        <v>2000</v>
      </c>
      <c r="N22" s="276">
        <f t="shared" si="1"/>
        <v>360.65573770491801</v>
      </c>
    </row>
    <row r="23" spans="2:14" s="275" customFormat="1" ht="13.5" customHeight="1" thickBot="1" x14ac:dyDescent="0.3">
      <c r="B23" s="281" t="s">
        <v>443</v>
      </c>
      <c r="C23" s="292"/>
      <c r="D23" s="413" t="s">
        <v>510</v>
      </c>
      <c r="E23" s="414"/>
      <c r="F23" s="414"/>
      <c r="G23" s="414"/>
      <c r="H23" s="415"/>
      <c r="I23" s="291">
        <v>1</v>
      </c>
      <c r="J23" s="290">
        <v>300</v>
      </c>
      <c r="K23" s="289">
        <v>1</v>
      </c>
      <c r="L23" s="279" t="s">
        <v>11</v>
      </c>
      <c r="M23" s="277">
        <f t="shared" si="0"/>
        <v>300</v>
      </c>
      <c r="N23" s="276">
        <f t="shared" si="1"/>
        <v>54.098360655737707</v>
      </c>
    </row>
    <row r="24" spans="2:14" s="275" customFormat="1" ht="13.5" customHeight="1" thickBot="1" x14ac:dyDescent="0.3">
      <c r="B24" s="281" t="s">
        <v>440</v>
      </c>
      <c r="C24" s="292"/>
      <c r="D24" s="413" t="s">
        <v>759</v>
      </c>
      <c r="E24" s="414"/>
      <c r="F24" s="414"/>
      <c r="G24" s="414"/>
      <c r="H24" s="415"/>
      <c r="I24" s="291">
        <v>2</v>
      </c>
      <c r="J24" s="290">
        <v>2000</v>
      </c>
      <c r="K24" s="289">
        <v>1</v>
      </c>
      <c r="L24" s="279" t="s">
        <v>11</v>
      </c>
      <c r="M24" s="277">
        <f t="shared" si="0"/>
        <v>4000</v>
      </c>
      <c r="N24" s="276">
        <f t="shared" si="1"/>
        <v>721.31147540983602</v>
      </c>
    </row>
    <row r="25" spans="2:14" s="275" customFormat="1" ht="13.5" customHeight="1" thickBot="1" x14ac:dyDescent="0.3">
      <c r="B25" s="281" t="s">
        <v>453</v>
      </c>
      <c r="C25" s="292"/>
      <c r="D25" s="413" t="s">
        <v>758</v>
      </c>
      <c r="E25" s="414"/>
      <c r="F25" s="414"/>
      <c r="G25" s="414"/>
      <c r="H25" s="415"/>
      <c r="I25" s="291">
        <v>4</v>
      </c>
      <c r="J25" s="290">
        <v>350</v>
      </c>
      <c r="K25" s="289">
        <v>1</v>
      </c>
      <c r="L25" s="279" t="s">
        <v>11</v>
      </c>
      <c r="M25" s="277">
        <f t="shared" si="0"/>
        <v>1400</v>
      </c>
      <c r="N25" s="276">
        <f t="shared" si="1"/>
        <v>252.45901639344262</v>
      </c>
    </row>
    <row r="26" spans="2:14" s="275" customFormat="1" ht="13.5" customHeight="1" thickBot="1" x14ac:dyDescent="0.3">
      <c r="B26" s="281" t="s">
        <v>452</v>
      </c>
      <c r="C26" s="292"/>
      <c r="D26" s="413" t="s">
        <v>757</v>
      </c>
      <c r="E26" s="414"/>
      <c r="F26" s="414"/>
      <c r="G26" s="414"/>
      <c r="H26" s="415"/>
      <c r="I26" s="291">
        <v>1</v>
      </c>
      <c r="J26" s="290">
        <v>700</v>
      </c>
      <c r="K26" s="289">
        <v>1</v>
      </c>
      <c r="L26" s="279" t="s">
        <v>11</v>
      </c>
      <c r="M26" s="277">
        <f t="shared" si="0"/>
        <v>700</v>
      </c>
      <c r="N26" s="276">
        <f t="shared" si="1"/>
        <v>126.22950819672131</v>
      </c>
    </row>
    <row r="27" spans="2:14" s="275" customFormat="1" ht="15" customHeight="1" x14ac:dyDescent="0.25">
      <c r="B27" s="281" t="s">
        <v>451</v>
      </c>
      <c r="C27" s="292"/>
      <c r="D27" s="467" t="s">
        <v>756</v>
      </c>
      <c r="E27" s="468"/>
      <c r="F27" s="468"/>
      <c r="G27" s="468"/>
      <c r="H27" s="469"/>
      <c r="I27" s="291">
        <v>1</v>
      </c>
      <c r="J27" s="290">
        <v>300</v>
      </c>
      <c r="K27" s="289">
        <v>1</v>
      </c>
      <c r="L27" s="279" t="s">
        <v>11</v>
      </c>
      <c r="M27" s="277">
        <f t="shared" si="0"/>
        <v>300</v>
      </c>
      <c r="N27" s="276">
        <f t="shared" si="1"/>
        <v>54.098360655737707</v>
      </c>
    </row>
    <row r="28" spans="2:14" ht="12.75" customHeight="1" x14ac:dyDescent="0.25">
      <c r="B28" s="396" t="s">
        <v>464</v>
      </c>
      <c r="C28" s="396"/>
      <c r="D28" s="396"/>
      <c r="E28" s="396"/>
      <c r="F28" s="396"/>
      <c r="G28" s="396"/>
      <c r="H28" s="397"/>
      <c r="I28" s="288">
        <v>12</v>
      </c>
      <c r="J28" s="393" t="s">
        <v>435</v>
      </c>
      <c r="K28" s="394"/>
      <c r="L28" s="395"/>
      <c r="M28" s="273">
        <f>M21+M22+M23+M24+M25+M26+M27</f>
        <v>11200</v>
      </c>
      <c r="N28" s="276">
        <f t="shared" si="1"/>
        <v>2019.672131147541</v>
      </c>
    </row>
    <row r="29" spans="2:14" ht="5.25" customHeight="1" x14ac:dyDescent="0.25"/>
    <row r="30" spans="2:14" ht="12.75" customHeight="1" x14ac:dyDescent="0.25">
      <c r="B30" s="392" t="s">
        <v>755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1" spans="2:14" ht="11.25" customHeight="1" x14ac:dyDescent="0.25"/>
    <row r="32" spans="2:14" ht="15" customHeight="1" x14ac:dyDescent="0.25">
      <c r="C32" s="287" t="s">
        <v>754</v>
      </c>
    </row>
    <row r="33" spans="2:14" ht="11.25" customHeight="1" thickBot="1" x14ac:dyDescent="0.3">
      <c r="B33" s="286"/>
      <c r="C33" s="285"/>
      <c r="D33" s="285"/>
      <c r="H33" s="285"/>
      <c r="I33" s="285"/>
      <c r="M33" s="284"/>
      <c r="N33" s="284"/>
    </row>
    <row r="34" spans="2:14" ht="12.75" customHeight="1" thickBot="1" x14ac:dyDescent="0.3">
      <c r="B34" s="282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82" t="s">
        <v>458</v>
      </c>
      <c r="K34" s="282" t="s">
        <v>457</v>
      </c>
      <c r="L34" s="282" t="s">
        <v>456</v>
      </c>
      <c r="M34" s="282" t="s">
        <v>455</v>
      </c>
      <c r="N34" s="282" t="s">
        <v>454</v>
      </c>
    </row>
    <row r="35" spans="2:14" ht="12.75" customHeight="1" thickBot="1" x14ac:dyDescent="0.3">
      <c r="B35" s="282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82" t="s">
        <v>440</v>
      </c>
      <c r="K35" s="282" t="s">
        <v>453</v>
      </c>
      <c r="L35" s="282" t="s">
        <v>452</v>
      </c>
      <c r="M35" s="282" t="s">
        <v>451</v>
      </c>
      <c r="N35" s="282" t="s">
        <v>450</v>
      </c>
    </row>
    <row r="36" spans="2:14" s="275" customFormat="1" ht="26.25" customHeight="1" thickBot="1" x14ac:dyDescent="0.3">
      <c r="B36" s="281" t="s">
        <v>449</v>
      </c>
      <c r="C36" s="280" t="s">
        <v>687</v>
      </c>
      <c r="D36" s="467" t="s">
        <v>686</v>
      </c>
      <c r="E36" s="468"/>
      <c r="F36" s="468"/>
      <c r="G36" s="468"/>
      <c r="H36" s="468"/>
      <c r="I36" s="469"/>
      <c r="J36" s="279">
        <v>1</v>
      </c>
      <c r="K36" s="279" t="s">
        <v>520</v>
      </c>
      <c r="L36" s="278">
        <v>850</v>
      </c>
      <c r="M36" s="277">
        <f>L36*J36</f>
        <v>850</v>
      </c>
      <c r="N36" s="276">
        <f t="shared" ref="N36:N41" si="2">M36*22/122</f>
        <v>153.27868852459017</v>
      </c>
    </row>
    <row r="37" spans="2:14" s="275" customFormat="1" ht="24.75" customHeight="1" thickBot="1" x14ac:dyDescent="0.3">
      <c r="B37" s="281" t="s">
        <v>446</v>
      </c>
      <c r="C37" s="280" t="s">
        <v>753</v>
      </c>
      <c r="D37" s="467" t="s">
        <v>752</v>
      </c>
      <c r="E37" s="468"/>
      <c r="F37" s="468"/>
      <c r="G37" s="468"/>
      <c r="H37" s="468"/>
      <c r="I37" s="469"/>
      <c r="J37" s="279">
        <v>2</v>
      </c>
      <c r="K37" s="279" t="s">
        <v>437</v>
      </c>
      <c r="L37" s="278">
        <v>2500</v>
      </c>
      <c r="M37" s="277">
        <f>L37*J37</f>
        <v>5000</v>
      </c>
      <c r="N37" s="276">
        <f t="shared" si="2"/>
        <v>901.63934426229503</v>
      </c>
    </row>
    <row r="38" spans="2:14" s="275" customFormat="1" ht="24.75" customHeight="1" thickBot="1" x14ac:dyDescent="0.3">
      <c r="B38" s="281" t="s">
        <v>443</v>
      </c>
      <c r="C38" s="280" t="s">
        <v>751</v>
      </c>
      <c r="D38" s="467" t="s">
        <v>750</v>
      </c>
      <c r="E38" s="468"/>
      <c r="F38" s="468"/>
      <c r="G38" s="468"/>
      <c r="H38" s="468"/>
      <c r="I38" s="469"/>
      <c r="J38" s="279">
        <v>1</v>
      </c>
      <c r="K38" s="279" t="s">
        <v>520</v>
      </c>
      <c r="L38" s="278">
        <v>7200</v>
      </c>
      <c r="M38" s="277">
        <f>L38*J38</f>
        <v>7200</v>
      </c>
      <c r="N38" s="276">
        <f t="shared" si="2"/>
        <v>1298.360655737705</v>
      </c>
    </row>
    <row r="39" spans="2:14" s="275" customFormat="1" ht="24.75" customHeight="1" x14ac:dyDescent="0.25">
      <c r="B39" s="281" t="s">
        <v>440</v>
      </c>
      <c r="C39" s="280" t="s">
        <v>749</v>
      </c>
      <c r="D39" s="467" t="s">
        <v>748</v>
      </c>
      <c r="E39" s="468"/>
      <c r="F39" s="468"/>
      <c r="G39" s="468"/>
      <c r="H39" s="468"/>
      <c r="I39" s="469"/>
      <c r="J39" s="279">
        <v>4</v>
      </c>
      <c r="K39" s="279" t="s">
        <v>437</v>
      </c>
      <c r="L39" s="278">
        <v>200</v>
      </c>
      <c r="M39" s="277">
        <f>L39*J39</f>
        <v>800</v>
      </c>
      <c r="N39" s="276">
        <f t="shared" si="2"/>
        <v>144.26229508196721</v>
      </c>
    </row>
    <row r="40" spans="2:14" s="275" customFormat="1" ht="25.5" customHeight="1" x14ac:dyDescent="0.25">
      <c r="B40" s="281" t="s">
        <v>453</v>
      </c>
      <c r="C40" s="292" t="s">
        <v>717</v>
      </c>
      <c r="D40" s="389" t="s">
        <v>716</v>
      </c>
      <c r="E40" s="390"/>
      <c r="F40" s="390"/>
      <c r="G40" s="390"/>
      <c r="H40" s="390"/>
      <c r="I40" s="391"/>
      <c r="J40" s="291">
        <v>1</v>
      </c>
      <c r="K40" s="279" t="s">
        <v>437</v>
      </c>
      <c r="L40" s="278">
        <v>6800</v>
      </c>
      <c r="M40" s="277">
        <f>L40*J40</f>
        <v>6800</v>
      </c>
      <c r="N40" s="276">
        <f t="shared" si="2"/>
        <v>1226.2295081967213</v>
      </c>
    </row>
    <row r="41" spans="2:14" ht="21" customHeight="1" x14ac:dyDescent="0.25">
      <c r="B41" s="396" t="s">
        <v>436</v>
      </c>
      <c r="C41" s="396"/>
      <c r="D41" s="396"/>
      <c r="E41" s="396"/>
      <c r="F41" s="396"/>
      <c r="G41" s="396"/>
      <c r="H41" s="396"/>
      <c r="I41" s="397"/>
      <c r="J41" s="274">
        <v>9</v>
      </c>
      <c r="K41" s="393" t="s">
        <v>435</v>
      </c>
      <c r="L41" s="395"/>
      <c r="M41" s="273">
        <f>M36+M37+M38+M39+M40</f>
        <v>20650</v>
      </c>
      <c r="N41" s="272">
        <f t="shared" si="2"/>
        <v>3723.7704918032787</v>
      </c>
    </row>
    <row r="42" spans="2:14" ht="5.25" customHeight="1" x14ac:dyDescent="0.25"/>
    <row r="43" spans="2:14" ht="12.75" customHeight="1" x14ac:dyDescent="0.25">
      <c r="B43" s="392" t="s">
        <v>747</v>
      </c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</row>
    <row r="44" spans="2:14" ht="11.25" customHeight="1" thickBot="1" x14ac:dyDescent="0.3"/>
    <row r="45" spans="2:14" ht="12.75" customHeight="1" thickTop="1" thickBot="1" x14ac:dyDescent="0.3">
      <c r="B45" s="271"/>
      <c r="C45" s="271"/>
      <c r="D45" s="271"/>
      <c r="E45" s="271"/>
      <c r="F45" s="271"/>
      <c r="G45" s="271"/>
      <c r="H45" s="271"/>
      <c r="I45" s="271"/>
      <c r="J45" s="271"/>
      <c r="K45" s="270"/>
      <c r="L45" s="270" t="s">
        <v>433</v>
      </c>
      <c r="M45" s="269">
        <f>M28+M41</f>
        <v>31850</v>
      </c>
      <c r="N45" s="268">
        <f>M45*20/120</f>
        <v>5308.333333333333</v>
      </c>
    </row>
    <row r="46" spans="2:14" ht="5.25" customHeight="1" thickTop="1" x14ac:dyDescent="0.25"/>
    <row r="47" spans="2:14" ht="12.75" customHeight="1" x14ac:dyDescent="0.25">
      <c r="B47" s="388" t="s">
        <v>746</v>
      </c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</row>
    <row r="48" spans="2:14" ht="11.25" customHeight="1" x14ac:dyDescent="0.25"/>
    <row r="49" spans="2:14" ht="11.25" customHeight="1" x14ac:dyDescent="0.25"/>
    <row r="50" spans="2:14" ht="12.75" customHeight="1" x14ac:dyDescent="0.25">
      <c r="J50" s="266" t="s">
        <v>431</v>
      </c>
      <c r="K50" s="384" t="s">
        <v>430</v>
      </c>
      <c r="L50" s="384"/>
      <c r="M50" s="384"/>
      <c r="N50" s="384"/>
    </row>
    <row r="51" spans="2:14" ht="6" customHeight="1" x14ac:dyDescent="0.25"/>
    <row r="52" spans="2:14" ht="48.75" customHeight="1" x14ac:dyDescent="0.25">
      <c r="B52" s="267"/>
      <c r="C52" s="385" t="s">
        <v>429</v>
      </c>
      <c r="D52" s="385"/>
      <c r="E52" s="385"/>
      <c r="F52" s="385"/>
      <c r="G52" s="385"/>
      <c r="H52" s="385"/>
      <c r="I52" s="385"/>
      <c r="J52" s="385"/>
      <c r="K52" s="385"/>
      <c r="L52" s="385"/>
      <c r="M52" s="385"/>
    </row>
    <row r="53" spans="2:14" ht="6" customHeight="1" x14ac:dyDescent="0.25"/>
    <row r="54" spans="2:14" ht="1.1499999999999999" customHeight="1" x14ac:dyDescent="0.25"/>
    <row r="55" spans="2:14" ht="3.75" customHeight="1" x14ac:dyDescent="0.25"/>
    <row r="56" spans="2:14" ht="11.25" customHeight="1" x14ac:dyDescent="0.25"/>
    <row r="57" spans="2:14" ht="24.75" customHeight="1" x14ac:dyDescent="0.25">
      <c r="B57" s="386" t="s">
        <v>485</v>
      </c>
      <c r="C57" s="386"/>
      <c r="J57" s="266" t="s">
        <v>427</v>
      </c>
      <c r="K57" s="384" t="s">
        <v>425</v>
      </c>
      <c r="L57" s="384"/>
      <c r="M57" s="384"/>
      <c r="N57" s="384"/>
    </row>
    <row r="58" spans="2:14" ht="11.25" customHeight="1" x14ac:dyDescent="0.25"/>
    <row r="59" spans="2:14" ht="24.75" customHeight="1" x14ac:dyDescent="0.25">
      <c r="J59" s="266" t="s">
        <v>426</v>
      </c>
      <c r="K59" s="384" t="s">
        <v>425</v>
      </c>
      <c r="L59" s="384"/>
      <c r="M59" s="384"/>
      <c r="N59" s="384"/>
    </row>
    <row r="60" spans="2:14" ht="12.75" customHeight="1" x14ac:dyDescent="0.25"/>
    <row r="61" spans="2:14" ht="12.75" customHeight="1" x14ac:dyDescent="0.25">
      <c r="B61" s="387" t="s">
        <v>424</v>
      </c>
      <c r="C61" s="387"/>
    </row>
    <row r="62" spans="2:14" ht="22.15" customHeight="1" x14ac:dyDescent="0.25">
      <c r="B62" s="381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3"/>
    </row>
    <row r="63" spans="2:14" ht="11.25" customHeight="1" x14ac:dyDescent="0.25"/>
  </sheetData>
  <mergeCells count="39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24:H24"/>
    <mergeCell ref="B41:I41"/>
    <mergeCell ref="K41:L41"/>
    <mergeCell ref="B43:N43"/>
    <mergeCell ref="D40:I40"/>
    <mergeCell ref="D23:H23"/>
    <mergeCell ref="D27:H27"/>
    <mergeCell ref="D35:I35"/>
    <mergeCell ref="D36:I36"/>
    <mergeCell ref="B30:N30"/>
    <mergeCell ref="B62:N62"/>
    <mergeCell ref="D25:H25"/>
    <mergeCell ref="D26:H26"/>
    <mergeCell ref="D37:I37"/>
    <mergeCell ref="D38:I38"/>
    <mergeCell ref="B57:C57"/>
    <mergeCell ref="K57:N57"/>
    <mergeCell ref="K59:N59"/>
    <mergeCell ref="B61:C61"/>
    <mergeCell ref="K50:N50"/>
    <mergeCell ref="C52:M52"/>
    <mergeCell ref="B28:H28"/>
    <mergeCell ref="J28:L28"/>
    <mergeCell ref="B47:N47"/>
    <mergeCell ref="D39:I39"/>
    <mergeCell ref="D34:I34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320A-6694-4DC2-B575-A77BC11F12D9}">
  <sheetPr codeName="Лист21">
    <pageSetUpPr fitToPage="1"/>
  </sheetPr>
  <dimension ref="B1:N59"/>
  <sheetViews>
    <sheetView topLeftCell="A25" workbookViewId="0">
      <selection activeCell="I40" sqref="I40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8.140625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8.1406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8.1406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8.1406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8.1406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8.1406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8.1406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8.1406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8.1406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8.1406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8.1406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8.1406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8.1406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8.1406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8.1406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8.1406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8.1406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8.1406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8.1406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8.1406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8.1406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8.1406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8.1406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8.1406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8.1406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8.1406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8.1406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8.1406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8.1406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8.1406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8.1406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8.1406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8.1406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8.1406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8.1406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8.1406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8.1406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8.1406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8.1406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8.1406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8.1406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8.1406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8.1406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8.1406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8.1406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8.1406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8.1406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8.1406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8.1406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8.1406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8.1406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8.1406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8.1406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8.1406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8.1406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8.1406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8.1406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8.1406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8.1406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8.1406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8.1406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8.1406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8.1406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8.1406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777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2.75" customHeight="1" x14ac:dyDescent="0.25">
      <c r="B7" s="402" t="s">
        <v>776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24.7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775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3.5" customHeight="1" thickBot="1" x14ac:dyDescent="0.3">
      <c r="B21" s="281" t="s">
        <v>449</v>
      </c>
      <c r="C21" s="292"/>
      <c r="D21" s="413" t="s">
        <v>774</v>
      </c>
      <c r="E21" s="414"/>
      <c r="F21" s="414"/>
      <c r="G21" s="414"/>
      <c r="H21" s="415"/>
      <c r="I21" s="291">
        <v>1</v>
      </c>
      <c r="J21" s="290">
        <v>500</v>
      </c>
      <c r="K21" s="289">
        <v>1</v>
      </c>
      <c r="L21" s="279" t="s">
        <v>11</v>
      </c>
      <c r="M21" s="277">
        <f>J21*I21</f>
        <v>500</v>
      </c>
      <c r="N21" s="276">
        <f>M21*22/122</f>
        <v>90.163934426229503</v>
      </c>
    </row>
    <row r="22" spans="2:14" s="275" customFormat="1" ht="25.5" customHeight="1" thickBot="1" x14ac:dyDescent="0.3">
      <c r="B22" s="281" t="s">
        <v>446</v>
      </c>
      <c r="C22" s="292"/>
      <c r="D22" s="413" t="s">
        <v>760</v>
      </c>
      <c r="E22" s="414"/>
      <c r="F22" s="414"/>
      <c r="G22" s="414"/>
      <c r="H22" s="415"/>
      <c r="I22" s="291">
        <v>2</v>
      </c>
      <c r="J22" s="290">
        <v>1000</v>
      </c>
      <c r="K22" s="289">
        <v>1</v>
      </c>
      <c r="L22" s="279" t="s">
        <v>11</v>
      </c>
      <c r="M22" s="277">
        <f>J22*I22</f>
        <v>2000</v>
      </c>
      <c r="N22" s="276">
        <f>M22*22/122</f>
        <v>360.65573770491801</v>
      </c>
    </row>
    <row r="23" spans="2:14" s="275" customFormat="1" ht="13.5" customHeight="1" thickBot="1" x14ac:dyDescent="0.3">
      <c r="B23" s="281" t="s">
        <v>443</v>
      </c>
      <c r="C23" s="292"/>
      <c r="D23" s="413" t="s">
        <v>759</v>
      </c>
      <c r="E23" s="414"/>
      <c r="F23" s="414"/>
      <c r="G23" s="414"/>
      <c r="H23" s="415"/>
      <c r="I23" s="291">
        <v>2</v>
      </c>
      <c r="J23" s="290">
        <v>2000</v>
      </c>
      <c r="K23" s="289">
        <v>1</v>
      </c>
      <c r="L23" s="279" t="s">
        <v>11</v>
      </c>
      <c r="M23" s="277">
        <f>J23*I23</f>
        <v>4000</v>
      </c>
      <c r="N23" s="276">
        <f>M23*22/122</f>
        <v>721.31147540983602</v>
      </c>
    </row>
    <row r="24" spans="2:14" ht="12.75" customHeight="1" x14ac:dyDescent="0.25">
      <c r="B24" s="396" t="s">
        <v>464</v>
      </c>
      <c r="C24" s="396"/>
      <c r="D24" s="396"/>
      <c r="E24" s="396"/>
      <c r="F24" s="396"/>
      <c r="G24" s="396"/>
      <c r="H24" s="397"/>
      <c r="I24" s="288">
        <v>5</v>
      </c>
      <c r="J24" s="393" t="s">
        <v>435</v>
      </c>
      <c r="K24" s="394"/>
      <c r="L24" s="395"/>
      <c r="M24" s="273">
        <f>M21+M22+M23</f>
        <v>6500</v>
      </c>
      <c r="N24" s="276">
        <f>M24*22/122</f>
        <v>1172.1311475409836</v>
      </c>
    </row>
    <row r="25" spans="2:14" ht="5.25" customHeight="1" x14ac:dyDescent="0.25"/>
    <row r="26" spans="2:14" ht="12.75" customHeight="1" x14ac:dyDescent="0.25">
      <c r="B26" s="392" t="s">
        <v>773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11.25" customHeight="1" x14ac:dyDescent="0.25"/>
    <row r="28" spans="2:14" ht="15" customHeight="1" x14ac:dyDescent="0.25">
      <c r="C28" s="287" t="s">
        <v>772</v>
      </c>
    </row>
    <row r="29" spans="2:14" ht="11.25" customHeight="1" thickBot="1" x14ac:dyDescent="0.3">
      <c r="B29" s="286"/>
      <c r="C29" s="285"/>
      <c r="D29" s="285"/>
      <c r="H29" s="285"/>
      <c r="I29" s="285"/>
      <c r="M29" s="284"/>
      <c r="N29" s="284"/>
    </row>
    <row r="30" spans="2:14" ht="12.75" customHeight="1" thickBot="1" x14ac:dyDescent="0.3">
      <c r="B30" s="282" t="s">
        <v>461</v>
      </c>
      <c r="C30" s="283" t="s">
        <v>460</v>
      </c>
      <c r="D30" s="398" t="s">
        <v>459</v>
      </c>
      <c r="E30" s="399"/>
      <c r="F30" s="399"/>
      <c r="G30" s="399"/>
      <c r="H30" s="399"/>
      <c r="I30" s="400"/>
      <c r="J30" s="282" t="s">
        <v>458</v>
      </c>
      <c r="K30" s="282" t="s">
        <v>457</v>
      </c>
      <c r="L30" s="282" t="s">
        <v>456</v>
      </c>
      <c r="M30" s="282" t="s">
        <v>455</v>
      </c>
      <c r="N30" s="282" t="s">
        <v>454</v>
      </c>
    </row>
    <row r="31" spans="2:14" ht="12.75" customHeight="1" thickBot="1" x14ac:dyDescent="0.3">
      <c r="B31" s="282" t="s">
        <v>449</v>
      </c>
      <c r="C31" s="283" t="s">
        <v>446</v>
      </c>
      <c r="D31" s="398" t="s">
        <v>443</v>
      </c>
      <c r="E31" s="399"/>
      <c r="F31" s="399"/>
      <c r="G31" s="399"/>
      <c r="H31" s="399"/>
      <c r="I31" s="400"/>
      <c r="J31" s="282" t="s">
        <v>440</v>
      </c>
      <c r="K31" s="282" t="s">
        <v>453</v>
      </c>
      <c r="L31" s="282" t="s">
        <v>452</v>
      </c>
      <c r="M31" s="282" t="s">
        <v>451</v>
      </c>
      <c r="N31" s="282" t="s">
        <v>450</v>
      </c>
    </row>
    <row r="32" spans="2:14" s="275" customFormat="1" ht="26.25" customHeight="1" thickBot="1" x14ac:dyDescent="0.3">
      <c r="B32" s="281" t="s">
        <v>449</v>
      </c>
      <c r="C32" s="280" t="s">
        <v>687</v>
      </c>
      <c r="D32" s="467" t="s">
        <v>686</v>
      </c>
      <c r="E32" s="468"/>
      <c r="F32" s="468"/>
      <c r="G32" s="468"/>
      <c r="H32" s="468"/>
      <c r="I32" s="469"/>
      <c r="J32" s="279">
        <v>1</v>
      </c>
      <c r="K32" s="279" t="s">
        <v>520</v>
      </c>
      <c r="L32" s="278">
        <v>850</v>
      </c>
      <c r="M32" s="277">
        <f>L32*J32</f>
        <v>850</v>
      </c>
      <c r="N32" s="276">
        <f t="shared" ref="N32:N37" si="0">M32*22/122</f>
        <v>153.27868852459017</v>
      </c>
    </row>
    <row r="33" spans="2:14" s="275" customFormat="1" ht="24.75" customHeight="1" thickBot="1" x14ac:dyDescent="0.3">
      <c r="B33" s="281" t="s">
        <v>446</v>
      </c>
      <c r="C33" s="280" t="s">
        <v>753</v>
      </c>
      <c r="D33" s="467" t="s">
        <v>752</v>
      </c>
      <c r="E33" s="468"/>
      <c r="F33" s="468"/>
      <c r="G33" s="468"/>
      <c r="H33" s="468"/>
      <c r="I33" s="469"/>
      <c r="J33" s="279">
        <v>2</v>
      </c>
      <c r="K33" s="279" t="s">
        <v>437</v>
      </c>
      <c r="L33" s="278">
        <v>2500</v>
      </c>
      <c r="M33" s="277">
        <f>L33*J33</f>
        <v>5000</v>
      </c>
      <c r="N33" s="276">
        <f t="shared" si="0"/>
        <v>901.63934426229503</v>
      </c>
    </row>
    <row r="34" spans="2:14" s="275" customFormat="1" ht="24.75" customHeight="1" thickBot="1" x14ac:dyDescent="0.3">
      <c r="B34" s="281" t="s">
        <v>443</v>
      </c>
      <c r="C34" s="280" t="s">
        <v>771</v>
      </c>
      <c r="D34" s="467" t="s">
        <v>770</v>
      </c>
      <c r="E34" s="468"/>
      <c r="F34" s="468"/>
      <c r="G34" s="468"/>
      <c r="H34" s="468"/>
      <c r="I34" s="469"/>
      <c r="J34" s="279">
        <v>1</v>
      </c>
      <c r="K34" s="279" t="s">
        <v>520</v>
      </c>
      <c r="L34" s="278">
        <v>7200</v>
      </c>
      <c r="M34" s="277">
        <f>L34*J34</f>
        <v>7200</v>
      </c>
      <c r="N34" s="276">
        <f t="shared" si="0"/>
        <v>1298.360655737705</v>
      </c>
    </row>
    <row r="35" spans="2:14" s="275" customFormat="1" ht="24.75" customHeight="1" thickBot="1" x14ac:dyDescent="0.3">
      <c r="B35" s="281" t="s">
        <v>440</v>
      </c>
      <c r="C35" s="280" t="s">
        <v>769</v>
      </c>
      <c r="D35" s="467" t="s">
        <v>768</v>
      </c>
      <c r="E35" s="468"/>
      <c r="F35" s="468"/>
      <c r="G35" s="468"/>
      <c r="H35" s="468"/>
      <c r="I35" s="469"/>
      <c r="J35" s="279">
        <v>2</v>
      </c>
      <c r="K35" s="279" t="s">
        <v>437</v>
      </c>
      <c r="L35" s="278">
        <v>325</v>
      </c>
      <c r="M35" s="277">
        <f>L35*J35</f>
        <v>650</v>
      </c>
      <c r="N35" s="276">
        <f t="shared" si="0"/>
        <v>117.21311475409836</v>
      </c>
    </row>
    <row r="36" spans="2:14" s="275" customFormat="1" ht="13.5" customHeight="1" x14ac:dyDescent="0.25">
      <c r="B36" s="281" t="s">
        <v>453</v>
      </c>
      <c r="C36" s="280" t="s">
        <v>767</v>
      </c>
      <c r="D36" s="467" t="s">
        <v>518</v>
      </c>
      <c r="E36" s="468"/>
      <c r="F36" s="468"/>
      <c r="G36" s="468"/>
      <c r="H36" s="468"/>
      <c r="I36" s="469"/>
      <c r="J36" s="279">
        <v>1</v>
      </c>
      <c r="K36" s="279" t="s">
        <v>437</v>
      </c>
      <c r="L36" s="278">
        <v>250</v>
      </c>
      <c r="M36" s="277">
        <f>L36*J36</f>
        <v>250</v>
      </c>
      <c r="N36" s="276">
        <f t="shared" si="0"/>
        <v>45.081967213114751</v>
      </c>
    </row>
    <row r="37" spans="2:14" ht="21" customHeight="1" x14ac:dyDescent="0.25">
      <c r="B37" s="396" t="s">
        <v>436</v>
      </c>
      <c r="C37" s="396"/>
      <c r="D37" s="396"/>
      <c r="E37" s="396"/>
      <c r="F37" s="396"/>
      <c r="G37" s="396"/>
      <c r="H37" s="396"/>
      <c r="I37" s="397"/>
      <c r="J37" s="274">
        <v>7</v>
      </c>
      <c r="K37" s="393" t="s">
        <v>435</v>
      </c>
      <c r="L37" s="395"/>
      <c r="M37" s="273">
        <f>M32+M33+M34+M35+M36</f>
        <v>13950</v>
      </c>
      <c r="N37" s="272">
        <f t="shared" si="0"/>
        <v>2515.5737704918033</v>
      </c>
    </row>
    <row r="38" spans="2:14" ht="5.25" customHeight="1" x14ac:dyDescent="0.25"/>
    <row r="39" spans="2:14" ht="12.75" customHeight="1" x14ac:dyDescent="0.25">
      <c r="B39" s="392" t="s">
        <v>766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</row>
    <row r="40" spans="2:14" ht="11.25" customHeight="1" thickBot="1" x14ac:dyDescent="0.3"/>
    <row r="41" spans="2:14" ht="12.75" customHeight="1" thickTop="1" thickBot="1" x14ac:dyDescent="0.3">
      <c r="B41" s="271"/>
      <c r="C41" s="271"/>
      <c r="D41" s="271"/>
      <c r="E41" s="271"/>
      <c r="F41" s="271"/>
      <c r="G41" s="271"/>
      <c r="H41" s="271"/>
      <c r="I41" s="271"/>
      <c r="J41" s="271"/>
      <c r="K41" s="270"/>
      <c r="L41" s="270" t="s">
        <v>433</v>
      </c>
      <c r="M41" s="269">
        <f>M24+M37</f>
        <v>20450</v>
      </c>
      <c r="N41" s="268">
        <f>M41*20/120</f>
        <v>3408.3333333333335</v>
      </c>
    </row>
    <row r="42" spans="2:14" ht="5.25" customHeight="1" thickTop="1" x14ac:dyDescent="0.25"/>
    <row r="43" spans="2:14" ht="12.75" customHeight="1" x14ac:dyDescent="0.25">
      <c r="B43" s="388" t="s">
        <v>765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</row>
    <row r="44" spans="2:14" ht="11.25" customHeight="1" x14ac:dyDescent="0.25"/>
    <row r="45" spans="2:14" ht="11.25" customHeight="1" x14ac:dyDescent="0.25"/>
    <row r="46" spans="2:14" ht="12.75" customHeight="1" x14ac:dyDescent="0.25">
      <c r="J46" s="266" t="s">
        <v>431</v>
      </c>
      <c r="K46" s="384" t="s">
        <v>430</v>
      </c>
      <c r="L46" s="384"/>
      <c r="M46" s="384"/>
      <c r="N46" s="384"/>
    </row>
    <row r="47" spans="2:14" ht="6" customHeight="1" x14ac:dyDescent="0.25"/>
    <row r="48" spans="2:14" ht="48.75" customHeight="1" x14ac:dyDescent="0.25">
      <c r="B48" s="267"/>
      <c r="C48" s="385" t="s">
        <v>429</v>
      </c>
      <c r="D48" s="385"/>
      <c r="E48" s="385"/>
      <c r="F48" s="385"/>
      <c r="G48" s="385"/>
      <c r="H48" s="385"/>
      <c r="I48" s="385"/>
      <c r="J48" s="385"/>
      <c r="K48" s="385"/>
      <c r="L48" s="385"/>
      <c r="M48" s="385"/>
    </row>
    <row r="49" spans="2:14" ht="6" customHeight="1" x14ac:dyDescent="0.25"/>
    <row r="50" spans="2:14" ht="1.1499999999999999" customHeight="1" x14ac:dyDescent="0.25"/>
    <row r="51" spans="2:14" ht="3.75" customHeight="1" x14ac:dyDescent="0.25"/>
    <row r="52" spans="2:14" ht="11.25" customHeight="1" x14ac:dyDescent="0.25"/>
    <row r="53" spans="2:14" ht="24.75" customHeight="1" x14ac:dyDescent="0.25">
      <c r="B53" s="386" t="s">
        <v>428</v>
      </c>
      <c r="C53" s="386"/>
      <c r="J53" s="266" t="s">
        <v>427</v>
      </c>
      <c r="K53" s="384" t="s">
        <v>425</v>
      </c>
      <c r="L53" s="384"/>
      <c r="M53" s="384"/>
      <c r="N53" s="384"/>
    </row>
    <row r="54" spans="2:14" ht="11.25" customHeight="1" x14ac:dyDescent="0.25"/>
    <row r="55" spans="2:14" ht="24.75" customHeight="1" x14ac:dyDescent="0.25">
      <c r="J55" s="266" t="s">
        <v>426</v>
      </c>
      <c r="K55" s="384" t="s">
        <v>425</v>
      </c>
      <c r="L55" s="384"/>
      <c r="M55" s="384"/>
      <c r="N55" s="384"/>
    </row>
    <row r="56" spans="2:14" ht="12.75" customHeight="1" x14ac:dyDescent="0.25"/>
    <row r="57" spans="2:14" ht="12.75" customHeight="1" x14ac:dyDescent="0.25">
      <c r="B57" s="387" t="s">
        <v>424</v>
      </c>
      <c r="C57" s="387"/>
    </row>
    <row r="58" spans="2:14" ht="22.15" customHeight="1" x14ac:dyDescent="0.25">
      <c r="B58" s="381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3"/>
    </row>
    <row r="59" spans="2:14" ht="11.25" customHeight="1" x14ac:dyDescent="0.25"/>
  </sheetData>
  <mergeCells count="35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B37:I37"/>
    <mergeCell ref="K37:L37"/>
    <mergeCell ref="B39:N39"/>
    <mergeCell ref="K46:N46"/>
    <mergeCell ref="J24:L24"/>
    <mergeCell ref="B26:N26"/>
    <mergeCell ref="B43:N43"/>
    <mergeCell ref="D23:H23"/>
    <mergeCell ref="B24:H24"/>
    <mergeCell ref="B58:N58"/>
    <mergeCell ref="D33:I33"/>
    <mergeCell ref="D34:I34"/>
    <mergeCell ref="D36:I36"/>
    <mergeCell ref="D30:I30"/>
    <mergeCell ref="B53:C53"/>
    <mergeCell ref="K53:N53"/>
    <mergeCell ref="K55:N55"/>
    <mergeCell ref="B57:C57"/>
    <mergeCell ref="C48:M48"/>
    <mergeCell ref="D31:I31"/>
    <mergeCell ref="D32:I32"/>
    <mergeCell ref="D35:I35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CAFF-9B76-4D6B-A1C2-8179A0830E6E}">
  <sheetPr codeName="Лист22">
    <pageSetUpPr fitToPage="1"/>
  </sheetPr>
  <dimension ref="B1:N67"/>
  <sheetViews>
    <sheetView topLeftCell="A3" workbookViewId="0">
      <selection activeCell="B7" sqref="B7:N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42578125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798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797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796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thickBot="1" x14ac:dyDescent="0.3">
      <c r="B21" s="281" t="s">
        <v>449</v>
      </c>
      <c r="C21" s="292"/>
      <c r="D21" s="467" t="s">
        <v>467</v>
      </c>
      <c r="E21" s="468"/>
      <c r="F21" s="468"/>
      <c r="G21" s="468"/>
      <c r="H21" s="469"/>
      <c r="I21" s="291">
        <v>1</v>
      </c>
      <c r="J21" s="290">
        <v>800</v>
      </c>
      <c r="K21" s="289">
        <v>1</v>
      </c>
      <c r="L21" s="279" t="s">
        <v>11</v>
      </c>
      <c r="M21" s="277">
        <f t="shared" ref="M21:M32" si="0">J21*I21</f>
        <v>800</v>
      </c>
      <c r="N21" s="276">
        <f t="shared" ref="N21:N33" si="1">M21*22/122</f>
        <v>144.26229508196721</v>
      </c>
    </row>
    <row r="22" spans="2:14" s="275" customFormat="1" ht="13.5" customHeight="1" x14ac:dyDescent="0.25">
      <c r="B22" s="281" t="s">
        <v>446</v>
      </c>
      <c r="C22" s="292"/>
      <c r="D22" s="467" t="s">
        <v>465</v>
      </c>
      <c r="E22" s="468"/>
      <c r="F22" s="468"/>
      <c r="G22" s="468"/>
      <c r="H22" s="469"/>
      <c r="I22" s="291">
        <v>1</v>
      </c>
      <c r="J22" s="290">
        <v>250</v>
      </c>
      <c r="K22" s="289">
        <v>1</v>
      </c>
      <c r="L22" s="279" t="s">
        <v>11</v>
      </c>
      <c r="M22" s="277">
        <f t="shared" si="0"/>
        <v>250</v>
      </c>
      <c r="N22" s="276">
        <f t="shared" si="1"/>
        <v>45.081967213114751</v>
      </c>
    </row>
    <row r="23" spans="2:14" s="275" customFormat="1" ht="13.5" customHeight="1" x14ac:dyDescent="0.25">
      <c r="B23" s="281" t="s">
        <v>443</v>
      </c>
      <c r="C23" s="292"/>
      <c r="D23" s="389" t="s">
        <v>466</v>
      </c>
      <c r="E23" s="390"/>
      <c r="F23" s="390"/>
      <c r="G23" s="390"/>
      <c r="H23" s="391"/>
      <c r="I23" s="291">
        <v>1</v>
      </c>
      <c r="J23" s="300">
        <v>500</v>
      </c>
      <c r="K23" s="289">
        <v>1</v>
      </c>
      <c r="L23" s="279" t="s">
        <v>11</v>
      </c>
      <c r="M23" s="277">
        <f t="shared" si="0"/>
        <v>500</v>
      </c>
      <c r="N23" s="276">
        <f t="shared" si="1"/>
        <v>90.163934426229503</v>
      </c>
    </row>
    <row r="24" spans="2:14" s="275" customFormat="1" ht="13.5" customHeight="1" x14ac:dyDescent="0.25">
      <c r="B24" s="281" t="s">
        <v>440</v>
      </c>
      <c r="C24" s="292"/>
      <c r="D24" s="389" t="s">
        <v>756</v>
      </c>
      <c r="E24" s="390"/>
      <c r="F24" s="390"/>
      <c r="G24" s="390"/>
      <c r="H24" s="391"/>
      <c r="I24" s="291">
        <v>1</v>
      </c>
      <c r="J24" s="300">
        <v>500</v>
      </c>
      <c r="K24" s="289">
        <v>1</v>
      </c>
      <c r="L24" s="279" t="s">
        <v>11</v>
      </c>
      <c r="M24" s="277">
        <f t="shared" si="0"/>
        <v>500</v>
      </c>
      <c r="N24" s="276">
        <f t="shared" si="1"/>
        <v>90.163934426229503</v>
      </c>
    </row>
    <row r="25" spans="2:14" s="275" customFormat="1" ht="13.5" customHeight="1" x14ac:dyDescent="0.25">
      <c r="B25" s="281" t="s">
        <v>453</v>
      </c>
      <c r="C25" s="292"/>
      <c r="D25" s="389" t="s">
        <v>696</v>
      </c>
      <c r="E25" s="390"/>
      <c r="F25" s="390"/>
      <c r="G25" s="390"/>
      <c r="H25" s="391"/>
      <c r="I25" s="291">
        <v>1</v>
      </c>
      <c r="J25" s="300">
        <v>1500</v>
      </c>
      <c r="K25" s="289">
        <v>1</v>
      </c>
      <c r="L25" s="279" t="s">
        <v>11</v>
      </c>
      <c r="M25" s="277">
        <f t="shared" si="0"/>
        <v>1500</v>
      </c>
      <c r="N25" s="276">
        <f t="shared" si="1"/>
        <v>270.49180327868851</v>
      </c>
    </row>
    <row r="26" spans="2:14" s="275" customFormat="1" ht="13.5" customHeight="1" x14ac:dyDescent="0.25">
      <c r="B26" s="281" t="s">
        <v>452</v>
      </c>
      <c r="C26" s="292"/>
      <c r="D26" s="389" t="s">
        <v>795</v>
      </c>
      <c r="E26" s="390"/>
      <c r="F26" s="390"/>
      <c r="G26" s="390"/>
      <c r="H26" s="391"/>
      <c r="I26" s="291">
        <v>1</v>
      </c>
      <c r="J26" s="300">
        <v>2200</v>
      </c>
      <c r="K26" s="289">
        <v>1</v>
      </c>
      <c r="L26" s="279" t="s">
        <v>11</v>
      </c>
      <c r="M26" s="277">
        <f t="shared" si="0"/>
        <v>2200</v>
      </c>
      <c r="N26" s="276">
        <f t="shared" si="1"/>
        <v>396.72131147540983</v>
      </c>
    </row>
    <row r="27" spans="2:14" s="275" customFormat="1" ht="13.5" customHeight="1" x14ac:dyDescent="0.25">
      <c r="B27" s="281" t="s">
        <v>451</v>
      </c>
      <c r="C27" s="292"/>
      <c r="D27" s="389" t="s">
        <v>794</v>
      </c>
      <c r="E27" s="390"/>
      <c r="F27" s="390"/>
      <c r="G27" s="390"/>
      <c r="H27" s="391"/>
      <c r="I27" s="291">
        <v>1</v>
      </c>
      <c r="J27" s="300">
        <v>1200</v>
      </c>
      <c r="K27" s="289">
        <v>1</v>
      </c>
      <c r="L27" s="279" t="s">
        <v>11</v>
      </c>
      <c r="M27" s="277">
        <f t="shared" si="0"/>
        <v>1200</v>
      </c>
      <c r="N27" s="276">
        <f t="shared" si="1"/>
        <v>216.39344262295083</v>
      </c>
    </row>
    <row r="28" spans="2:14" s="275" customFormat="1" ht="13.5" customHeight="1" x14ac:dyDescent="0.25">
      <c r="B28" s="281" t="s">
        <v>450</v>
      </c>
      <c r="C28" s="292"/>
      <c r="D28" s="389" t="s">
        <v>793</v>
      </c>
      <c r="E28" s="390"/>
      <c r="F28" s="390"/>
      <c r="G28" s="390"/>
      <c r="H28" s="391"/>
      <c r="I28" s="291">
        <v>2</v>
      </c>
      <c r="J28" s="300">
        <v>500</v>
      </c>
      <c r="K28" s="289">
        <v>1</v>
      </c>
      <c r="L28" s="279" t="s">
        <v>11</v>
      </c>
      <c r="M28" s="277">
        <f t="shared" si="0"/>
        <v>1000</v>
      </c>
      <c r="N28" s="276">
        <f t="shared" si="1"/>
        <v>180.32786885245901</v>
      </c>
    </row>
    <row r="29" spans="2:14" s="275" customFormat="1" ht="13.5" customHeight="1" x14ac:dyDescent="0.25">
      <c r="B29" s="281" t="s">
        <v>468</v>
      </c>
      <c r="C29" s="292"/>
      <c r="D29" s="389" t="s">
        <v>792</v>
      </c>
      <c r="E29" s="390"/>
      <c r="F29" s="390"/>
      <c r="G29" s="390"/>
      <c r="H29" s="391"/>
      <c r="I29" s="291">
        <v>1</v>
      </c>
      <c r="J29" s="300">
        <v>800</v>
      </c>
      <c r="K29" s="289">
        <v>1</v>
      </c>
      <c r="L29" s="279" t="s">
        <v>11</v>
      </c>
      <c r="M29" s="277">
        <f t="shared" si="0"/>
        <v>800</v>
      </c>
      <c r="N29" s="276">
        <f t="shared" si="1"/>
        <v>144.26229508196721</v>
      </c>
    </row>
    <row r="30" spans="2:14" s="275" customFormat="1" ht="24" customHeight="1" x14ac:dyDescent="0.25">
      <c r="B30" s="281" t="s">
        <v>541</v>
      </c>
      <c r="C30" s="292"/>
      <c r="D30" s="389" t="s">
        <v>791</v>
      </c>
      <c r="E30" s="390"/>
      <c r="F30" s="390"/>
      <c r="G30" s="390"/>
      <c r="H30" s="391"/>
      <c r="I30" s="291">
        <v>1</v>
      </c>
      <c r="J30" s="300">
        <v>600</v>
      </c>
      <c r="K30" s="289">
        <v>1</v>
      </c>
      <c r="L30" s="279" t="s">
        <v>11</v>
      </c>
      <c r="M30" s="277">
        <f t="shared" si="0"/>
        <v>600</v>
      </c>
      <c r="N30" s="276">
        <f t="shared" si="1"/>
        <v>108.19672131147541</v>
      </c>
    </row>
    <row r="31" spans="2:14" s="275" customFormat="1" ht="23.25" customHeight="1" x14ac:dyDescent="0.25">
      <c r="B31" s="281" t="s">
        <v>538</v>
      </c>
      <c r="C31" s="292"/>
      <c r="D31" s="389" t="s">
        <v>790</v>
      </c>
      <c r="E31" s="390"/>
      <c r="F31" s="390"/>
      <c r="G31" s="390"/>
      <c r="H31" s="391"/>
      <c r="I31" s="291">
        <v>1</v>
      </c>
      <c r="J31" s="300">
        <v>400</v>
      </c>
      <c r="K31" s="289">
        <v>1</v>
      </c>
      <c r="L31" s="279" t="s">
        <v>11</v>
      </c>
      <c r="M31" s="277">
        <f t="shared" si="0"/>
        <v>400</v>
      </c>
      <c r="N31" s="276">
        <f t="shared" si="1"/>
        <v>72.131147540983605</v>
      </c>
    </row>
    <row r="32" spans="2:14" s="275" customFormat="1" ht="13.5" customHeight="1" x14ac:dyDescent="0.25">
      <c r="B32" s="281" t="s">
        <v>535</v>
      </c>
      <c r="C32" s="292"/>
      <c r="D32" s="389" t="s">
        <v>789</v>
      </c>
      <c r="E32" s="390"/>
      <c r="F32" s="390"/>
      <c r="G32" s="390"/>
      <c r="H32" s="391"/>
      <c r="I32" s="291">
        <v>1</v>
      </c>
      <c r="J32" s="300">
        <v>2000</v>
      </c>
      <c r="K32" s="289">
        <v>1</v>
      </c>
      <c r="L32" s="279" t="s">
        <v>11</v>
      </c>
      <c r="M32" s="277">
        <f t="shared" si="0"/>
        <v>2000</v>
      </c>
      <c r="N32" s="276">
        <f t="shared" si="1"/>
        <v>360.65573770491801</v>
      </c>
    </row>
    <row r="33" spans="2:14" ht="12.75" customHeight="1" x14ac:dyDescent="0.25">
      <c r="B33" s="396" t="s">
        <v>464</v>
      </c>
      <c r="C33" s="396"/>
      <c r="D33" s="396"/>
      <c r="E33" s="396"/>
      <c r="F33" s="396"/>
      <c r="G33" s="396"/>
      <c r="H33" s="396"/>
      <c r="I33" s="299">
        <v>13</v>
      </c>
      <c r="J33" s="393" t="s">
        <v>435</v>
      </c>
      <c r="K33" s="393"/>
      <c r="L33" s="393"/>
      <c r="M33" s="273">
        <f>M21+M22+M23+M24+M25+M26+M27+M28+M29+M30+M31+M32</f>
        <v>11750</v>
      </c>
      <c r="N33" s="276">
        <f t="shared" si="1"/>
        <v>2118.8524590163934</v>
      </c>
    </row>
    <row r="34" spans="2:14" ht="11.25" customHeight="1" x14ac:dyDescent="0.25"/>
    <row r="35" spans="2:14" ht="12.75" customHeight="1" x14ac:dyDescent="0.25">
      <c r="B35" s="392" t="s">
        <v>788</v>
      </c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</row>
    <row r="36" spans="2:14" ht="11.25" customHeight="1" x14ac:dyDescent="0.25"/>
    <row r="37" spans="2:14" ht="15" customHeight="1" x14ac:dyDescent="0.25">
      <c r="C37" s="287" t="s">
        <v>787</v>
      </c>
    </row>
    <row r="38" spans="2:14" ht="11.25" customHeight="1" thickBot="1" x14ac:dyDescent="0.3">
      <c r="B38" s="286"/>
      <c r="C38" s="285"/>
      <c r="D38" s="285"/>
      <c r="H38" s="285"/>
      <c r="I38" s="285"/>
      <c r="M38" s="284"/>
      <c r="N38" s="284"/>
    </row>
    <row r="39" spans="2:14" ht="12.75" customHeight="1" thickBot="1" x14ac:dyDescent="0.3">
      <c r="B39" s="282" t="s">
        <v>461</v>
      </c>
      <c r="C39" s="283" t="s">
        <v>460</v>
      </c>
      <c r="D39" s="511" t="s">
        <v>459</v>
      </c>
      <c r="E39" s="511"/>
      <c r="F39" s="511"/>
      <c r="G39" s="511"/>
      <c r="H39" s="511"/>
      <c r="I39" s="511"/>
      <c r="J39" s="282" t="s">
        <v>458</v>
      </c>
      <c r="K39" s="282" t="s">
        <v>457</v>
      </c>
      <c r="L39" s="282" t="s">
        <v>456</v>
      </c>
      <c r="M39" s="282" t="s">
        <v>455</v>
      </c>
      <c r="N39" s="282" t="s">
        <v>454</v>
      </c>
    </row>
    <row r="40" spans="2:14" ht="12.75" customHeight="1" thickBot="1" x14ac:dyDescent="0.3">
      <c r="B40" s="282" t="s">
        <v>449</v>
      </c>
      <c r="C40" s="283" t="s">
        <v>446</v>
      </c>
      <c r="D40" s="511" t="s">
        <v>443</v>
      </c>
      <c r="E40" s="511"/>
      <c r="F40" s="511"/>
      <c r="G40" s="511"/>
      <c r="H40" s="511"/>
      <c r="I40" s="511"/>
      <c r="J40" s="282" t="s">
        <v>440</v>
      </c>
      <c r="K40" s="282" t="s">
        <v>453</v>
      </c>
      <c r="L40" s="282" t="s">
        <v>452</v>
      </c>
      <c r="M40" s="282" t="s">
        <v>451</v>
      </c>
      <c r="N40" s="282" t="s">
        <v>450</v>
      </c>
    </row>
    <row r="41" spans="2:14" s="275" customFormat="1" ht="24" customHeight="1" x14ac:dyDescent="0.25">
      <c r="B41" s="281" t="s">
        <v>449</v>
      </c>
      <c r="C41" s="292" t="s">
        <v>781</v>
      </c>
      <c r="D41" s="512" t="s">
        <v>786</v>
      </c>
      <c r="E41" s="512"/>
      <c r="F41" s="512"/>
      <c r="G41" s="512"/>
      <c r="H41" s="512"/>
      <c r="I41" s="512"/>
      <c r="J41" s="291">
        <v>2</v>
      </c>
      <c r="K41" s="279" t="s">
        <v>520</v>
      </c>
      <c r="L41" s="278">
        <v>150</v>
      </c>
      <c r="M41" s="277">
        <f>L41*J41</f>
        <v>300</v>
      </c>
      <c r="N41" s="276">
        <f>M41*22/122</f>
        <v>54.098360655737707</v>
      </c>
    </row>
    <row r="42" spans="2:14" s="275" customFormat="1" ht="24.75" customHeight="1" x14ac:dyDescent="0.25">
      <c r="B42" s="281" t="s">
        <v>446</v>
      </c>
      <c r="C42" s="292" t="s">
        <v>785</v>
      </c>
      <c r="D42" s="512" t="s">
        <v>784</v>
      </c>
      <c r="E42" s="512"/>
      <c r="F42" s="512"/>
      <c r="G42" s="512"/>
      <c r="H42" s="512"/>
      <c r="I42" s="512"/>
      <c r="J42" s="291">
        <v>1</v>
      </c>
      <c r="K42" s="279" t="s">
        <v>520</v>
      </c>
      <c r="L42" s="278">
        <v>2600</v>
      </c>
      <c r="M42" s="277">
        <f>L42*J42</f>
        <v>2600</v>
      </c>
      <c r="N42" s="276">
        <f>M42*22/122</f>
        <v>468.85245901639342</v>
      </c>
    </row>
    <row r="43" spans="2:14" s="275" customFormat="1" ht="24" customHeight="1" x14ac:dyDescent="0.25">
      <c r="B43" s="281" t="s">
        <v>443</v>
      </c>
      <c r="C43" s="280" t="s">
        <v>783</v>
      </c>
      <c r="D43" s="389" t="s">
        <v>782</v>
      </c>
      <c r="E43" s="390"/>
      <c r="F43" s="390"/>
      <c r="G43" s="390"/>
      <c r="H43" s="390"/>
      <c r="I43" s="391"/>
      <c r="J43" s="291">
        <v>1</v>
      </c>
      <c r="K43" s="279" t="s">
        <v>437</v>
      </c>
      <c r="L43" s="278">
        <v>450</v>
      </c>
      <c r="M43" s="277">
        <f>L43*J43</f>
        <v>450</v>
      </c>
      <c r="N43" s="276">
        <f>M43*22/122</f>
        <v>81.147540983606561</v>
      </c>
    </row>
    <row r="44" spans="2:14" s="275" customFormat="1" ht="24.75" customHeight="1" x14ac:dyDescent="0.25">
      <c r="B44" s="281" t="s">
        <v>440</v>
      </c>
      <c r="C44" s="292" t="s">
        <v>781</v>
      </c>
      <c r="D44" s="389" t="s">
        <v>780</v>
      </c>
      <c r="E44" s="390"/>
      <c r="F44" s="390"/>
      <c r="G44" s="390"/>
      <c r="H44" s="390"/>
      <c r="I44" s="391"/>
      <c r="J44" s="291">
        <v>1</v>
      </c>
      <c r="K44" s="279" t="s">
        <v>437</v>
      </c>
      <c r="L44" s="278">
        <v>2950</v>
      </c>
      <c r="M44" s="277">
        <f>L44*J44</f>
        <v>2950</v>
      </c>
      <c r="N44" s="276">
        <f>M44*22/122</f>
        <v>531.96721311475414</v>
      </c>
    </row>
    <row r="45" spans="2:14" ht="12.75" customHeight="1" x14ac:dyDescent="0.25">
      <c r="B45" s="396" t="s">
        <v>436</v>
      </c>
      <c r="C45" s="396"/>
      <c r="D45" s="396"/>
      <c r="E45" s="396"/>
      <c r="F45" s="396"/>
      <c r="G45" s="396"/>
      <c r="H45" s="396"/>
      <c r="I45" s="396"/>
      <c r="J45" s="297">
        <v>5</v>
      </c>
      <c r="K45" s="393" t="s">
        <v>435</v>
      </c>
      <c r="L45" s="393"/>
      <c r="M45" s="277">
        <f>M41+M42+M43+M44</f>
        <v>6300</v>
      </c>
      <c r="N45" s="276">
        <f>M45*22/122</f>
        <v>1136.0655737704917</v>
      </c>
    </row>
    <row r="46" spans="2:14" ht="5.25" customHeight="1" x14ac:dyDescent="0.25"/>
    <row r="47" spans="2:14" ht="12.75" customHeight="1" x14ac:dyDescent="0.25">
      <c r="B47" s="392" t="s">
        <v>779</v>
      </c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</row>
    <row r="48" spans="2:14" ht="11.25" customHeight="1" thickBot="1" x14ac:dyDescent="0.3"/>
    <row r="49" spans="2:14" ht="12.75" customHeight="1" thickTop="1" thickBot="1" x14ac:dyDescent="0.3">
      <c r="B49" s="271"/>
      <c r="C49" s="271"/>
      <c r="D49" s="271"/>
      <c r="E49" s="271"/>
      <c r="F49" s="271"/>
      <c r="G49" s="271"/>
      <c r="H49" s="271"/>
      <c r="I49" s="271"/>
      <c r="J49" s="271"/>
      <c r="K49" s="270"/>
      <c r="L49" s="270" t="s">
        <v>433</v>
      </c>
      <c r="M49" s="269">
        <f>M33+M45</f>
        <v>18050</v>
      </c>
      <c r="N49" s="268">
        <f>M49*22/122</f>
        <v>3254.9180327868853</v>
      </c>
    </row>
    <row r="50" spans="2:14" ht="5.25" customHeight="1" thickTop="1" x14ac:dyDescent="0.25"/>
    <row r="51" spans="2:14" ht="12.75" customHeight="1" x14ac:dyDescent="0.25">
      <c r="B51" s="388" t="s">
        <v>778</v>
      </c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</row>
    <row r="52" spans="2:14" ht="11.25" customHeight="1" x14ac:dyDescent="0.25"/>
    <row r="53" spans="2:14" ht="11.25" customHeight="1" x14ac:dyDescent="0.25"/>
    <row r="54" spans="2:14" ht="12.75" customHeight="1" x14ac:dyDescent="0.25">
      <c r="J54" s="266" t="s">
        <v>431</v>
      </c>
      <c r="K54" s="384" t="s">
        <v>430</v>
      </c>
      <c r="L54" s="384"/>
      <c r="M54" s="384"/>
      <c r="N54" s="384"/>
    </row>
    <row r="55" spans="2:14" ht="6" customHeight="1" x14ac:dyDescent="0.25"/>
    <row r="56" spans="2:14" ht="48.75" customHeight="1" x14ac:dyDescent="0.25">
      <c r="B56" s="267"/>
      <c r="C56" s="385" t="s">
        <v>429</v>
      </c>
      <c r="D56" s="385"/>
      <c r="E56" s="385"/>
      <c r="F56" s="385"/>
      <c r="G56" s="385"/>
      <c r="H56" s="385"/>
      <c r="I56" s="385"/>
      <c r="J56" s="385"/>
      <c r="K56" s="385"/>
      <c r="L56" s="385"/>
      <c r="M56" s="385"/>
    </row>
    <row r="57" spans="2:14" ht="6" customHeight="1" x14ac:dyDescent="0.25"/>
    <row r="58" spans="2:14" ht="1.1499999999999999" customHeight="1" x14ac:dyDescent="0.25"/>
    <row r="59" spans="2:14" ht="3.75" customHeight="1" x14ac:dyDescent="0.25"/>
    <row r="60" spans="2:14" ht="11.25" customHeight="1" x14ac:dyDescent="0.25"/>
    <row r="61" spans="2:14" ht="24.75" customHeight="1" x14ac:dyDescent="0.25">
      <c r="B61" s="386" t="s">
        <v>485</v>
      </c>
      <c r="C61" s="386"/>
      <c r="J61" s="266" t="s">
        <v>427</v>
      </c>
      <c r="K61" s="384" t="s">
        <v>425</v>
      </c>
      <c r="L61" s="384"/>
      <c r="M61" s="384"/>
      <c r="N61" s="384"/>
    </row>
    <row r="62" spans="2:14" ht="11.25" customHeight="1" x14ac:dyDescent="0.25"/>
    <row r="63" spans="2:14" ht="24.75" customHeight="1" x14ac:dyDescent="0.25">
      <c r="J63" s="266" t="s">
        <v>426</v>
      </c>
      <c r="K63" s="384" t="s">
        <v>425</v>
      </c>
      <c r="L63" s="384"/>
      <c r="M63" s="384"/>
      <c r="N63" s="384"/>
    </row>
    <row r="64" spans="2:14" ht="12.75" customHeight="1" x14ac:dyDescent="0.25"/>
    <row r="65" spans="2:14" ht="12.75" customHeight="1" x14ac:dyDescent="0.25">
      <c r="B65" s="509" t="s">
        <v>424</v>
      </c>
      <c r="C65" s="509"/>
    </row>
    <row r="66" spans="2:14" ht="22.15" customHeight="1" x14ac:dyDescent="0.25">
      <c r="B66" s="510"/>
      <c r="C66" s="510"/>
      <c r="D66" s="510"/>
      <c r="E66" s="510"/>
      <c r="F66" s="510"/>
      <c r="G66" s="510"/>
      <c r="H66" s="510"/>
      <c r="I66" s="510"/>
      <c r="J66" s="510"/>
      <c r="K66" s="510"/>
      <c r="L66" s="510"/>
      <c r="M66" s="510"/>
      <c r="N66" s="510"/>
    </row>
    <row r="67" spans="2:14" ht="11.25" customHeight="1" x14ac:dyDescent="0.25"/>
  </sheetData>
  <mergeCells count="43">
    <mergeCell ref="K63:N63"/>
    <mergeCell ref="B65:C65"/>
    <mergeCell ref="B66:N66"/>
    <mergeCell ref="D24:H24"/>
    <mergeCell ref="D25:H25"/>
    <mergeCell ref="D26:H26"/>
    <mergeCell ref="D27:H27"/>
    <mergeCell ref="D28:H28"/>
    <mergeCell ref="D29:H29"/>
    <mergeCell ref="D30:H30"/>
    <mergeCell ref="B47:N47"/>
    <mergeCell ref="B51:N51"/>
    <mergeCell ref="K54:N54"/>
    <mergeCell ref="C56:M56"/>
    <mergeCell ref="B61:C61"/>
    <mergeCell ref="K61:N61"/>
    <mergeCell ref="B45:I45"/>
    <mergeCell ref="K45:L45"/>
    <mergeCell ref="D39:I39"/>
    <mergeCell ref="D40:I40"/>
    <mergeCell ref="D41:I41"/>
    <mergeCell ref="D42:I42"/>
    <mergeCell ref="D43:I43"/>
    <mergeCell ref="D44:I44"/>
    <mergeCell ref="D22:H22"/>
    <mergeCell ref="D23:H23"/>
    <mergeCell ref="B33:H33"/>
    <mergeCell ref="J33:L33"/>
    <mergeCell ref="B35:N35"/>
    <mergeCell ref="D31:H31"/>
    <mergeCell ref="D32:H32"/>
    <mergeCell ref="D19:H19"/>
    <mergeCell ref="D20:H20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D4C3-03E6-4980-83B4-D976E9144D25}">
  <sheetPr codeName="Лист23">
    <pageSetUpPr fitToPage="1"/>
  </sheetPr>
  <dimension ref="B1:N92"/>
  <sheetViews>
    <sheetView workbookViewId="0">
      <selection activeCell="P7" sqref="P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8" width="9.28515625" style="237" customWidth="1"/>
    <col min="9" max="9" width="11.285156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852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851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850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4.25" customHeight="1" x14ac:dyDescent="0.25">
      <c r="B21" s="281" t="s">
        <v>449</v>
      </c>
      <c r="C21" s="292"/>
      <c r="D21" s="389" t="s">
        <v>706</v>
      </c>
      <c r="E21" s="390"/>
      <c r="F21" s="390"/>
      <c r="G21" s="390"/>
      <c r="H21" s="391"/>
      <c r="I21" s="291">
        <v>1</v>
      </c>
      <c r="J21" s="300">
        <v>300</v>
      </c>
      <c r="K21" s="289">
        <v>1</v>
      </c>
      <c r="L21" s="279" t="s">
        <v>11</v>
      </c>
      <c r="M21" s="332">
        <f t="shared" ref="M21:M40" si="0">J21*I21</f>
        <v>300</v>
      </c>
      <c r="N21" s="276">
        <f t="shared" ref="N21:N41" si="1">M21*22/122</f>
        <v>54.098360655737707</v>
      </c>
    </row>
    <row r="22" spans="2:14" s="275" customFormat="1" ht="13.5" customHeight="1" thickBot="1" x14ac:dyDescent="0.3">
      <c r="B22" s="281" t="s">
        <v>446</v>
      </c>
      <c r="C22" s="292"/>
      <c r="D22" s="389" t="s">
        <v>795</v>
      </c>
      <c r="E22" s="390"/>
      <c r="F22" s="390"/>
      <c r="G22" s="390"/>
      <c r="H22" s="391"/>
      <c r="I22" s="291">
        <v>1</v>
      </c>
      <c r="J22" s="300">
        <v>1400</v>
      </c>
      <c r="K22" s="289">
        <v>1</v>
      </c>
      <c r="L22" s="279" t="s">
        <v>11</v>
      </c>
      <c r="M22" s="332">
        <f t="shared" si="0"/>
        <v>1400</v>
      </c>
      <c r="N22" s="276">
        <f t="shared" si="1"/>
        <v>252.45901639344262</v>
      </c>
    </row>
    <row r="23" spans="2:14" s="275" customFormat="1" ht="12" customHeight="1" thickBot="1" x14ac:dyDescent="0.3">
      <c r="B23" s="281" t="s">
        <v>443</v>
      </c>
      <c r="C23" s="292"/>
      <c r="D23" s="467" t="s">
        <v>849</v>
      </c>
      <c r="E23" s="468"/>
      <c r="F23" s="468"/>
      <c r="G23" s="468"/>
      <c r="H23" s="469"/>
      <c r="I23" s="291">
        <v>1</v>
      </c>
      <c r="J23" s="290">
        <v>600</v>
      </c>
      <c r="K23" s="289">
        <v>1</v>
      </c>
      <c r="L23" s="279" t="s">
        <v>11</v>
      </c>
      <c r="M23" s="332">
        <f t="shared" si="0"/>
        <v>600</v>
      </c>
      <c r="N23" s="276">
        <f t="shared" si="1"/>
        <v>108.19672131147541</v>
      </c>
    </row>
    <row r="24" spans="2:14" s="275" customFormat="1" ht="12" customHeight="1" thickBot="1" x14ac:dyDescent="0.3">
      <c r="B24" s="281" t="s">
        <v>440</v>
      </c>
      <c r="C24" s="292"/>
      <c r="D24" s="467" t="s">
        <v>467</v>
      </c>
      <c r="E24" s="468"/>
      <c r="F24" s="468"/>
      <c r="G24" s="468"/>
      <c r="H24" s="469"/>
      <c r="I24" s="291">
        <v>1</v>
      </c>
      <c r="J24" s="300">
        <v>600</v>
      </c>
      <c r="K24" s="289">
        <v>1</v>
      </c>
      <c r="L24" s="279" t="s">
        <v>11</v>
      </c>
      <c r="M24" s="332">
        <f t="shared" si="0"/>
        <v>600</v>
      </c>
      <c r="N24" s="276">
        <f t="shared" si="1"/>
        <v>108.19672131147541</v>
      </c>
    </row>
    <row r="25" spans="2:14" s="275" customFormat="1" ht="12.75" customHeight="1" x14ac:dyDescent="0.25">
      <c r="B25" s="281" t="s">
        <v>453</v>
      </c>
      <c r="C25" s="292"/>
      <c r="D25" s="467" t="s">
        <v>465</v>
      </c>
      <c r="E25" s="468"/>
      <c r="F25" s="468"/>
      <c r="G25" s="468"/>
      <c r="H25" s="469"/>
      <c r="I25" s="291">
        <v>1</v>
      </c>
      <c r="J25" s="300">
        <v>200</v>
      </c>
      <c r="K25" s="289">
        <v>1</v>
      </c>
      <c r="L25" s="279" t="s">
        <v>11</v>
      </c>
      <c r="M25" s="332">
        <f t="shared" si="0"/>
        <v>200</v>
      </c>
      <c r="N25" s="276">
        <f t="shared" si="1"/>
        <v>36.065573770491802</v>
      </c>
    </row>
    <row r="26" spans="2:14" s="275" customFormat="1" ht="12" customHeight="1" x14ac:dyDescent="0.25">
      <c r="B26" s="281" t="s">
        <v>452</v>
      </c>
      <c r="C26" s="292"/>
      <c r="D26" s="389" t="s">
        <v>466</v>
      </c>
      <c r="E26" s="390"/>
      <c r="F26" s="390"/>
      <c r="G26" s="390"/>
      <c r="H26" s="391"/>
      <c r="I26" s="291">
        <v>1</v>
      </c>
      <c r="J26" s="300">
        <v>150</v>
      </c>
      <c r="K26" s="289">
        <v>1</v>
      </c>
      <c r="L26" s="279" t="s">
        <v>11</v>
      </c>
      <c r="M26" s="332">
        <f t="shared" si="0"/>
        <v>150</v>
      </c>
      <c r="N26" s="276">
        <f t="shared" si="1"/>
        <v>27.049180327868854</v>
      </c>
    </row>
    <row r="27" spans="2:14" s="275" customFormat="1" ht="12" customHeight="1" x14ac:dyDescent="0.25">
      <c r="B27" s="281" t="s">
        <v>451</v>
      </c>
      <c r="C27" s="292"/>
      <c r="D27" s="389" t="s">
        <v>561</v>
      </c>
      <c r="E27" s="390"/>
      <c r="F27" s="390"/>
      <c r="G27" s="390"/>
      <c r="H27" s="391"/>
      <c r="I27" s="291">
        <v>1</v>
      </c>
      <c r="J27" s="300">
        <v>300</v>
      </c>
      <c r="K27" s="289">
        <v>1</v>
      </c>
      <c r="L27" s="279" t="s">
        <v>11</v>
      </c>
      <c r="M27" s="332">
        <f t="shared" si="0"/>
        <v>300</v>
      </c>
      <c r="N27" s="276">
        <f t="shared" si="1"/>
        <v>54.098360655737707</v>
      </c>
    </row>
    <row r="28" spans="2:14" s="275" customFormat="1" ht="12" customHeight="1" x14ac:dyDescent="0.25">
      <c r="B28" s="281" t="s">
        <v>450</v>
      </c>
      <c r="C28" s="292"/>
      <c r="D28" s="389" t="s">
        <v>494</v>
      </c>
      <c r="E28" s="390"/>
      <c r="F28" s="390"/>
      <c r="G28" s="390"/>
      <c r="H28" s="391"/>
      <c r="I28" s="291">
        <v>1</v>
      </c>
      <c r="J28" s="300">
        <v>1000</v>
      </c>
      <c r="K28" s="289">
        <v>1</v>
      </c>
      <c r="L28" s="279" t="s">
        <v>11</v>
      </c>
      <c r="M28" s="332">
        <f t="shared" si="0"/>
        <v>1000</v>
      </c>
      <c r="N28" s="276">
        <f t="shared" si="1"/>
        <v>180.32786885245901</v>
      </c>
    </row>
    <row r="29" spans="2:14" s="275" customFormat="1" ht="12" customHeight="1" thickBot="1" x14ac:dyDescent="0.3">
      <c r="B29" s="281" t="s">
        <v>468</v>
      </c>
      <c r="C29" s="292"/>
      <c r="D29" s="389" t="s">
        <v>742</v>
      </c>
      <c r="E29" s="390"/>
      <c r="F29" s="390"/>
      <c r="G29" s="390"/>
      <c r="H29" s="391"/>
      <c r="I29" s="291">
        <v>1</v>
      </c>
      <c r="J29" s="300">
        <v>500</v>
      </c>
      <c r="K29" s="289">
        <v>1</v>
      </c>
      <c r="L29" s="279" t="s">
        <v>11</v>
      </c>
      <c r="M29" s="332">
        <f t="shared" si="0"/>
        <v>500</v>
      </c>
      <c r="N29" s="276">
        <f t="shared" si="1"/>
        <v>90.163934426229503</v>
      </c>
    </row>
    <row r="30" spans="2:14" s="275" customFormat="1" ht="12" customHeight="1" x14ac:dyDescent="0.25">
      <c r="B30" s="281" t="s">
        <v>541</v>
      </c>
      <c r="C30" s="292"/>
      <c r="D30" s="467" t="s">
        <v>848</v>
      </c>
      <c r="E30" s="468"/>
      <c r="F30" s="468"/>
      <c r="G30" s="468"/>
      <c r="H30" s="469"/>
      <c r="I30" s="291">
        <v>1</v>
      </c>
      <c r="J30" s="300">
        <v>150</v>
      </c>
      <c r="K30" s="289">
        <v>1</v>
      </c>
      <c r="L30" s="279" t="s">
        <v>11</v>
      </c>
      <c r="M30" s="332">
        <f t="shared" si="0"/>
        <v>150</v>
      </c>
      <c r="N30" s="276">
        <f t="shared" si="1"/>
        <v>27.049180327868854</v>
      </c>
    </row>
    <row r="31" spans="2:14" s="275" customFormat="1" ht="12" customHeight="1" x14ac:dyDescent="0.25">
      <c r="B31" s="281" t="s">
        <v>538</v>
      </c>
      <c r="C31" s="292"/>
      <c r="D31" s="389" t="s">
        <v>847</v>
      </c>
      <c r="E31" s="390"/>
      <c r="F31" s="390"/>
      <c r="G31" s="390"/>
      <c r="H31" s="391"/>
      <c r="I31" s="291">
        <v>1</v>
      </c>
      <c r="J31" s="300">
        <v>1200</v>
      </c>
      <c r="K31" s="289">
        <v>1</v>
      </c>
      <c r="L31" s="279" t="s">
        <v>11</v>
      </c>
      <c r="M31" s="332">
        <f t="shared" si="0"/>
        <v>1200</v>
      </c>
      <c r="N31" s="276">
        <f t="shared" si="1"/>
        <v>216.39344262295083</v>
      </c>
    </row>
    <row r="32" spans="2:14" s="275" customFormat="1" ht="12" customHeight="1" x14ac:dyDescent="0.25">
      <c r="B32" s="281" t="s">
        <v>535</v>
      </c>
      <c r="C32" s="292"/>
      <c r="D32" s="389" t="s">
        <v>846</v>
      </c>
      <c r="E32" s="390"/>
      <c r="F32" s="390"/>
      <c r="G32" s="390"/>
      <c r="H32" s="391"/>
      <c r="I32" s="291">
        <v>1</v>
      </c>
      <c r="J32" s="300">
        <v>2000</v>
      </c>
      <c r="K32" s="289">
        <v>1</v>
      </c>
      <c r="L32" s="279" t="s">
        <v>11</v>
      </c>
      <c r="M32" s="332">
        <f t="shared" si="0"/>
        <v>2000</v>
      </c>
      <c r="N32" s="276">
        <f t="shared" si="1"/>
        <v>360.65573770491801</v>
      </c>
    </row>
    <row r="33" spans="2:14" s="275" customFormat="1" ht="12" customHeight="1" x14ac:dyDescent="0.25">
      <c r="B33" s="281" t="s">
        <v>532</v>
      </c>
      <c r="C33" s="292"/>
      <c r="D33" s="389" t="s">
        <v>845</v>
      </c>
      <c r="E33" s="390"/>
      <c r="F33" s="390"/>
      <c r="G33" s="390"/>
      <c r="H33" s="391"/>
      <c r="I33" s="291">
        <v>1</v>
      </c>
      <c r="J33" s="300">
        <v>400</v>
      </c>
      <c r="K33" s="289">
        <v>1</v>
      </c>
      <c r="L33" s="279" t="s">
        <v>11</v>
      </c>
      <c r="M33" s="332">
        <f t="shared" si="0"/>
        <v>400</v>
      </c>
      <c r="N33" s="276">
        <f t="shared" si="1"/>
        <v>72.131147540983605</v>
      </c>
    </row>
    <row r="34" spans="2:14" s="275" customFormat="1" ht="23.25" customHeight="1" x14ac:dyDescent="0.25">
      <c r="B34" s="281" t="s">
        <v>529</v>
      </c>
      <c r="C34" s="292"/>
      <c r="D34" s="389" t="s">
        <v>844</v>
      </c>
      <c r="E34" s="390"/>
      <c r="F34" s="390"/>
      <c r="G34" s="390"/>
      <c r="H34" s="391"/>
      <c r="I34" s="291">
        <v>1</v>
      </c>
      <c r="J34" s="300">
        <v>400</v>
      </c>
      <c r="K34" s="289">
        <v>1</v>
      </c>
      <c r="L34" s="279" t="s">
        <v>11</v>
      </c>
      <c r="M34" s="332">
        <f t="shared" si="0"/>
        <v>400</v>
      </c>
      <c r="N34" s="276">
        <f t="shared" si="1"/>
        <v>72.131147540983605</v>
      </c>
    </row>
    <row r="35" spans="2:14" s="275" customFormat="1" ht="12" customHeight="1" x14ac:dyDescent="0.25">
      <c r="B35" s="281" t="s">
        <v>526</v>
      </c>
      <c r="C35" s="292"/>
      <c r="D35" s="389" t="s">
        <v>843</v>
      </c>
      <c r="E35" s="390"/>
      <c r="F35" s="390"/>
      <c r="G35" s="390"/>
      <c r="H35" s="391"/>
      <c r="I35" s="291">
        <v>4</v>
      </c>
      <c r="J35" s="300">
        <v>250</v>
      </c>
      <c r="K35" s="289">
        <v>1</v>
      </c>
      <c r="L35" s="279" t="s">
        <v>11</v>
      </c>
      <c r="M35" s="332">
        <f t="shared" si="0"/>
        <v>1000</v>
      </c>
      <c r="N35" s="276">
        <f t="shared" si="1"/>
        <v>180.32786885245901</v>
      </c>
    </row>
    <row r="36" spans="2:14" s="275" customFormat="1" ht="12" customHeight="1" x14ac:dyDescent="0.25">
      <c r="B36" s="281" t="s">
        <v>523</v>
      </c>
      <c r="C36" s="292"/>
      <c r="D36" s="389" t="s">
        <v>842</v>
      </c>
      <c r="E36" s="390"/>
      <c r="F36" s="390"/>
      <c r="G36" s="390"/>
      <c r="H36" s="391"/>
      <c r="I36" s="291">
        <v>4</v>
      </c>
      <c r="J36" s="300">
        <v>250</v>
      </c>
      <c r="K36" s="289">
        <v>1</v>
      </c>
      <c r="L36" s="279" t="s">
        <v>11</v>
      </c>
      <c r="M36" s="332">
        <f t="shared" si="0"/>
        <v>1000</v>
      </c>
      <c r="N36" s="276">
        <f t="shared" si="1"/>
        <v>180.32786885245901</v>
      </c>
    </row>
    <row r="37" spans="2:14" s="275" customFormat="1" ht="23.25" customHeight="1" x14ac:dyDescent="0.25">
      <c r="B37" s="281" t="s">
        <v>519</v>
      </c>
      <c r="C37" s="292"/>
      <c r="D37" s="389" t="s">
        <v>624</v>
      </c>
      <c r="E37" s="390"/>
      <c r="F37" s="390"/>
      <c r="G37" s="390"/>
      <c r="H37" s="391"/>
      <c r="I37" s="291">
        <v>1</v>
      </c>
      <c r="J37" s="300">
        <v>1000</v>
      </c>
      <c r="K37" s="289">
        <v>1</v>
      </c>
      <c r="L37" s="279" t="s">
        <v>11</v>
      </c>
      <c r="M37" s="332">
        <f t="shared" si="0"/>
        <v>1000</v>
      </c>
      <c r="N37" s="276">
        <f t="shared" si="1"/>
        <v>180.32786885245901</v>
      </c>
    </row>
    <row r="38" spans="2:14" s="275" customFormat="1" ht="12" customHeight="1" x14ac:dyDescent="0.25">
      <c r="B38" s="281" t="s">
        <v>810</v>
      </c>
      <c r="C38" s="292"/>
      <c r="D38" s="389" t="s">
        <v>841</v>
      </c>
      <c r="E38" s="390"/>
      <c r="F38" s="390"/>
      <c r="G38" s="390"/>
      <c r="H38" s="391"/>
      <c r="I38" s="291">
        <v>1</v>
      </c>
      <c r="J38" s="300">
        <v>2000</v>
      </c>
      <c r="K38" s="289">
        <v>1</v>
      </c>
      <c r="L38" s="279" t="s">
        <v>11</v>
      </c>
      <c r="M38" s="332">
        <f t="shared" si="0"/>
        <v>2000</v>
      </c>
      <c r="N38" s="276">
        <f t="shared" si="1"/>
        <v>360.65573770491801</v>
      </c>
    </row>
    <row r="39" spans="2:14" s="275" customFormat="1" ht="12" customHeight="1" x14ac:dyDescent="0.25">
      <c r="B39" s="281" t="s">
        <v>808</v>
      </c>
      <c r="C39" s="292"/>
      <c r="D39" s="389" t="s">
        <v>840</v>
      </c>
      <c r="E39" s="390"/>
      <c r="F39" s="390"/>
      <c r="G39" s="390"/>
      <c r="H39" s="391"/>
      <c r="I39" s="291">
        <v>1</v>
      </c>
      <c r="J39" s="300">
        <v>1300</v>
      </c>
      <c r="K39" s="289">
        <v>1</v>
      </c>
      <c r="L39" s="279" t="s">
        <v>11</v>
      </c>
      <c r="M39" s="332">
        <f t="shared" si="0"/>
        <v>1300</v>
      </c>
      <c r="N39" s="276">
        <f t="shared" si="1"/>
        <v>234.42622950819671</v>
      </c>
    </row>
    <row r="40" spans="2:14" s="275" customFormat="1" ht="14.25" customHeight="1" x14ac:dyDescent="0.25">
      <c r="B40" s="281" t="s">
        <v>806</v>
      </c>
      <c r="C40" s="292"/>
      <c r="D40" s="389" t="s">
        <v>620</v>
      </c>
      <c r="E40" s="390"/>
      <c r="F40" s="390"/>
      <c r="G40" s="390"/>
      <c r="H40" s="391"/>
      <c r="I40" s="291">
        <v>1</v>
      </c>
      <c r="J40" s="300">
        <v>1500</v>
      </c>
      <c r="K40" s="289">
        <v>1</v>
      </c>
      <c r="L40" s="279" t="s">
        <v>11</v>
      </c>
      <c r="M40" s="332">
        <f t="shared" si="0"/>
        <v>1500</v>
      </c>
      <c r="N40" s="276">
        <f t="shared" si="1"/>
        <v>270.49180327868851</v>
      </c>
    </row>
    <row r="41" spans="2:14" ht="12.75" customHeight="1" x14ac:dyDescent="0.25">
      <c r="B41" s="396" t="s">
        <v>464</v>
      </c>
      <c r="C41" s="396"/>
      <c r="D41" s="396"/>
      <c r="E41" s="396"/>
      <c r="F41" s="396"/>
      <c r="G41" s="396"/>
      <c r="H41" s="396"/>
      <c r="I41" s="299">
        <v>26</v>
      </c>
      <c r="J41" s="393" t="s">
        <v>435</v>
      </c>
      <c r="K41" s="393"/>
      <c r="L41" s="393"/>
      <c r="M41" s="277">
        <f>M21+M22+M23+M24+M25+M26+M27+M28+M29+M30+M31+M32+M33+M34+M35+M36+M37+M38+M39+M40</f>
        <v>17000</v>
      </c>
      <c r="N41" s="276">
        <f t="shared" si="1"/>
        <v>3065.5737704918033</v>
      </c>
    </row>
    <row r="42" spans="2:14" ht="11.25" customHeight="1" x14ac:dyDescent="0.25"/>
    <row r="43" spans="2:14" ht="12.75" customHeight="1" x14ac:dyDescent="0.25">
      <c r="B43" s="392" t="s">
        <v>839</v>
      </c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</row>
    <row r="44" spans="2:14" ht="11.25" customHeight="1" x14ac:dyDescent="0.25"/>
    <row r="45" spans="2:14" ht="15" customHeight="1" x14ac:dyDescent="0.25">
      <c r="C45" s="287" t="s">
        <v>838</v>
      </c>
    </row>
    <row r="46" spans="2:14" ht="11.25" customHeight="1" thickBot="1" x14ac:dyDescent="0.3">
      <c r="B46" s="286"/>
      <c r="C46" s="285"/>
      <c r="D46" s="285"/>
      <c r="H46" s="285"/>
      <c r="I46" s="285"/>
      <c r="M46" s="284"/>
      <c r="N46" s="284"/>
    </row>
    <row r="47" spans="2:14" ht="12.75" customHeight="1" thickBot="1" x14ac:dyDescent="0.3">
      <c r="B47" s="282" t="s">
        <v>461</v>
      </c>
      <c r="C47" s="283" t="s">
        <v>460</v>
      </c>
      <c r="D47" s="511" t="s">
        <v>459</v>
      </c>
      <c r="E47" s="511"/>
      <c r="F47" s="511"/>
      <c r="G47" s="511"/>
      <c r="H47" s="511"/>
      <c r="I47" s="511"/>
      <c r="J47" s="282" t="s">
        <v>458</v>
      </c>
      <c r="K47" s="282" t="s">
        <v>457</v>
      </c>
      <c r="L47" s="282" t="s">
        <v>456</v>
      </c>
      <c r="M47" s="282" t="s">
        <v>455</v>
      </c>
      <c r="N47" s="282" t="s">
        <v>454</v>
      </c>
    </row>
    <row r="48" spans="2:14" ht="12.75" customHeight="1" thickBot="1" x14ac:dyDescent="0.3">
      <c r="B48" s="282" t="s">
        <v>449</v>
      </c>
      <c r="C48" s="283" t="s">
        <v>446</v>
      </c>
      <c r="D48" s="511" t="s">
        <v>443</v>
      </c>
      <c r="E48" s="511"/>
      <c r="F48" s="511"/>
      <c r="G48" s="511"/>
      <c r="H48" s="511"/>
      <c r="I48" s="511"/>
      <c r="J48" s="282" t="s">
        <v>440</v>
      </c>
      <c r="K48" s="282" t="s">
        <v>453</v>
      </c>
      <c r="L48" s="282" t="s">
        <v>452</v>
      </c>
      <c r="M48" s="282" t="s">
        <v>451</v>
      </c>
      <c r="N48" s="282" t="s">
        <v>450</v>
      </c>
    </row>
    <row r="49" spans="2:14" s="275" customFormat="1" ht="24" customHeight="1" x14ac:dyDescent="0.25">
      <c r="B49" s="281" t="s">
        <v>449</v>
      </c>
      <c r="C49" s="292" t="s">
        <v>837</v>
      </c>
      <c r="D49" s="512" t="s">
        <v>836</v>
      </c>
      <c r="E49" s="512"/>
      <c r="F49" s="512"/>
      <c r="G49" s="512"/>
      <c r="H49" s="512"/>
      <c r="I49" s="512"/>
      <c r="J49" s="291">
        <v>1</v>
      </c>
      <c r="K49" s="279" t="s">
        <v>520</v>
      </c>
      <c r="L49" s="278">
        <v>800</v>
      </c>
      <c r="M49" s="332">
        <f t="shared" ref="M49:M69" si="2">L49*J49</f>
        <v>800</v>
      </c>
      <c r="N49" s="276">
        <f t="shared" ref="N49:N70" si="3">M49*22/122</f>
        <v>144.26229508196721</v>
      </c>
    </row>
    <row r="50" spans="2:14" s="275" customFormat="1" ht="15" customHeight="1" x14ac:dyDescent="0.25">
      <c r="B50" s="281" t="s">
        <v>446</v>
      </c>
      <c r="C50" s="292" t="s">
        <v>835</v>
      </c>
      <c r="D50" s="512" t="s">
        <v>834</v>
      </c>
      <c r="E50" s="512"/>
      <c r="F50" s="512"/>
      <c r="G50" s="512"/>
      <c r="H50" s="512"/>
      <c r="I50" s="512"/>
      <c r="J50" s="291">
        <v>1</v>
      </c>
      <c r="K50" s="279" t="s">
        <v>520</v>
      </c>
      <c r="L50" s="278">
        <v>600</v>
      </c>
      <c r="M50" s="332">
        <f t="shared" si="2"/>
        <v>600</v>
      </c>
      <c r="N50" s="276">
        <f t="shared" si="3"/>
        <v>108.19672131147541</v>
      </c>
    </row>
    <row r="51" spans="2:14" s="275" customFormat="1" ht="26.25" customHeight="1" x14ac:dyDescent="0.25">
      <c r="B51" s="281" t="s">
        <v>443</v>
      </c>
      <c r="C51" s="280" t="s">
        <v>833</v>
      </c>
      <c r="D51" s="512" t="s">
        <v>832</v>
      </c>
      <c r="E51" s="512"/>
      <c r="F51" s="512"/>
      <c r="G51" s="512"/>
      <c r="H51" s="512"/>
      <c r="I51" s="512"/>
      <c r="J51" s="291">
        <v>2</v>
      </c>
      <c r="K51" s="279" t="s">
        <v>437</v>
      </c>
      <c r="L51" s="278">
        <v>1400</v>
      </c>
      <c r="M51" s="332">
        <f t="shared" si="2"/>
        <v>2800</v>
      </c>
      <c r="N51" s="276">
        <f t="shared" si="3"/>
        <v>504.91803278688525</v>
      </c>
    </row>
    <row r="52" spans="2:14" s="275" customFormat="1" ht="15" customHeight="1" x14ac:dyDescent="0.25">
      <c r="B52" s="281" t="s">
        <v>440</v>
      </c>
      <c r="C52" s="292">
        <v>19188</v>
      </c>
      <c r="D52" s="512" t="s">
        <v>530</v>
      </c>
      <c r="E52" s="512"/>
      <c r="F52" s="512"/>
      <c r="G52" s="512"/>
      <c r="H52" s="512"/>
      <c r="I52" s="512"/>
      <c r="J52" s="291">
        <v>1</v>
      </c>
      <c r="K52" s="279" t="s">
        <v>437</v>
      </c>
      <c r="L52" s="278">
        <v>1200</v>
      </c>
      <c r="M52" s="332">
        <f t="shared" si="2"/>
        <v>1200</v>
      </c>
      <c r="N52" s="276">
        <f t="shared" si="3"/>
        <v>216.39344262295083</v>
      </c>
    </row>
    <row r="53" spans="2:14" s="275" customFormat="1" ht="15" customHeight="1" x14ac:dyDescent="0.25">
      <c r="B53" s="281" t="s">
        <v>453</v>
      </c>
      <c r="C53" s="292" t="s">
        <v>831</v>
      </c>
      <c r="D53" s="389" t="s">
        <v>830</v>
      </c>
      <c r="E53" s="390"/>
      <c r="F53" s="390"/>
      <c r="G53" s="390"/>
      <c r="H53" s="390"/>
      <c r="I53" s="391"/>
      <c r="J53" s="291">
        <v>1</v>
      </c>
      <c r="K53" s="279" t="s">
        <v>437</v>
      </c>
      <c r="L53" s="278">
        <v>400</v>
      </c>
      <c r="M53" s="332">
        <f t="shared" si="2"/>
        <v>400</v>
      </c>
      <c r="N53" s="276">
        <f t="shared" si="3"/>
        <v>72.131147540983605</v>
      </c>
    </row>
    <row r="54" spans="2:14" s="275" customFormat="1" ht="15" customHeight="1" x14ac:dyDescent="0.25">
      <c r="B54" s="281" t="s">
        <v>452</v>
      </c>
      <c r="C54" s="292" t="s">
        <v>829</v>
      </c>
      <c r="D54" s="389" t="s">
        <v>828</v>
      </c>
      <c r="E54" s="390"/>
      <c r="F54" s="390"/>
      <c r="G54" s="390"/>
      <c r="H54" s="390"/>
      <c r="I54" s="391"/>
      <c r="J54" s="291">
        <v>1</v>
      </c>
      <c r="K54" s="279" t="s">
        <v>437</v>
      </c>
      <c r="L54" s="278">
        <v>350</v>
      </c>
      <c r="M54" s="332">
        <f t="shared" si="2"/>
        <v>350</v>
      </c>
      <c r="N54" s="276">
        <f t="shared" si="3"/>
        <v>63.114754098360656</v>
      </c>
    </row>
    <row r="55" spans="2:14" s="275" customFormat="1" ht="25.5" customHeight="1" x14ac:dyDescent="0.25">
      <c r="B55" s="281" t="s">
        <v>451</v>
      </c>
      <c r="C55" s="292" t="s">
        <v>827</v>
      </c>
      <c r="D55" s="389" t="s">
        <v>826</v>
      </c>
      <c r="E55" s="390"/>
      <c r="F55" s="390"/>
      <c r="G55" s="390"/>
      <c r="H55" s="390"/>
      <c r="I55" s="391"/>
      <c r="J55" s="291">
        <v>1</v>
      </c>
      <c r="K55" s="279" t="s">
        <v>437</v>
      </c>
      <c r="L55" s="278">
        <v>350</v>
      </c>
      <c r="M55" s="332">
        <f t="shared" si="2"/>
        <v>350</v>
      </c>
      <c r="N55" s="276">
        <f t="shared" si="3"/>
        <v>63.114754098360656</v>
      </c>
    </row>
    <row r="56" spans="2:14" s="275" customFormat="1" ht="25.5" customHeight="1" x14ac:dyDescent="0.25">
      <c r="B56" s="281" t="s">
        <v>450</v>
      </c>
      <c r="C56" s="292" t="s">
        <v>613</v>
      </c>
      <c r="D56" s="389" t="s">
        <v>612</v>
      </c>
      <c r="E56" s="390"/>
      <c r="F56" s="390"/>
      <c r="G56" s="390"/>
      <c r="H56" s="390"/>
      <c r="I56" s="391"/>
      <c r="J56" s="291">
        <v>1</v>
      </c>
      <c r="K56" s="279" t="s">
        <v>437</v>
      </c>
      <c r="L56" s="278">
        <v>1050</v>
      </c>
      <c r="M56" s="332">
        <f t="shared" si="2"/>
        <v>1050</v>
      </c>
      <c r="N56" s="276">
        <f t="shared" si="3"/>
        <v>189.34426229508196</v>
      </c>
    </row>
    <row r="57" spans="2:14" s="275" customFormat="1" ht="15" customHeight="1" x14ac:dyDescent="0.25">
      <c r="B57" s="281" t="s">
        <v>468</v>
      </c>
      <c r="C57" s="292" t="s">
        <v>825</v>
      </c>
      <c r="D57" s="389" t="s">
        <v>824</v>
      </c>
      <c r="E57" s="390"/>
      <c r="F57" s="390"/>
      <c r="G57" s="390"/>
      <c r="H57" s="390"/>
      <c r="I57" s="391"/>
      <c r="J57" s="291">
        <v>1</v>
      </c>
      <c r="K57" s="279" t="s">
        <v>437</v>
      </c>
      <c r="L57" s="278">
        <v>250</v>
      </c>
      <c r="M57" s="332">
        <f t="shared" si="2"/>
        <v>250</v>
      </c>
      <c r="N57" s="276">
        <f t="shared" si="3"/>
        <v>45.081967213114751</v>
      </c>
    </row>
    <row r="58" spans="2:14" s="275" customFormat="1" ht="24" customHeight="1" x14ac:dyDescent="0.25">
      <c r="B58" s="281" t="s">
        <v>541</v>
      </c>
      <c r="C58" s="292">
        <v>2389901366</v>
      </c>
      <c r="D58" s="389" t="s">
        <v>823</v>
      </c>
      <c r="E58" s="390"/>
      <c r="F58" s="390"/>
      <c r="G58" s="390"/>
      <c r="H58" s="390"/>
      <c r="I58" s="391"/>
      <c r="J58" s="291">
        <v>1</v>
      </c>
      <c r="K58" s="279" t="s">
        <v>437</v>
      </c>
      <c r="L58" s="278">
        <v>1600</v>
      </c>
      <c r="M58" s="332">
        <f t="shared" si="2"/>
        <v>1600</v>
      </c>
      <c r="N58" s="276">
        <f t="shared" si="3"/>
        <v>288.52459016393442</v>
      </c>
    </row>
    <row r="59" spans="2:14" s="275" customFormat="1" ht="22.5" customHeight="1" x14ac:dyDescent="0.25">
      <c r="B59" s="281" t="s">
        <v>538</v>
      </c>
      <c r="C59" s="280" t="s">
        <v>822</v>
      </c>
      <c r="D59" s="389" t="s">
        <v>821</v>
      </c>
      <c r="E59" s="390"/>
      <c r="F59" s="390"/>
      <c r="G59" s="390"/>
      <c r="H59" s="390"/>
      <c r="I59" s="391"/>
      <c r="J59" s="291">
        <v>1</v>
      </c>
      <c r="K59" s="279" t="s">
        <v>437</v>
      </c>
      <c r="L59" s="278">
        <v>400</v>
      </c>
      <c r="M59" s="332">
        <f t="shared" si="2"/>
        <v>400</v>
      </c>
      <c r="N59" s="276">
        <f t="shared" si="3"/>
        <v>72.131147540983605</v>
      </c>
    </row>
    <row r="60" spans="2:14" s="275" customFormat="1" ht="15.75" customHeight="1" x14ac:dyDescent="0.25">
      <c r="B60" s="281" t="s">
        <v>535</v>
      </c>
      <c r="C60" s="292" t="s">
        <v>820</v>
      </c>
      <c r="D60" s="389" t="s">
        <v>819</v>
      </c>
      <c r="E60" s="390"/>
      <c r="F60" s="390"/>
      <c r="G60" s="390"/>
      <c r="H60" s="390"/>
      <c r="I60" s="391"/>
      <c r="J60" s="291">
        <v>1</v>
      </c>
      <c r="K60" s="279" t="s">
        <v>437</v>
      </c>
      <c r="L60" s="278">
        <v>1800</v>
      </c>
      <c r="M60" s="332">
        <f t="shared" si="2"/>
        <v>1800</v>
      </c>
      <c r="N60" s="276">
        <f t="shared" si="3"/>
        <v>324.59016393442624</v>
      </c>
    </row>
    <row r="61" spans="2:14" s="275" customFormat="1" ht="25.5" customHeight="1" x14ac:dyDescent="0.25">
      <c r="B61" s="281" t="s">
        <v>532</v>
      </c>
      <c r="C61" s="292" t="s">
        <v>818</v>
      </c>
      <c r="D61" s="389" t="s">
        <v>817</v>
      </c>
      <c r="E61" s="390"/>
      <c r="F61" s="390"/>
      <c r="G61" s="390"/>
      <c r="H61" s="390"/>
      <c r="I61" s="391"/>
      <c r="J61" s="291">
        <v>1</v>
      </c>
      <c r="K61" s="279" t="s">
        <v>520</v>
      </c>
      <c r="L61" s="278">
        <v>1000</v>
      </c>
      <c r="M61" s="332">
        <f t="shared" si="2"/>
        <v>1000</v>
      </c>
      <c r="N61" s="276">
        <f t="shared" si="3"/>
        <v>180.32786885245901</v>
      </c>
    </row>
    <row r="62" spans="2:14" s="275" customFormat="1" ht="26.25" customHeight="1" x14ac:dyDescent="0.25">
      <c r="B62" s="281" t="s">
        <v>529</v>
      </c>
      <c r="C62" s="292">
        <v>2190</v>
      </c>
      <c r="D62" s="389" t="s">
        <v>816</v>
      </c>
      <c r="E62" s="390"/>
      <c r="F62" s="390"/>
      <c r="G62" s="390"/>
      <c r="H62" s="390"/>
      <c r="I62" s="391"/>
      <c r="J62" s="291">
        <v>1</v>
      </c>
      <c r="K62" s="279" t="s">
        <v>520</v>
      </c>
      <c r="L62" s="278">
        <v>700</v>
      </c>
      <c r="M62" s="332">
        <f t="shared" si="2"/>
        <v>700</v>
      </c>
      <c r="N62" s="276">
        <f t="shared" si="3"/>
        <v>126.22950819672131</v>
      </c>
    </row>
    <row r="63" spans="2:14" s="275" customFormat="1" ht="22.5" customHeight="1" x14ac:dyDescent="0.25">
      <c r="B63" s="281" t="s">
        <v>526</v>
      </c>
      <c r="C63" s="292">
        <v>5521</v>
      </c>
      <c r="D63" s="512" t="s">
        <v>815</v>
      </c>
      <c r="E63" s="512"/>
      <c r="F63" s="512"/>
      <c r="G63" s="512"/>
      <c r="H63" s="512"/>
      <c r="I63" s="512"/>
      <c r="J63" s="291">
        <v>1</v>
      </c>
      <c r="K63" s="279" t="s">
        <v>437</v>
      </c>
      <c r="L63" s="278">
        <v>850</v>
      </c>
      <c r="M63" s="332">
        <f t="shared" si="2"/>
        <v>850</v>
      </c>
      <c r="N63" s="276">
        <f t="shared" si="3"/>
        <v>153.27868852459017</v>
      </c>
    </row>
    <row r="64" spans="2:14" s="275" customFormat="1" ht="12" customHeight="1" x14ac:dyDescent="0.25">
      <c r="B64" s="281" t="s">
        <v>523</v>
      </c>
      <c r="C64" s="292" t="s">
        <v>814</v>
      </c>
      <c r="D64" s="512" t="s">
        <v>813</v>
      </c>
      <c r="E64" s="512"/>
      <c r="F64" s="512"/>
      <c r="G64" s="512"/>
      <c r="H64" s="512"/>
      <c r="I64" s="512"/>
      <c r="J64" s="291">
        <v>1</v>
      </c>
      <c r="K64" s="279" t="s">
        <v>437</v>
      </c>
      <c r="L64" s="278">
        <v>850</v>
      </c>
      <c r="M64" s="332">
        <f t="shared" si="2"/>
        <v>850</v>
      </c>
      <c r="N64" s="276">
        <f t="shared" si="3"/>
        <v>153.27868852459017</v>
      </c>
    </row>
    <row r="65" spans="2:14" s="275" customFormat="1" ht="12.75" customHeight="1" x14ac:dyDescent="0.25">
      <c r="B65" s="281" t="s">
        <v>519</v>
      </c>
      <c r="C65" s="292" t="s">
        <v>812</v>
      </c>
      <c r="D65" s="512" t="s">
        <v>811</v>
      </c>
      <c r="E65" s="512"/>
      <c r="F65" s="512"/>
      <c r="G65" s="512"/>
      <c r="H65" s="512"/>
      <c r="I65" s="512"/>
      <c r="J65" s="291">
        <v>1</v>
      </c>
      <c r="K65" s="279" t="s">
        <v>437</v>
      </c>
      <c r="L65" s="278">
        <v>1500</v>
      </c>
      <c r="M65" s="332">
        <f t="shared" si="2"/>
        <v>1500</v>
      </c>
      <c r="N65" s="276">
        <f t="shared" si="3"/>
        <v>270.49180327868851</v>
      </c>
    </row>
    <row r="66" spans="2:14" s="275" customFormat="1" ht="22.5" customHeight="1" x14ac:dyDescent="0.25">
      <c r="B66" s="281" t="s">
        <v>810</v>
      </c>
      <c r="C66" s="292">
        <v>813365310</v>
      </c>
      <c r="D66" s="512" t="s">
        <v>809</v>
      </c>
      <c r="E66" s="512"/>
      <c r="F66" s="512"/>
      <c r="G66" s="512"/>
      <c r="H66" s="512"/>
      <c r="I66" s="512"/>
      <c r="J66" s="291">
        <v>1</v>
      </c>
      <c r="K66" s="279" t="s">
        <v>437</v>
      </c>
      <c r="L66" s="278">
        <v>150</v>
      </c>
      <c r="M66" s="332">
        <f t="shared" si="2"/>
        <v>150</v>
      </c>
      <c r="N66" s="276">
        <f t="shared" si="3"/>
        <v>27.049180327868854</v>
      </c>
    </row>
    <row r="67" spans="2:14" s="275" customFormat="1" ht="22.5" customHeight="1" x14ac:dyDescent="0.25">
      <c r="B67" s="281" t="s">
        <v>808</v>
      </c>
      <c r="C67" s="292"/>
      <c r="D67" s="512" t="s">
        <v>807</v>
      </c>
      <c r="E67" s="512"/>
      <c r="F67" s="512"/>
      <c r="G67" s="512"/>
      <c r="H67" s="512"/>
      <c r="I67" s="512"/>
      <c r="J67" s="291">
        <v>6</v>
      </c>
      <c r="K67" s="279" t="s">
        <v>437</v>
      </c>
      <c r="L67" s="278">
        <v>10</v>
      </c>
      <c r="M67" s="332">
        <f t="shared" si="2"/>
        <v>60</v>
      </c>
      <c r="N67" s="276">
        <f t="shared" si="3"/>
        <v>10.819672131147541</v>
      </c>
    </row>
    <row r="68" spans="2:14" s="275" customFormat="1" ht="22.5" customHeight="1" x14ac:dyDescent="0.25">
      <c r="B68" s="281" t="s">
        <v>806</v>
      </c>
      <c r="C68" s="292">
        <v>280158017</v>
      </c>
      <c r="D68" s="512" t="s">
        <v>805</v>
      </c>
      <c r="E68" s="512"/>
      <c r="F68" s="512"/>
      <c r="G68" s="512"/>
      <c r="H68" s="512"/>
      <c r="I68" s="512"/>
      <c r="J68" s="291">
        <v>1</v>
      </c>
      <c r="K68" s="279" t="s">
        <v>437</v>
      </c>
      <c r="L68" s="278">
        <v>2500</v>
      </c>
      <c r="M68" s="332">
        <f t="shared" si="2"/>
        <v>2500</v>
      </c>
      <c r="N68" s="276">
        <f t="shared" si="3"/>
        <v>450.81967213114751</v>
      </c>
    </row>
    <row r="69" spans="2:14" s="275" customFormat="1" ht="12.75" customHeight="1" x14ac:dyDescent="0.25">
      <c r="B69" s="281" t="s">
        <v>804</v>
      </c>
      <c r="C69" s="280" t="s">
        <v>803</v>
      </c>
      <c r="D69" s="512" t="s">
        <v>802</v>
      </c>
      <c r="E69" s="512"/>
      <c r="F69" s="512"/>
      <c r="G69" s="512"/>
      <c r="H69" s="512"/>
      <c r="I69" s="512"/>
      <c r="J69" s="291">
        <v>1</v>
      </c>
      <c r="K69" s="279" t="s">
        <v>437</v>
      </c>
      <c r="L69" s="278">
        <v>4240</v>
      </c>
      <c r="M69" s="332">
        <f t="shared" si="2"/>
        <v>4240</v>
      </c>
      <c r="N69" s="276">
        <f t="shared" si="3"/>
        <v>764.59016393442619</v>
      </c>
    </row>
    <row r="70" spans="2:14" ht="12.75" customHeight="1" x14ac:dyDescent="0.25">
      <c r="B70" s="396" t="s">
        <v>436</v>
      </c>
      <c r="C70" s="396"/>
      <c r="D70" s="396"/>
      <c r="E70" s="396"/>
      <c r="F70" s="396"/>
      <c r="G70" s="396"/>
      <c r="H70" s="396"/>
      <c r="I70" s="396"/>
      <c r="J70" s="297">
        <v>20</v>
      </c>
      <c r="K70" s="393" t="s">
        <v>435</v>
      </c>
      <c r="L70" s="393"/>
      <c r="M70" s="277">
        <f>M49+M50+M51+M52+M53+M54+M55+M56+M57+M58+M59+M60+M61+M62+M63+M64+M65+M66+M67+M68+M69</f>
        <v>23450</v>
      </c>
      <c r="N70" s="276">
        <f t="shared" si="3"/>
        <v>4228.688524590164</v>
      </c>
    </row>
    <row r="71" spans="2:14" ht="5.25" customHeight="1" x14ac:dyDescent="0.25"/>
    <row r="72" spans="2:14" ht="12.75" customHeight="1" x14ac:dyDescent="0.25">
      <c r="B72" s="392" t="s">
        <v>801</v>
      </c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</row>
    <row r="73" spans="2:14" ht="11.25" customHeight="1" thickBot="1" x14ac:dyDescent="0.3"/>
    <row r="74" spans="2:14" ht="12.75" customHeight="1" thickTop="1" thickBot="1" x14ac:dyDescent="0.3">
      <c r="B74" s="271"/>
      <c r="C74" s="271"/>
      <c r="D74" s="271"/>
      <c r="E74" s="271"/>
      <c r="F74" s="271"/>
      <c r="G74" s="271"/>
      <c r="H74" s="271"/>
      <c r="I74" s="271"/>
      <c r="J74" s="271"/>
      <c r="K74" s="270"/>
      <c r="L74" s="270" t="s">
        <v>433</v>
      </c>
      <c r="M74" s="269">
        <f>M41+M70</f>
        <v>40450</v>
      </c>
      <c r="N74" s="268">
        <f>M74*22/122</f>
        <v>7294.2622950819668</v>
      </c>
    </row>
    <row r="75" spans="2:14" ht="5.25" customHeight="1" thickTop="1" x14ac:dyDescent="0.25"/>
    <row r="76" spans="2:14" ht="12.75" customHeight="1" x14ac:dyDescent="0.25">
      <c r="B76" s="388" t="s">
        <v>800</v>
      </c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</row>
    <row r="77" spans="2:14" ht="11.25" customHeight="1" x14ac:dyDescent="0.25"/>
    <row r="78" spans="2:14" ht="11.25" customHeight="1" x14ac:dyDescent="0.25"/>
    <row r="79" spans="2:14" ht="12.75" customHeight="1" x14ac:dyDescent="0.25">
      <c r="J79" s="266" t="s">
        <v>431</v>
      </c>
      <c r="K79" s="384" t="s">
        <v>430</v>
      </c>
      <c r="L79" s="384"/>
      <c r="M79" s="384"/>
      <c r="N79" s="384"/>
    </row>
    <row r="80" spans="2:14" ht="6" customHeight="1" x14ac:dyDescent="0.25"/>
    <row r="81" spans="2:14" ht="48.75" customHeight="1" x14ac:dyDescent="0.25">
      <c r="B81" s="267"/>
      <c r="C81" s="385" t="s">
        <v>429</v>
      </c>
      <c r="D81" s="385"/>
      <c r="E81" s="385"/>
      <c r="F81" s="385"/>
      <c r="G81" s="385"/>
      <c r="H81" s="385"/>
      <c r="I81" s="385"/>
      <c r="J81" s="385"/>
      <c r="K81" s="385"/>
      <c r="L81" s="385"/>
      <c r="M81" s="385"/>
    </row>
    <row r="82" spans="2:14" ht="6" customHeight="1" x14ac:dyDescent="0.25"/>
    <row r="83" spans="2:14" ht="1.1499999999999999" customHeight="1" x14ac:dyDescent="0.25"/>
    <row r="84" spans="2:14" ht="3.75" customHeight="1" x14ac:dyDescent="0.25"/>
    <row r="85" spans="2:14" ht="11.25" customHeight="1" x14ac:dyDescent="0.25"/>
    <row r="86" spans="2:14" ht="24.75" customHeight="1" x14ac:dyDescent="0.25">
      <c r="B86" s="386" t="s">
        <v>799</v>
      </c>
      <c r="C86" s="386"/>
      <c r="J86" s="266" t="s">
        <v>427</v>
      </c>
      <c r="K86" s="384" t="s">
        <v>425</v>
      </c>
      <c r="L86" s="384"/>
      <c r="M86" s="384"/>
      <c r="N86" s="384"/>
    </row>
    <row r="87" spans="2:14" ht="11.25" customHeight="1" x14ac:dyDescent="0.25"/>
    <row r="88" spans="2:14" ht="24.75" customHeight="1" x14ac:dyDescent="0.25">
      <c r="J88" s="266" t="s">
        <v>426</v>
      </c>
      <c r="K88" s="384" t="s">
        <v>425</v>
      </c>
      <c r="L88" s="384"/>
      <c r="M88" s="384"/>
      <c r="N88" s="384"/>
    </row>
    <row r="89" spans="2:14" ht="12.75" customHeight="1" x14ac:dyDescent="0.25"/>
    <row r="90" spans="2:14" ht="12.75" customHeight="1" x14ac:dyDescent="0.25">
      <c r="B90" s="509" t="s">
        <v>424</v>
      </c>
      <c r="C90" s="509"/>
    </row>
    <row r="91" spans="2:14" ht="22.15" customHeight="1" x14ac:dyDescent="0.25">
      <c r="B91" s="510"/>
      <c r="C91" s="510"/>
      <c r="D91" s="510"/>
      <c r="E91" s="510"/>
      <c r="F91" s="510"/>
      <c r="G91" s="510"/>
      <c r="H91" s="510"/>
      <c r="I91" s="510"/>
      <c r="J91" s="510"/>
      <c r="K91" s="510"/>
      <c r="L91" s="510"/>
      <c r="M91" s="510"/>
      <c r="N91" s="510"/>
    </row>
    <row r="92" spans="2:14" ht="11.25" customHeight="1" x14ac:dyDescent="0.25"/>
  </sheetData>
  <mergeCells count="68">
    <mergeCell ref="D37:H37"/>
    <mergeCell ref="D38:H38"/>
    <mergeCell ref="D39:H39"/>
    <mergeCell ref="D40:H40"/>
    <mergeCell ref="B90:C90"/>
    <mergeCell ref="D62:I62"/>
    <mergeCell ref="D63:I63"/>
    <mergeCell ref="D56:I56"/>
    <mergeCell ref="D57:I57"/>
    <mergeCell ref="D58:I58"/>
    <mergeCell ref="D49:I49"/>
    <mergeCell ref="D59:I59"/>
    <mergeCell ref="D60:I60"/>
    <mergeCell ref="D61:I61"/>
    <mergeCell ref="D50:I50"/>
    <mergeCell ref="D51:I51"/>
    <mergeCell ref="B91:N91"/>
    <mergeCell ref="D64:I64"/>
    <mergeCell ref="D65:I65"/>
    <mergeCell ref="D66:I66"/>
    <mergeCell ref="D67:I67"/>
    <mergeCell ref="D68:I68"/>
    <mergeCell ref="B76:N76"/>
    <mergeCell ref="K79:N79"/>
    <mergeCell ref="C81:M81"/>
    <mergeCell ref="B86:C86"/>
    <mergeCell ref="K86:N86"/>
    <mergeCell ref="K88:N88"/>
    <mergeCell ref="D69:I69"/>
    <mergeCell ref="B70:I70"/>
    <mergeCell ref="K70:L70"/>
    <mergeCell ref="B72:N72"/>
    <mergeCell ref="D52:I52"/>
    <mergeCell ref="D53:I53"/>
    <mergeCell ref="D54:I54"/>
    <mergeCell ref="D55:I55"/>
    <mergeCell ref="B41:H41"/>
    <mergeCell ref="J41:L41"/>
    <mergeCell ref="B43:N43"/>
    <mergeCell ref="D47:I47"/>
    <mergeCell ref="D48:I48"/>
    <mergeCell ref="D21:H21"/>
    <mergeCell ref="D33:H33"/>
    <mergeCell ref="D34:H34"/>
    <mergeCell ref="D35:H35"/>
    <mergeCell ref="D36:H36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76" fitToHeight="2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0094-657C-4C9D-A872-3D1BA7212623}">
  <sheetPr codeName="Лист24">
    <pageSetUpPr fitToPage="1"/>
  </sheetPr>
  <dimension ref="B1:N53"/>
  <sheetViews>
    <sheetView topLeftCell="A2" workbookViewId="0">
      <selection activeCell="O34" sqref="O34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85546875" style="237" customWidth="1"/>
    <col min="4" max="6" width="2" style="237" customWidth="1"/>
    <col min="7" max="7" width="14.85546875" style="237" customWidth="1"/>
    <col min="8" max="8" width="12.5703125" style="237" customWidth="1"/>
    <col min="9" max="9" width="14.425781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5.85546875" style="237" customWidth="1"/>
    <col min="260" max="262" width="2" style="237" customWidth="1"/>
    <col min="263" max="263" width="14.85546875" style="237" customWidth="1"/>
    <col min="264" max="264" width="10.28515625" style="237" cust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5.85546875" style="237" customWidth="1"/>
    <col min="516" max="518" width="2" style="237" customWidth="1"/>
    <col min="519" max="519" width="14.85546875" style="237" customWidth="1"/>
    <col min="520" max="520" width="10.28515625" style="237" customWidth="1"/>
    <col min="521" max="521" width="14.42578125" style="237" customWidth="1"/>
    <col min="522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5.85546875" style="237" customWidth="1"/>
    <col min="772" max="774" width="2" style="237" customWidth="1"/>
    <col min="775" max="775" width="14.85546875" style="237" customWidth="1"/>
    <col min="776" max="776" width="10.28515625" style="237" customWidth="1"/>
    <col min="777" max="777" width="14.42578125" style="237" customWidth="1"/>
    <col min="778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5.85546875" style="237" customWidth="1"/>
    <col min="1028" max="1030" width="2" style="237" customWidth="1"/>
    <col min="1031" max="1031" width="14.85546875" style="237" customWidth="1"/>
    <col min="1032" max="1032" width="10.28515625" style="237" customWidth="1"/>
    <col min="1033" max="1033" width="14.42578125" style="237" customWidth="1"/>
    <col min="1034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5.85546875" style="237" customWidth="1"/>
    <col min="1284" max="1286" width="2" style="237" customWidth="1"/>
    <col min="1287" max="1287" width="14.85546875" style="237" customWidth="1"/>
    <col min="1288" max="1288" width="10.28515625" style="237" customWidth="1"/>
    <col min="1289" max="1289" width="14.42578125" style="237" customWidth="1"/>
    <col min="1290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5.85546875" style="237" customWidth="1"/>
    <col min="1540" max="1542" width="2" style="237" customWidth="1"/>
    <col min="1543" max="1543" width="14.85546875" style="237" customWidth="1"/>
    <col min="1544" max="1544" width="10.28515625" style="237" customWidth="1"/>
    <col min="1545" max="1545" width="14.42578125" style="237" customWidth="1"/>
    <col min="1546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5.85546875" style="237" customWidth="1"/>
    <col min="1796" max="1798" width="2" style="237" customWidth="1"/>
    <col min="1799" max="1799" width="14.85546875" style="237" customWidth="1"/>
    <col min="1800" max="1800" width="10.28515625" style="237" customWidth="1"/>
    <col min="1801" max="1801" width="14.42578125" style="237" customWidth="1"/>
    <col min="1802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5.85546875" style="237" customWidth="1"/>
    <col min="2052" max="2054" width="2" style="237" customWidth="1"/>
    <col min="2055" max="2055" width="14.85546875" style="237" customWidth="1"/>
    <col min="2056" max="2056" width="10.28515625" style="237" customWidth="1"/>
    <col min="2057" max="2057" width="14.42578125" style="237" customWidth="1"/>
    <col min="2058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5.85546875" style="237" customWidth="1"/>
    <col min="2308" max="2310" width="2" style="237" customWidth="1"/>
    <col min="2311" max="2311" width="14.85546875" style="237" customWidth="1"/>
    <col min="2312" max="2312" width="10.28515625" style="237" customWidth="1"/>
    <col min="2313" max="2313" width="14.42578125" style="237" customWidth="1"/>
    <col min="2314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5.85546875" style="237" customWidth="1"/>
    <col min="2564" max="2566" width="2" style="237" customWidth="1"/>
    <col min="2567" max="2567" width="14.85546875" style="237" customWidth="1"/>
    <col min="2568" max="2568" width="10.28515625" style="237" customWidth="1"/>
    <col min="2569" max="2569" width="14.42578125" style="237" customWidth="1"/>
    <col min="2570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5.85546875" style="237" customWidth="1"/>
    <col min="2820" max="2822" width="2" style="237" customWidth="1"/>
    <col min="2823" max="2823" width="14.85546875" style="237" customWidth="1"/>
    <col min="2824" max="2824" width="10.28515625" style="237" customWidth="1"/>
    <col min="2825" max="2825" width="14.42578125" style="237" customWidth="1"/>
    <col min="2826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5.85546875" style="237" customWidth="1"/>
    <col min="3076" max="3078" width="2" style="237" customWidth="1"/>
    <col min="3079" max="3079" width="14.85546875" style="237" customWidth="1"/>
    <col min="3080" max="3080" width="10.28515625" style="237" customWidth="1"/>
    <col min="3081" max="3081" width="14.42578125" style="237" customWidth="1"/>
    <col min="3082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5.85546875" style="237" customWidth="1"/>
    <col min="3332" max="3334" width="2" style="237" customWidth="1"/>
    <col min="3335" max="3335" width="14.85546875" style="237" customWidth="1"/>
    <col min="3336" max="3336" width="10.28515625" style="237" customWidth="1"/>
    <col min="3337" max="3337" width="14.42578125" style="237" customWidth="1"/>
    <col min="3338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5.85546875" style="237" customWidth="1"/>
    <col min="3588" max="3590" width="2" style="237" customWidth="1"/>
    <col min="3591" max="3591" width="14.85546875" style="237" customWidth="1"/>
    <col min="3592" max="3592" width="10.28515625" style="237" customWidth="1"/>
    <col min="3593" max="3593" width="14.42578125" style="237" customWidth="1"/>
    <col min="3594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5.85546875" style="237" customWidth="1"/>
    <col min="3844" max="3846" width="2" style="237" customWidth="1"/>
    <col min="3847" max="3847" width="14.85546875" style="237" customWidth="1"/>
    <col min="3848" max="3848" width="10.28515625" style="237" customWidth="1"/>
    <col min="3849" max="3849" width="14.42578125" style="237" customWidth="1"/>
    <col min="3850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5.85546875" style="237" customWidth="1"/>
    <col min="4100" max="4102" width="2" style="237" customWidth="1"/>
    <col min="4103" max="4103" width="14.85546875" style="237" customWidth="1"/>
    <col min="4104" max="4104" width="10.28515625" style="237" customWidth="1"/>
    <col min="4105" max="4105" width="14.42578125" style="237" customWidth="1"/>
    <col min="4106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5.85546875" style="237" customWidth="1"/>
    <col min="4356" max="4358" width="2" style="237" customWidth="1"/>
    <col min="4359" max="4359" width="14.85546875" style="237" customWidth="1"/>
    <col min="4360" max="4360" width="10.28515625" style="237" customWidth="1"/>
    <col min="4361" max="4361" width="14.42578125" style="237" customWidth="1"/>
    <col min="4362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5.85546875" style="237" customWidth="1"/>
    <col min="4612" max="4614" width="2" style="237" customWidth="1"/>
    <col min="4615" max="4615" width="14.85546875" style="237" customWidth="1"/>
    <col min="4616" max="4616" width="10.28515625" style="237" customWidth="1"/>
    <col min="4617" max="4617" width="14.42578125" style="237" customWidth="1"/>
    <col min="4618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5.85546875" style="237" customWidth="1"/>
    <col min="4868" max="4870" width="2" style="237" customWidth="1"/>
    <col min="4871" max="4871" width="14.85546875" style="237" customWidth="1"/>
    <col min="4872" max="4872" width="10.28515625" style="237" customWidth="1"/>
    <col min="4873" max="4873" width="14.42578125" style="237" customWidth="1"/>
    <col min="4874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5.85546875" style="237" customWidth="1"/>
    <col min="5124" max="5126" width="2" style="237" customWidth="1"/>
    <col min="5127" max="5127" width="14.85546875" style="237" customWidth="1"/>
    <col min="5128" max="5128" width="10.28515625" style="237" customWidth="1"/>
    <col min="5129" max="5129" width="14.42578125" style="237" customWidth="1"/>
    <col min="5130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5.85546875" style="237" customWidth="1"/>
    <col min="5380" max="5382" width="2" style="237" customWidth="1"/>
    <col min="5383" max="5383" width="14.85546875" style="237" customWidth="1"/>
    <col min="5384" max="5384" width="10.28515625" style="237" customWidth="1"/>
    <col min="5385" max="5385" width="14.42578125" style="237" customWidth="1"/>
    <col min="5386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5.85546875" style="237" customWidth="1"/>
    <col min="5636" max="5638" width="2" style="237" customWidth="1"/>
    <col min="5639" max="5639" width="14.85546875" style="237" customWidth="1"/>
    <col min="5640" max="5640" width="10.28515625" style="237" customWidth="1"/>
    <col min="5641" max="5641" width="14.42578125" style="237" customWidth="1"/>
    <col min="5642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5.85546875" style="237" customWidth="1"/>
    <col min="5892" max="5894" width="2" style="237" customWidth="1"/>
    <col min="5895" max="5895" width="14.85546875" style="237" customWidth="1"/>
    <col min="5896" max="5896" width="10.28515625" style="237" customWidth="1"/>
    <col min="5897" max="5897" width="14.42578125" style="237" customWidth="1"/>
    <col min="5898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5.85546875" style="237" customWidth="1"/>
    <col min="6148" max="6150" width="2" style="237" customWidth="1"/>
    <col min="6151" max="6151" width="14.85546875" style="237" customWidth="1"/>
    <col min="6152" max="6152" width="10.28515625" style="237" customWidth="1"/>
    <col min="6153" max="6153" width="14.42578125" style="237" customWidth="1"/>
    <col min="6154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5.85546875" style="237" customWidth="1"/>
    <col min="6404" max="6406" width="2" style="237" customWidth="1"/>
    <col min="6407" max="6407" width="14.85546875" style="237" customWidth="1"/>
    <col min="6408" max="6408" width="10.28515625" style="237" customWidth="1"/>
    <col min="6409" max="6409" width="14.42578125" style="237" customWidth="1"/>
    <col min="6410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5.85546875" style="237" customWidth="1"/>
    <col min="6660" max="6662" width="2" style="237" customWidth="1"/>
    <col min="6663" max="6663" width="14.85546875" style="237" customWidth="1"/>
    <col min="6664" max="6664" width="10.28515625" style="237" customWidth="1"/>
    <col min="6665" max="6665" width="14.42578125" style="237" customWidth="1"/>
    <col min="6666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5.85546875" style="237" customWidth="1"/>
    <col min="6916" max="6918" width="2" style="237" customWidth="1"/>
    <col min="6919" max="6919" width="14.85546875" style="237" customWidth="1"/>
    <col min="6920" max="6920" width="10.28515625" style="237" customWidth="1"/>
    <col min="6921" max="6921" width="14.42578125" style="237" customWidth="1"/>
    <col min="6922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5.85546875" style="237" customWidth="1"/>
    <col min="7172" max="7174" width="2" style="237" customWidth="1"/>
    <col min="7175" max="7175" width="14.85546875" style="237" customWidth="1"/>
    <col min="7176" max="7176" width="10.28515625" style="237" customWidth="1"/>
    <col min="7177" max="7177" width="14.42578125" style="237" customWidth="1"/>
    <col min="7178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5.85546875" style="237" customWidth="1"/>
    <col min="7428" max="7430" width="2" style="237" customWidth="1"/>
    <col min="7431" max="7431" width="14.85546875" style="237" customWidth="1"/>
    <col min="7432" max="7432" width="10.28515625" style="237" customWidth="1"/>
    <col min="7433" max="7433" width="14.42578125" style="237" customWidth="1"/>
    <col min="7434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5.85546875" style="237" customWidth="1"/>
    <col min="7684" max="7686" width="2" style="237" customWidth="1"/>
    <col min="7687" max="7687" width="14.85546875" style="237" customWidth="1"/>
    <col min="7688" max="7688" width="10.28515625" style="237" customWidth="1"/>
    <col min="7689" max="7689" width="14.42578125" style="237" customWidth="1"/>
    <col min="7690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5.85546875" style="237" customWidth="1"/>
    <col min="7940" max="7942" width="2" style="237" customWidth="1"/>
    <col min="7943" max="7943" width="14.85546875" style="237" customWidth="1"/>
    <col min="7944" max="7944" width="10.28515625" style="237" customWidth="1"/>
    <col min="7945" max="7945" width="14.42578125" style="237" customWidth="1"/>
    <col min="7946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5.85546875" style="237" customWidth="1"/>
    <col min="8196" max="8198" width="2" style="237" customWidth="1"/>
    <col min="8199" max="8199" width="14.85546875" style="237" customWidth="1"/>
    <col min="8200" max="8200" width="10.28515625" style="237" customWidth="1"/>
    <col min="8201" max="8201" width="14.42578125" style="237" customWidth="1"/>
    <col min="8202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5.85546875" style="237" customWidth="1"/>
    <col min="8452" max="8454" width="2" style="237" customWidth="1"/>
    <col min="8455" max="8455" width="14.85546875" style="237" customWidth="1"/>
    <col min="8456" max="8456" width="10.28515625" style="237" customWidth="1"/>
    <col min="8457" max="8457" width="14.42578125" style="237" customWidth="1"/>
    <col min="8458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5.85546875" style="237" customWidth="1"/>
    <col min="8708" max="8710" width="2" style="237" customWidth="1"/>
    <col min="8711" max="8711" width="14.85546875" style="237" customWidth="1"/>
    <col min="8712" max="8712" width="10.28515625" style="237" customWidth="1"/>
    <col min="8713" max="8713" width="14.42578125" style="237" customWidth="1"/>
    <col min="8714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5.85546875" style="237" customWidth="1"/>
    <col min="8964" max="8966" width="2" style="237" customWidth="1"/>
    <col min="8967" max="8967" width="14.85546875" style="237" customWidth="1"/>
    <col min="8968" max="8968" width="10.28515625" style="237" customWidth="1"/>
    <col min="8969" max="8969" width="14.42578125" style="237" customWidth="1"/>
    <col min="8970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5.85546875" style="237" customWidth="1"/>
    <col min="9220" max="9222" width="2" style="237" customWidth="1"/>
    <col min="9223" max="9223" width="14.85546875" style="237" customWidth="1"/>
    <col min="9224" max="9224" width="10.28515625" style="237" customWidth="1"/>
    <col min="9225" max="9225" width="14.42578125" style="237" customWidth="1"/>
    <col min="9226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5.85546875" style="237" customWidth="1"/>
    <col min="9476" max="9478" width="2" style="237" customWidth="1"/>
    <col min="9479" max="9479" width="14.85546875" style="237" customWidth="1"/>
    <col min="9480" max="9480" width="10.28515625" style="237" customWidth="1"/>
    <col min="9481" max="9481" width="14.42578125" style="237" customWidth="1"/>
    <col min="9482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5.85546875" style="237" customWidth="1"/>
    <col min="9732" max="9734" width="2" style="237" customWidth="1"/>
    <col min="9735" max="9735" width="14.85546875" style="237" customWidth="1"/>
    <col min="9736" max="9736" width="10.28515625" style="237" customWidth="1"/>
    <col min="9737" max="9737" width="14.42578125" style="237" customWidth="1"/>
    <col min="9738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5.85546875" style="237" customWidth="1"/>
    <col min="9988" max="9990" width="2" style="237" customWidth="1"/>
    <col min="9991" max="9991" width="14.85546875" style="237" customWidth="1"/>
    <col min="9992" max="9992" width="10.28515625" style="237" customWidth="1"/>
    <col min="9993" max="9993" width="14.42578125" style="237" customWidth="1"/>
    <col min="9994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5.85546875" style="237" customWidth="1"/>
    <col min="10244" max="10246" width="2" style="237" customWidth="1"/>
    <col min="10247" max="10247" width="14.85546875" style="237" customWidth="1"/>
    <col min="10248" max="10248" width="10.28515625" style="237" customWidth="1"/>
    <col min="10249" max="10249" width="14.42578125" style="237" customWidth="1"/>
    <col min="10250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5.85546875" style="237" customWidth="1"/>
    <col min="10500" max="10502" width="2" style="237" customWidth="1"/>
    <col min="10503" max="10503" width="14.85546875" style="237" customWidth="1"/>
    <col min="10504" max="10504" width="10.28515625" style="237" customWidth="1"/>
    <col min="10505" max="10505" width="14.42578125" style="237" customWidth="1"/>
    <col min="10506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5.85546875" style="237" customWidth="1"/>
    <col min="10756" max="10758" width="2" style="237" customWidth="1"/>
    <col min="10759" max="10759" width="14.85546875" style="237" customWidth="1"/>
    <col min="10760" max="10760" width="10.28515625" style="237" customWidth="1"/>
    <col min="10761" max="10761" width="14.42578125" style="237" customWidth="1"/>
    <col min="10762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5.85546875" style="237" customWidth="1"/>
    <col min="11012" max="11014" width="2" style="237" customWidth="1"/>
    <col min="11015" max="11015" width="14.85546875" style="237" customWidth="1"/>
    <col min="11016" max="11016" width="10.28515625" style="237" customWidth="1"/>
    <col min="11017" max="11017" width="14.42578125" style="237" customWidth="1"/>
    <col min="11018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5.85546875" style="237" customWidth="1"/>
    <col min="11268" max="11270" width="2" style="237" customWidth="1"/>
    <col min="11271" max="11271" width="14.85546875" style="237" customWidth="1"/>
    <col min="11272" max="11272" width="10.28515625" style="237" customWidth="1"/>
    <col min="11273" max="11273" width="14.42578125" style="237" customWidth="1"/>
    <col min="11274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5.85546875" style="237" customWidth="1"/>
    <col min="11524" max="11526" width="2" style="237" customWidth="1"/>
    <col min="11527" max="11527" width="14.85546875" style="237" customWidth="1"/>
    <col min="11528" max="11528" width="10.28515625" style="237" customWidth="1"/>
    <col min="11529" max="11529" width="14.42578125" style="237" customWidth="1"/>
    <col min="11530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5.85546875" style="237" customWidth="1"/>
    <col min="11780" max="11782" width="2" style="237" customWidth="1"/>
    <col min="11783" max="11783" width="14.85546875" style="237" customWidth="1"/>
    <col min="11784" max="11784" width="10.28515625" style="237" customWidth="1"/>
    <col min="11785" max="11785" width="14.42578125" style="237" customWidth="1"/>
    <col min="11786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5.85546875" style="237" customWidth="1"/>
    <col min="12036" max="12038" width="2" style="237" customWidth="1"/>
    <col min="12039" max="12039" width="14.85546875" style="237" customWidth="1"/>
    <col min="12040" max="12040" width="10.28515625" style="237" customWidth="1"/>
    <col min="12041" max="12041" width="14.42578125" style="237" customWidth="1"/>
    <col min="12042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5.85546875" style="237" customWidth="1"/>
    <col min="12292" max="12294" width="2" style="237" customWidth="1"/>
    <col min="12295" max="12295" width="14.85546875" style="237" customWidth="1"/>
    <col min="12296" max="12296" width="10.28515625" style="237" customWidth="1"/>
    <col min="12297" max="12297" width="14.42578125" style="237" customWidth="1"/>
    <col min="12298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5.85546875" style="237" customWidth="1"/>
    <col min="12548" max="12550" width="2" style="237" customWidth="1"/>
    <col min="12551" max="12551" width="14.85546875" style="237" customWidth="1"/>
    <col min="12552" max="12552" width="10.28515625" style="237" customWidth="1"/>
    <col min="12553" max="12553" width="14.42578125" style="237" customWidth="1"/>
    <col min="12554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5.85546875" style="237" customWidth="1"/>
    <col min="12804" max="12806" width="2" style="237" customWidth="1"/>
    <col min="12807" max="12807" width="14.85546875" style="237" customWidth="1"/>
    <col min="12808" max="12808" width="10.28515625" style="237" customWidth="1"/>
    <col min="12809" max="12809" width="14.42578125" style="237" customWidth="1"/>
    <col min="12810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5.85546875" style="237" customWidth="1"/>
    <col min="13060" max="13062" width="2" style="237" customWidth="1"/>
    <col min="13063" max="13063" width="14.85546875" style="237" customWidth="1"/>
    <col min="13064" max="13064" width="10.28515625" style="237" customWidth="1"/>
    <col min="13065" max="13065" width="14.42578125" style="237" customWidth="1"/>
    <col min="13066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5.85546875" style="237" customWidth="1"/>
    <col min="13316" max="13318" width="2" style="237" customWidth="1"/>
    <col min="13319" max="13319" width="14.85546875" style="237" customWidth="1"/>
    <col min="13320" max="13320" width="10.28515625" style="237" customWidth="1"/>
    <col min="13321" max="13321" width="14.42578125" style="237" customWidth="1"/>
    <col min="13322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5.85546875" style="237" customWidth="1"/>
    <col min="13572" max="13574" width="2" style="237" customWidth="1"/>
    <col min="13575" max="13575" width="14.85546875" style="237" customWidth="1"/>
    <col min="13576" max="13576" width="10.28515625" style="237" customWidth="1"/>
    <col min="13577" max="13577" width="14.42578125" style="237" customWidth="1"/>
    <col min="13578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5.85546875" style="237" customWidth="1"/>
    <col min="13828" max="13830" width="2" style="237" customWidth="1"/>
    <col min="13831" max="13831" width="14.85546875" style="237" customWidth="1"/>
    <col min="13832" max="13832" width="10.28515625" style="237" customWidth="1"/>
    <col min="13833" max="13833" width="14.42578125" style="237" customWidth="1"/>
    <col min="13834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5.85546875" style="237" customWidth="1"/>
    <col min="14084" max="14086" width="2" style="237" customWidth="1"/>
    <col min="14087" max="14087" width="14.85546875" style="237" customWidth="1"/>
    <col min="14088" max="14088" width="10.28515625" style="237" customWidth="1"/>
    <col min="14089" max="14089" width="14.42578125" style="237" customWidth="1"/>
    <col min="14090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5.85546875" style="237" customWidth="1"/>
    <col min="14340" max="14342" width="2" style="237" customWidth="1"/>
    <col min="14343" max="14343" width="14.85546875" style="237" customWidth="1"/>
    <col min="14344" max="14344" width="10.28515625" style="237" customWidth="1"/>
    <col min="14345" max="14345" width="14.42578125" style="237" customWidth="1"/>
    <col min="14346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5.85546875" style="237" customWidth="1"/>
    <col min="14596" max="14598" width="2" style="237" customWidth="1"/>
    <col min="14599" max="14599" width="14.85546875" style="237" customWidth="1"/>
    <col min="14600" max="14600" width="10.28515625" style="237" customWidth="1"/>
    <col min="14601" max="14601" width="14.42578125" style="237" customWidth="1"/>
    <col min="14602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5.85546875" style="237" customWidth="1"/>
    <col min="14852" max="14854" width="2" style="237" customWidth="1"/>
    <col min="14855" max="14855" width="14.85546875" style="237" customWidth="1"/>
    <col min="14856" max="14856" width="10.28515625" style="237" customWidth="1"/>
    <col min="14857" max="14857" width="14.42578125" style="237" customWidth="1"/>
    <col min="14858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5.85546875" style="237" customWidth="1"/>
    <col min="15108" max="15110" width="2" style="237" customWidth="1"/>
    <col min="15111" max="15111" width="14.85546875" style="237" customWidth="1"/>
    <col min="15112" max="15112" width="10.28515625" style="237" customWidth="1"/>
    <col min="15113" max="15113" width="14.42578125" style="237" customWidth="1"/>
    <col min="15114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5.85546875" style="237" customWidth="1"/>
    <col min="15364" max="15366" width="2" style="237" customWidth="1"/>
    <col min="15367" max="15367" width="14.85546875" style="237" customWidth="1"/>
    <col min="15368" max="15368" width="10.28515625" style="237" customWidth="1"/>
    <col min="15369" max="15369" width="14.42578125" style="237" customWidth="1"/>
    <col min="15370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5.85546875" style="237" customWidth="1"/>
    <col min="15620" max="15622" width="2" style="237" customWidth="1"/>
    <col min="15623" max="15623" width="14.85546875" style="237" customWidth="1"/>
    <col min="15624" max="15624" width="10.28515625" style="237" customWidth="1"/>
    <col min="15625" max="15625" width="14.42578125" style="237" customWidth="1"/>
    <col min="15626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5.85546875" style="237" customWidth="1"/>
    <col min="15876" max="15878" width="2" style="237" customWidth="1"/>
    <col min="15879" max="15879" width="14.85546875" style="237" customWidth="1"/>
    <col min="15880" max="15880" width="10.28515625" style="237" customWidth="1"/>
    <col min="15881" max="15881" width="14.42578125" style="237" customWidth="1"/>
    <col min="15882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5.85546875" style="237" customWidth="1"/>
    <col min="16132" max="16134" width="2" style="237" customWidth="1"/>
    <col min="16135" max="16135" width="14.85546875" style="237" customWidth="1"/>
    <col min="16136" max="16136" width="10.28515625" style="237" customWidth="1"/>
    <col min="16137" max="16137" width="14.42578125" style="237" customWidth="1"/>
    <col min="16138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860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859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858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27.75" customHeight="1" x14ac:dyDescent="0.25">
      <c r="B21" s="281" t="s">
        <v>449</v>
      </c>
      <c r="C21" s="292"/>
      <c r="D21" s="389" t="s">
        <v>857</v>
      </c>
      <c r="E21" s="390"/>
      <c r="F21" s="390"/>
      <c r="G21" s="390"/>
      <c r="H21" s="391"/>
      <c r="I21" s="337">
        <v>4</v>
      </c>
      <c r="J21" s="336">
        <v>350</v>
      </c>
      <c r="K21" s="335">
        <v>1</v>
      </c>
      <c r="L21" s="334" t="s">
        <v>11</v>
      </c>
      <c r="M21" s="333">
        <f>J21*I21</f>
        <v>1400</v>
      </c>
      <c r="N21" s="272">
        <f>M21*20/120</f>
        <v>233.33333333333334</v>
      </c>
    </row>
    <row r="22" spans="2:14" ht="12.75" customHeight="1" x14ac:dyDescent="0.25">
      <c r="B22" s="396" t="s">
        <v>464</v>
      </c>
      <c r="C22" s="396"/>
      <c r="D22" s="396"/>
      <c r="E22" s="396"/>
      <c r="F22" s="396"/>
      <c r="G22" s="396"/>
      <c r="H22" s="396"/>
      <c r="I22" s="299">
        <v>4</v>
      </c>
      <c r="J22" s="393" t="s">
        <v>435</v>
      </c>
      <c r="K22" s="393"/>
      <c r="L22" s="393"/>
      <c r="M22" s="273">
        <f>M21</f>
        <v>1400</v>
      </c>
      <c r="N22" s="276">
        <f>M22*20/120</f>
        <v>233.33333333333334</v>
      </c>
    </row>
    <row r="23" spans="2:14" ht="5.25" customHeight="1" x14ac:dyDescent="0.25"/>
    <row r="24" spans="2:14" ht="12.75" customHeight="1" x14ac:dyDescent="0.25">
      <c r="B24" s="392" t="s">
        <v>856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11.25" customHeight="1" x14ac:dyDescent="0.25"/>
    <row r="26" spans="2:14" ht="15" customHeight="1" x14ac:dyDescent="0.25">
      <c r="C26" s="287" t="s">
        <v>855</v>
      </c>
    </row>
    <row r="27" spans="2:14" ht="11.25" customHeight="1" thickBot="1" x14ac:dyDescent="0.3">
      <c r="B27" s="286"/>
      <c r="C27" s="285"/>
      <c r="D27" s="285"/>
      <c r="H27" s="285"/>
      <c r="I27" s="285"/>
      <c r="M27" s="284"/>
      <c r="N27" s="284"/>
    </row>
    <row r="28" spans="2:14" ht="12.75" customHeight="1" thickBot="1" x14ac:dyDescent="0.3">
      <c r="B28" s="282" t="s">
        <v>461</v>
      </c>
      <c r="C28" s="283" t="s">
        <v>460</v>
      </c>
      <c r="D28" s="511" t="s">
        <v>459</v>
      </c>
      <c r="E28" s="511"/>
      <c r="F28" s="511"/>
      <c r="G28" s="511"/>
      <c r="H28" s="511"/>
      <c r="I28" s="511"/>
      <c r="J28" s="282" t="s">
        <v>458</v>
      </c>
      <c r="K28" s="282" t="s">
        <v>457</v>
      </c>
      <c r="L28" s="282" t="s">
        <v>456</v>
      </c>
      <c r="M28" s="282" t="s">
        <v>455</v>
      </c>
      <c r="N28" s="282" t="s">
        <v>454</v>
      </c>
    </row>
    <row r="29" spans="2:14" ht="12.75" customHeight="1" thickBot="1" x14ac:dyDescent="0.3">
      <c r="B29" s="282" t="s">
        <v>449</v>
      </c>
      <c r="C29" s="283" t="s">
        <v>446</v>
      </c>
      <c r="D29" s="511" t="s">
        <v>443</v>
      </c>
      <c r="E29" s="511"/>
      <c r="F29" s="511"/>
      <c r="G29" s="511"/>
      <c r="H29" s="511"/>
      <c r="I29" s="511"/>
      <c r="J29" s="282" t="s">
        <v>440</v>
      </c>
      <c r="K29" s="282" t="s">
        <v>453</v>
      </c>
      <c r="L29" s="282" t="s">
        <v>452</v>
      </c>
      <c r="M29" s="282" t="s">
        <v>451</v>
      </c>
      <c r="N29" s="282" t="s">
        <v>450</v>
      </c>
    </row>
    <row r="30" spans="2:14" s="275" customFormat="1" ht="13.5" customHeight="1" x14ac:dyDescent="0.25">
      <c r="B30" s="281" t="s">
        <v>449</v>
      </c>
      <c r="C30" s="280"/>
      <c r="D30" s="512"/>
      <c r="E30" s="512"/>
      <c r="F30" s="512"/>
      <c r="G30" s="512"/>
      <c r="H30" s="512"/>
      <c r="I30" s="512"/>
      <c r="J30" s="291">
        <v>0</v>
      </c>
      <c r="K30" s="279" t="s">
        <v>437</v>
      </c>
      <c r="L30" s="278">
        <v>0</v>
      </c>
      <c r="M30" s="277">
        <f>L30*J30</f>
        <v>0</v>
      </c>
      <c r="N30" s="276">
        <f>M30*20/120</f>
        <v>0</v>
      </c>
    </row>
    <row r="31" spans="2:14" ht="12.75" customHeight="1" x14ac:dyDescent="0.25">
      <c r="B31" s="396" t="s">
        <v>436</v>
      </c>
      <c r="C31" s="396"/>
      <c r="D31" s="396"/>
      <c r="E31" s="396"/>
      <c r="F31" s="396"/>
      <c r="G31" s="396"/>
      <c r="H31" s="396"/>
      <c r="I31" s="396"/>
      <c r="J31" s="299">
        <v>0</v>
      </c>
      <c r="K31" s="393" t="s">
        <v>435</v>
      </c>
      <c r="L31" s="393"/>
      <c r="M31" s="273">
        <v>0</v>
      </c>
      <c r="N31" s="276">
        <f>M31*20/120</f>
        <v>0</v>
      </c>
    </row>
    <row r="32" spans="2:14" ht="5.25" customHeight="1" x14ac:dyDescent="0.25"/>
    <row r="33" spans="2:14" ht="12.75" customHeight="1" x14ac:dyDescent="0.25"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</row>
    <row r="34" spans="2:14" ht="11.25" customHeight="1" thickBot="1" x14ac:dyDescent="0.3"/>
    <row r="35" spans="2:14" ht="12.75" customHeight="1" thickTop="1" thickBot="1" x14ac:dyDescent="0.3">
      <c r="B35" s="271"/>
      <c r="C35" s="271"/>
      <c r="D35" s="271"/>
      <c r="E35" s="271"/>
      <c r="F35" s="271"/>
      <c r="G35" s="271"/>
      <c r="H35" s="271"/>
      <c r="I35" s="271"/>
      <c r="J35" s="271"/>
      <c r="K35" s="270"/>
      <c r="L35" s="270" t="s">
        <v>433</v>
      </c>
      <c r="M35" s="269">
        <f>M22+M31</f>
        <v>1400</v>
      </c>
      <c r="N35" s="268">
        <f>N22+N31</f>
        <v>233.33333333333334</v>
      </c>
    </row>
    <row r="36" spans="2:14" ht="5.25" customHeight="1" thickTop="1" x14ac:dyDescent="0.25"/>
    <row r="37" spans="2:14" ht="12.75" customHeight="1" x14ac:dyDescent="0.25">
      <c r="B37" s="388" t="s">
        <v>854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66" t="s">
        <v>431</v>
      </c>
      <c r="K40" s="384" t="s">
        <v>430</v>
      </c>
      <c r="L40" s="384"/>
      <c r="M40" s="384"/>
      <c r="N40" s="384"/>
    </row>
    <row r="41" spans="2:14" ht="6" customHeight="1" x14ac:dyDescent="0.25"/>
    <row r="42" spans="2:14" ht="48.75" customHeight="1" x14ac:dyDescent="0.25">
      <c r="B42" s="267"/>
      <c r="C42" s="385" t="s">
        <v>429</v>
      </c>
      <c r="D42" s="385"/>
      <c r="E42" s="385"/>
      <c r="F42" s="385"/>
      <c r="G42" s="385"/>
      <c r="H42" s="385"/>
      <c r="I42" s="385"/>
      <c r="J42" s="385"/>
      <c r="K42" s="385"/>
      <c r="L42" s="385"/>
      <c r="M42" s="385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386" t="s">
        <v>853</v>
      </c>
      <c r="C47" s="386"/>
      <c r="J47" s="266" t="s">
        <v>427</v>
      </c>
      <c r="K47" s="384" t="s">
        <v>425</v>
      </c>
      <c r="L47" s="384"/>
      <c r="M47" s="384"/>
      <c r="N47" s="384"/>
    </row>
    <row r="48" spans="2:14" ht="11.25" customHeight="1" x14ac:dyDescent="0.25"/>
    <row r="49" spans="2:14" ht="24.75" customHeight="1" x14ac:dyDescent="0.25">
      <c r="J49" s="266" t="s">
        <v>426</v>
      </c>
      <c r="K49" s="384" t="s">
        <v>425</v>
      </c>
      <c r="L49" s="384"/>
      <c r="M49" s="384"/>
      <c r="N49" s="384"/>
    </row>
    <row r="50" spans="2:14" ht="12.75" customHeight="1" x14ac:dyDescent="0.25"/>
    <row r="51" spans="2:14" ht="12.75" customHeight="1" x14ac:dyDescent="0.25">
      <c r="B51" s="509" t="s">
        <v>424</v>
      </c>
      <c r="C51" s="509"/>
    </row>
    <row r="52" spans="2:14" ht="22.15" customHeight="1" x14ac:dyDescent="0.25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</row>
    <row r="53" spans="2:14" ht="11.25" customHeight="1" x14ac:dyDescent="0.25"/>
  </sheetData>
  <mergeCells count="29">
    <mergeCell ref="D28:I28"/>
    <mergeCell ref="B22:H22"/>
    <mergeCell ref="J22:L22"/>
    <mergeCell ref="D21:H21"/>
    <mergeCell ref="B1:J1"/>
    <mergeCell ref="B7:N7"/>
    <mergeCell ref="B11:N11"/>
    <mergeCell ref="B12:N12"/>
    <mergeCell ref="D19:H19"/>
    <mergeCell ref="D20:H20"/>
    <mergeCell ref="B24:N24"/>
    <mergeCell ref="M1:N3"/>
    <mergeCell ref="B2:J2"/>
    <mergeCell ref="C4:N4"/>
    <mergeCell ref="B6:G6"/>
    <mergeCell ref="H6:N6"/>
    <mergeCell ref="D30:I30"/>
    <mergeCell ref="B31:I31"/>
    <mergeCell ref="D29:I29"/>
    <mergeCell ref="B51:C51"/>
    <mergeCell ref="B52:N52"/>
    <mergeCell ref="K31:L31"/>
    <mergeCell ref="B33:N33"/>
    <mergeCell ref="B37:N37"/>
    <mergeCell ref="K40:N40"/>
    <mergeCell ref="C42:M42"/>
    <mergeCell ref="B47:C47"/>
    <mergeCell ref="K47:N47"/>
    <mergeCell ref="K49:N49"/>
  </mergeCells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368F-F54C-4C04-A5B3-8729559834D2}">
  <sheetPr codeName="Лист25">
    <pageSetUpPr fitToPage="1"/>
  </sheetPr>
  <dimension ref="B1:N53"/>
  <sheetViews>
    <sheetView topLeftCell="A10" workbookViewId="0">
      <selection activeCell="T34" sqref="T34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85546875" style="237" customWidth="1"/>
    <col min="4" max="6" width="2" style="237" customWidth="1"/>
    <col min="7" max="7" width="14.85546875" style="237" customWidth="1"/>
    <col min="8" max="8" width="12.5703125" style="237" customWidth="1"/>
    <col min="9" max="9" width="14.425781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5.85546875" style="237" customWidth="1"/>
    <col min="260" max="262" width="2" style="237" customWidth="1"/>
    <col min="263" max="263" width="14.85546875" style="237" customWidth="1"/>
    <col min="264" max="264" width="10.28515625" style="237" cust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5.85546875" style="237" customWidth="1"/>
    <col min="516" max="518" width="2" style="237" customWidth="1"/>
    <col min="519" max="519" width="14.85546875" style="237" customWidth="1"/>
    <col min="520" max="520" width="10.28515625" style="237" customWidth="1"/>
    <col min="521" max="521" width="14.42578125" style="237" customWidth="1"/>
    <col min="522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5.85546875" style="237" customWidth="1"/>
    <col min="772" max="774" width="2" style="237" customWidth="1"/>
    <col min="775" max="775" width="14.85546875" style="237" customWidth="1"/>
    <col min="776" max="776" width="10.28515625" style="237" customWidth="1"/>
    <col min="777" max="777" width="14.42578125" style="237" customWidth="1"/>
    <col min="778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5.85546875" style="237" customWidth="1"/>
    <col min="1028" max="1030" width="2" style="237" customWidth="1"/>
    <col min="1031" max="1031" width="14.85546875" style="237" customWidth="1"/>
    <col min="1032" max="1032" width="10.28515625" style="237" customWidth="1"/>
    <col min="1033" max="1033" width="14.42578125" style="237" customWidth="1"/>
    <col min="1034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5.85546875" style="237" customWidth="1"/>
    <col min="1284" max="1286" width="2" style="237" customWidth="1"/>
    <col min="1287" max="1287" width="14.85546875" style="237" customWidth="1"/>
    <col min="1288" max="1288" width="10.28515625" style="237" customWidth="1"/>
    <col min="1289" max="1289" width="14.42578125" style="237" customWidth="1"/>
    <col min="1290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5.85546875" style="237" customWidth="1"/>
    <col min="1540" max="1542" width="2" style="237" customWidth="1"/>
    <col min="1543" max="1543" width="14.85546875" style="237" customWidth="1"/>
    <col min="1544" max="1544" width="10.28515625" style="237" customWidth="1"/>
    <col min="1545" max="1545" width="14.42578125" style="237" customWidth="1"/>
    <col min="1546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5.85546875" style="237" customWidth="1"/>
    <col min="1796" max="1798" width="2" style="237" customWidth="1"/>
    <col min="1799" max="1799" width="14.85546875" style="237" customWidth="1"/>
    <col min="1800" max="1800" width="10.28515625" style="237" customWidth="1"/>
    <col min="1801" max="1801" width="14.42578125" style="237" customWidth="1"/>
    <col min="1802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5.85546875" style="237" customWidth="1"/>
    <col min="2052" max="2054" width="2" style="237" customWidth="1"/>
    <col min="2055" max="2055" width="14.85546875" style="237" customWidth="1"/>
    <col min="2056" max="2056" width="10.28515625" style="237" customWidth="1"/>
    <col min="2057" max="2057" width="14.42578125" style="237" customWidth="1"/>
    <col min="2058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5.85546875" style="237" customWidth="1"/>
    <col min="2308" max="2310" width="2" style="237" customWidth="1"/>
    <col min="2311" max="2311" width="14.85546875" style="237" customWidth="1"/>
    <col min="2312" max="2312" width="10.28515625" style="237" customWidth="1"/>
    <col min="2313" max="2313" width="14.42578125" style="237" customWidth="1"/>
    <col min="2314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5.85546875" style="237" customWidth="1"/>
    <col min="2564" max="2566" width="2" style="237" customWidth="1"/>
    <col min="2567" max="2567" width="14.85546875" style="237" customWidth="1"/>
    <col min="2568" max="2568" width="10.28515625" style="237" customWidth="1"/>
    <col min="2569" max="2569" width="14.42578125" style="237" customWidth="1"/>
    <col min="2570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5.85546875" style="237" customWidth="1"/>
    <col min="2820" max="2822" width="2" style="237" customWidth="1"/>
    <col min="2823" max="2823" width="14.85546875" style="237" customWidth="1"/>
    <col min="2824" max="2824" width="10.28515625" style="237" customWidth="1"/>
    <col min="2825" max="2825" width="14.42578125" style="237" customWidth="1"/>
    <col min="2826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5.85546875" style="237" customWidth="1"/>
    <col min="3076" max="3078" width="2" style="237" customWidth="1"/>
    <col min="3079" max="3079" width="14.85546875" style="237" customWidth="1"/>
    <col min="3080" max="3080" width="10.28515625" style="237" customWidth="1"/>
    <col min="3081" max="3081" width="14.42578125" style="237" customWidth="1"/>
    <col min="3082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5.85546875" style="237" customWidth="1"/>
    <col min="3332" max="3334" width="2" style="237" customWidth="1"/>
    <col min="3335" max="3335" width="14.85546875" style="237" customWidth="1"/>
    <col min="3336" max="3336" width="10.28515625" style="237" customWidth="1"/>
    <col min="3337" max="3337" width="14.42578125" style="237" customWidth="1"/>
    <col min="3338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5.85546875" style="237" customWidth="1"/>
    <col min="3588" max="3590" width="2" style="237" customWidth="1"/>
    <col min="3591" max="3591" width="14.85546875" style="237" customWidth="1"/>
    <col min="3592" max="3592" width="10.28515625" style="237" customWidth="1"/>
    <col min="3593" max="3593" width="14.42578125" style="237" customWidth="1"/>
    <col min="3594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5.85546875" style="237" customWidth="1"/>
    <col min="3844" max="3846" width="2" style="237" customWidth="1"/>
    <col min="3847" max="3847" width="14.85546875" style="237" customWidth="1"/>
    <col min="3848" max="3848" width="10.28515625" style="237" customWidth="1"/>
    <col min="3849" max="3849" width="14.42578125" style="237" customWidth="1"/>
    <col min="3850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5.85546875" style="237" customWidth="1"/>
    <col min="4100" max="4102" width="2" style="237" customWidth="1"/>
    <col min="4103" max="4103" width="14.85546875" style="237" customWidth="1"/>
    <col min="4104" max="4104" width="10.28515625" style="237" customWidth="1"/>
    <col min="4105" max="4105" width="14.42578125" style="237" customWidth="1"/>
    <col min="4106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5.85546875" style="237" customWidth="1"/>
    <col min="4356" max="4358" width="2" style="237" customWidth="1"/>
    <col min="4359" max="4359" width="14.85546875" style="237" customWidth="1"/>
    <col min="4360" max="4360" width="10.28515625" style="237" customWidth="1"/>
    <col min="4361" max="4361" width="14.42578125" style="237" customWidth="1"/>
    <col min="4362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5.85546875" style="237" customWidth="1"/>
    <col min="4612" max="4614" width="2" style="237" customWidth="1"/>
    <col min="4615" max="4615" width="14.85546875" style="237" customWidth="1"/>
    <col min="4616" max="4616" width="10.28515625" style="237" customWidth="1"/>
    <col min="4617" max="4617" width="14.42578125" style="237" customWidth="1"/>
    <col min="4618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5.85546875" style="237" customWidth="1"/>
    <col min="4868" max="4870" width="2" style="237" customWidth="1"/>
    <col min="4871" max="4871" width="14.85546875" style="237" customWidth="1"/>
    <col min="4872" max="4872" width="10.28515625" style="237" customWidth="1"/>
    <col min="4873" max="4873" width="14.42578125" style="237" customWidth="1"/>
    <col min="4874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5.85546875" style="237" customWidth="1"/>
    <col min="5124" max="5126" width="2" style="237" customWidth="1"/>
    <col min="5127" max="5127" width="14.85546875" style="237" customWidth="1"/>
    <col min="5128" max="5128" width="10.28515625" style="237" customWidth="1"/>
    <col min="5129" max="5129" width="14.42578125" style="237" customWidth="1"/>
    <col min="5130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5.85546875" style="237" customWidth="1"/>
    <col min="5380" max="5382" width="2" style="237" customWidth="1"/>
    <col min="5383" max="5383" width="14.85546875" style="237" customWidth="1"/>
    <col min="5384" max="5384" width="10.28515625" style="237" customWidth="1"/>
    <col min="5385" max="5385" width="14.42578125" style="237" customWidth="1"/>
    <col min="5386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5.85546875" style="237" customWidth="1"/>
    <col min="5636" max="5638" width="2" style="237" customWidth="1"/>
    <col min="5639" max="5639" width="14.85546875" style="237" customWidth="1"/>
    <col min="5640" max="5640" width="10.28515625" style="237" customWidth="1"/>
    <col min="5641" max="5641" width="14.42578125" style="237" customWidth="1"/>
    <col min="5642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5.85546875" style="237" customWidth="1"/>
    <col min="5892" max="5894" width="2" style="237" customWidth="1"/>
    <col min="5895" max="5895" width="14.85546875" style="237" customWidth="1"/>
    <col min="5896" max="5896" width="10.28515625" style="237" customWidth="1"/>
    <col min="5897" max="5897" width="14.42578125" style="237" customWidth="1"/>
    <col min="5898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5.85546875" style="237" customWidth="1"/>
    <col min="6148" max="6150" width="2" style="237" customWidth="1"/>
    <col min="6151" max="6151" width="14.85546875" style="237" customWidth="1"/>
    <col min="6152" max="6152" width="10.28515625" style="237" customWidth="1"/>
    <col min="6153" max="6153" width="14.42578125" style="237" customWidth="1"/>
    <col min="6154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5.85546875" style="237" customWidth="1"/>
    <col min="6404" max="6406" width="2" style="237" customWidth="1"/>
    <col min="6407" max="6407" width="14.85546875" style="237" customWidth="1"/>
    <col min="6408" max="6408" width="10.28515625" style="237" customWidth="1"/>
    <col min="6409" max="6409" width="14.42578125" style="237" customWidth="1"/>
    <col min="6410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5.85546875" style="237" customWidth="1"/>
    <col min="6660" max="6662" width="2" style="237" customWidth="1"/>
    <col min="6663" max="6663" width="14.85546875" style="237" customWidth="1"/>
    <col min="6664" max="6664" width="10.28515625" style="237" customWidth="1"/>
    <col min="6665" max="6665" width="14.42578125" style="237" customWidth="1"/>
    <col min="6666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5.85546875" style="237" customWidth="1"/>
    <col min="6916" max="6918" width="2" style="237" customWidth="1"/>
    <col min="6919" max="6919" width="14.85546875" style="237" customWidth="1"/>
    <col min="6920" max="6920" width="10.28515625" style="237" customWidth="1"/>
    <col min="6921" max="6921" width="14.42578125" style="237" customWidth="1"/>
    <col min="6922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5.85546875" style="237" customWidth="1"/>
    <col min="7172" max="7174" width="2" style="237" customWidth="1"/>
    <col min="7175" max="7175" width="14.85546875" style="237" customWidth="1"/>
    <col min="7176" max="7176" width="10.28515625" style="237" customWidth="1"/>
    <col min="7177" max="7177" width="14.42578125" style="237" customWidth="1"/>
    <col min="7178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5.85546875" style="237" customWidth="1"/>
    <col min="7428" max="7430" width="2" style="237" customWidth="1"/>
    <col min="7431" max="7431" width="14.85546875" style="237" customWidth="1"/>
    <col min="7432" max="7432" width="10.28515625" style="237" customWidth="1"/>
    <col min="7433" max="7433" width="14.42578125" style="237" customWidth="1"/>
    <col min="7434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5.85546875" style="237" customWidth="1"/>
    <col min="7684" max="7686" width="2" style="237" customWidth="1"/>
    <col min="7687" max="7687" width="14.85546875" style="237" customWidth="1"/>
    <col min="7688" max="7688" width="10.28515625" style="237" customWidth="1"/>
    <col min="7689" max="7689" width="14.42578125" style="237" customWidth="1"/>
    <col min="7690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5.85546875" style="237" customWidth="1"/>
    <col min="7940" max="7942" width="2" style="237" customWidth="1"/>
    <col min="7943" max="7943" width="14.85546875" style="237" customWidth="1"/>
    <col min="7944" max="7944" width="10.28515625" style="237" customWidth="1"/>
    <col min="7945" max="7945" width="14.42578125" style="237" customWidth="1"/>
    <col min="7946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5.85546875" style="237" customWidth="1"/>
    <col min="8196" max="8198" width="2" style="237" customWidth="1"/>
    <col min="8199" max="8199" width="14.85546875" style="237" customWidth="1"/>
    <col min="8200" max="8200" width="10.28515625" style="237" customWidth="1"/>
    <col min="8201" max="8201" width="14.42578125" style="237" customWidth="1"/>
    <col min="8202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5.85546875" style="237" customWidth="1"/>
    <col min="8452" max="8454" width="2" style="237" customWidth="1"/>
    <col min="8455" max="8455" width="14.85546875" style="237" customWidth="1"/>
    <col min="8456" max="8456" width="10.28515625" style="237" customWidth="1"/>
    <col min="8457" max="8457" width="14.42578125" style="237" customWidth="1"/>
    <col min="8458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5.85546875" style="237" customWidth="1"/>
    <col min="8708" max="8710" width="2" style="237" customWidth="1"/>
    <col min="8711" max="8711" width="14.85546875" style="237" customWidth="1"/>
    <col min="8712" max="8712" width="10.28515625" style="237" customWidth="1"/>
    <col min="8713" max="8713" width="14.42578125" style="237" customWidth="1"/>
    <col min="8714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5.85546875" style="237" customWidth="1"/>
    <col min="8964" max="8966" width="2" style="237" customWidth="1"/>
    <col min="8967" max="8967" width="14.85546875" style="237" customWidth="1"/>
    <col min="8968" max="8968" width="10.28515625" style="237" customWidth="1"/>
    <col min="8969" max="8969" width="14.42578125" style="237" customWidth="1"/>
    <col min="8970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5.85546875" style="237" customWidth="1"/>
    <col min="9220" max="9222" width="2" style="237" customWidth="1"/>
    <col min="9223" max="9223" width="14.85546875" style="237" customWidth="1"/>
    <col min="9224" max="9224" width="10.28515625" style="237" customWidth="1"/>
    <col min="9225" max="9225" width="14.42578125" style="237" customWidth="1"/>
    <col min="9226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5.85546875" style="237" customWidth="1"/>
    <col min="9476" max="9478" width="2" style="237" customWidth="1"/>
    <col min="9479" max="9479" width="14.85546875" style="237" customWidth="1"/>
    <col min="9480" max="9480" width="10.28515625" style="237" customWidth="1"/>
    <col min="9481" max="9481" width="14.42578125" style="237" customWidth="1"/>
    <col min="9482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5.85546875" style="237" customWidth="1"/>
    <col min="9732" max="9734" width="2" style="237" customWidth="1"/>
    <col min="9735" max="9735" width="14.85546875" style="237" customWidth="1"/>
    <col min="9736" max="9736" width="10.28515625" style="237" customWidth="1"/>
    <col min="9737" max="9737" width="14.42578125" style="237" customWidth="1"/>
    <col min="9738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5.85546875" style="237" customWidth="1"/>
    <col min="9988" max="9990" width="2" style="237" customWidth="1"/>
    <col min="9991" max="9991" width="14.85546875" style="237" customWidth="1"/>
    <col min="9992" max="9992" width="10.28515625" style="237" customWidth="1"/>
    <col min="9993" max="9993" width="14.42578125" style="237" customWidth="1"/>
    <col min="9994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5.85546875" style="237" customWidth="1"/>
    <col min="10244" max="10246" width="2" style="237" customWidth="1"/>
    <col min="10247" max="10247" width="14.85546875" style="237" customWidth="1"/>
    <col min="10248" max="10248" width="10.28515625" style="237" customWidth="1"/>
    <col min="10249" max="10249" width="14.42578125" style="237" customWidth="1"/>
    <col min="10250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5.85546875" style="237" customWidth="1"/>
    <col min="10500" max="10502" width="2" style="237" customWidth="1"/>
    <col min="10503" max="10503" width="14.85546875" style="237" customWidth="1"/>
    <col min="10504" max="10504" width="10.28515625" style="237" customWidth="1"/>
    <col min="10505" max="10505" width="14.42578125" style="237" customWidth="1"/>
    <col min="10506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5.85546875" style="237" customWidth="1"/>
    <col min="10756" max="10758" width="2" style="237" customWidth="1"/>
    <col min="10759" max="10759" width="14.85546875" style="237" customWidth="1"/>
    <col min="10760" max="10760" width="10.28515625" style="237" customWidth="1"/>
    <col min="10761" max="10761" width="14.42578125" style="237" customWidth="1"/>
    <col min="10762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5.85546875" style="237" customWidth="1"/>
    <col min="11012" max="11014" width="2" style="237" customWidth="1"/>
    <col min="11015" max="11015" width="14.85546875" style="237" customWidth="1"/>
    <col min="11016" max="11016" width="10.28515625" style="237" customWidth="1"/>
    <col min="11017" max="11017" width="14.42578125" style="237" customWidth="1"/>
    <col min="11018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5.85546875" style="237" customWidth="1"/>
    <col min="11268" max="11270" width="2" style="237" customWidth="1"/>
    <col min="11271" max="11271" width="14.85546875" style="237" customWidth="1"/>
    <col min="11272" max="11272" width="10.28515625" style="237" customWidth="1"/>
    <col min="11273" max="11273" width="14.42578125" style="237" customWidth="1"/>
    <col min="11274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5.85546875" style="237" customWidth="1"/>
    <col min="11524" max="11526" width="2" style="237" customWidth="1"/>
    <col min="11527" max="11527" width="14.85546875" style="237" customWidth="1"/>
    <col min="11528" max="11528" width="10.28515625" style="237" customWidth="1"/>
    <col min="11529" max="11529" width="14.42578125" style="237" customWidth="1"/>
    <col min="11530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5.85546875" style="237" customWidth="1"/>
    <col min="11780" max="11782" width="2" style="237" customWidth="1"/>
    <col min="11783" max="11783" width="14.85546875" style="237" customWidth="1"/>
    <col min="11784" max="11784" width="10.28515625" style="237" customWidth="1"/>
    <col min="11785" max="11785" width="14.42578125" style="237" customWidth="1"/>
    <col min="11786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5.85546875" style="237" customWidth="1"/>
    <col min="12036" max="12038" width="2" style="237" customWidth="1"/>
    <col min="12039" max="12039" width="14.85546875" style="237" customWidth="1"/>
    <col min="12040" max="12040" width="10.28515625" style="237" customWidth="1"/>
    <col min="12041" max="12041" width="14.42578125" style="237" customWidth="1"/>
    <col min="12042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5.85546875" style="237" customWidth="1"/>
    <col min="12292" max="12294" width="2" style="237" customWidth="1"/>
    <col min="12295" max="12295" width="14.85546875" style="237" customWidth="1"/>
    <col min="12296" max="12296" width="10.28515625" style="237" customWidth="1"/>
    <col min="12297" max="12297" width="14.42578125" style="237" customWidth="1"/>
    <col min="12298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5.85546875" style="237" customWidth="1"/>
    <col min="12548" max="12550" width="2" style="237" customWidth="1"/>
    <col min="12551" max="12551" width="14.85546875" style="237" customWidth="1"/>
    <col min="12552" max="12552" width="10.28515625" style="237" customWidth="1"/>
    <col min="12553" max="12553" width="14.42578125" style="237" customWidth="1"/>
    <col min="12554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5.85546875" style="237" customWidth="1"/>
    <col min="12804" max="12806" width="2" style="237" customWidth="1"/>
    <col min="12807" max="12807" width="14.85546875" style="237" customWidth="1"/>
    <col min="12808" max="12808" width="10.28515625" style="237" customWidth="1"/>
    <col min="12809" max="12809" width="14.42578125" style="237" customWidth="1"/>
    <col min="12810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5.85546875" style="237" customWidth="1"/>
    <col min="13060" max="13062" width="2" style="237" customWidth="1"/>
    <col min="13063" max="13063" width="14.85546875" style="237" customWidth="1"/>
    <col min="13064" max="13064" width="10.28515625" style="237" customWidth="1"/>
    <col min="13065" max="13065" width="14.42578125" style="237" customWidth="1"/>
    <col min="13066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5.85546875" style="237" customWidth="1"/>
    <col min="13316" max="13318" width="2" style="237" customWidth="1"/>
    <col min="13319" max="13319" width="14.85546875" style="237" customWidth="1"/>
    <col min="13320" max="13320" width="10.28515625" style="237" customWidth="1"/>
    <col min="13321" max="13321" width="14.42578125" style="237" customWidth="1"/>
    <col min="13322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5.85546875" style="237" customWidth="1"/>
    <col min="13572" max="13574" width="2" style="237" customWidth="1"/>
    <col min="13575" max="13575" width="14.85546875" style="237" customWidth="1"/>
    <col min="13576" max="13576" width="10.28515625" style="237" customWidth="1"/>
    <col min="13577" max="13577" width="14.42578125" style="237" customWidth="1"/>
    <col min="13578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5.85546875" style="237" customWidth="1"/>
    <col min="13828" max="13830" width="2" style="237" customWidth="1"/>
    <col min="13831" max="13831" width="14.85546875" style="237" customWidth="1"/>
    <col min="13832" max="13832" width="10.28515625" style="237" customWidth="1"/>
    <col min="13833" max="13833" width="14.42578125" style="237" customWidth="1"/>
    <col min="13834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5.85546875" style="237" customWidth="1"/>
    <col min="14084" max="14086" width="2" style="237" customWidth="1"/>
    <col min="14087" max="14087" width="14.85546875" style="237" customWidth="1"/>
    <col min="14088" max="14088" width="10.28515625" style="237" customWidth="1"/>
    <col min="14089" max="14089" width="14.42578125" style="237" customWidth="1"/>
    <col min="14090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5.85546875" style="237" customWidth="1"/>
    <col min="14340" max="14342" width="2" style="237" customWidth="1"/>
    <col min="14343" max="14343" width="14.85546875" style="237" customWidth="1"/>
    <col min="14344" max="14344" width="10.28515625" style="237" customWidth="1"/>
    <col min="14345" max="14345" width="14.42578125" style="237" customWidth="1"/>
    <col min="14346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5.85546875" style="237" customWidth="1"/>
    <col min="14596" max="14598" width="2" style="237" customWidth="1"/>
    <col min="14599" max="14599" width="14.85546875" style="237" customWidth="1"/>
    <col min="14600" max="14600" width="10.28515625" style="237" customWidth="1"/>
    <col min="14601" max="14601" width="14.42578125" style="237" customWidth="1"/>
    <col min="14602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5.85546875" style="237" customWidth="1"/>
    <col min="14852" max="14854" width="2" style="237" customWidth="1"/>
    <col min="14855" max="14855" width="14.85546875" style="237" customWidth="1"/>
    <col min="14856" max="14856" width="10.28515625" style="237" customWidth="1"/>
    <col min="14857" max="14857" width="14.42578125" style="237" customWidth="1"/>
    <col min="14858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5.85546875" style="237" customWidth="1"/>
    <col min="15108" max="15110" width="2" style="237" customWidth="1"/>
    <col min="15111" max="15111" width="14.85546875" style="237" customWidth="1"/>
    <col min="15112" max="15112" width="10.28515625" style="237" customWidth="1"/>
    <col min="15113" max="15113" width="14.42578125" style="237" customWidth="1"/>
    <col min="15114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5.85546875" style="237" customWidth="1"/>
    <col min="15364" max="15366" width="2" style="237" customWidth="1"/>
    <col min="15367" max="15367" width="14.85546875" style="237" customWidth="1"/>
    <col min="15368" max="15368" width="10.28515625" style="237" customWidth="1"/>
    <col min="15369" max="15369" width="14.42578125" style="237" customWidth="1"/>
    <col min="15370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5.85546875" style="237" customWidth="1"/>
    <col min="15620" max="15622" width="2" style="237" customWidth="1"/>
    <col min="15623" max="15623" width="14.85546875" style="237" customWidth="1"/>
    <col min="15624" max="15624" width="10.28515625" style="237" customWidth="1"/>
    <col min="15625" max="15625" width="14.42578125" style="237" customWidth="1"/>
    <col min="15626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5.85546875" style="237" customWidth="1"/>
    <col min="15876" max="15878" width="2" style="237" customWidth="1"/>
    <col min="15879" max="15879" width="14.85546875" style="237" customWidth="1"/>
    <col min="15880" max="15880" width="10.28515625" style="237" customWidth="1"/>
    <col min="15881" max="15881" width="14.42578125" style="237" customWidth="1"/>
    <col min="15882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5.85546875" style="237" customWidth="1"/>
    <col min="16132" max="16134" width="2" style="237" customWidth="1"/>
    <col min="16135" max="16135" width="14.85546875" style="237" customWidth="1"/>
    <col min="16136" max="16136" width="10.28515625" style="237" customWidth="1"/>
    <col min="16137" max="16137" width="14.42578125" style="237" customWidth="1"/>
    <col min="16138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867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866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865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27.75" customHeight="1" x14ac:dyDescent="0.25">
      <c r="B21" s="281" t="s">
        <v>449</v>
      </c>
      <c r="C21" s="292"/>
      <c r="D21" s="389" t="s">
        <v>857</v>
      </c>
      <c r="E21" s="390"/>
      <c r="F21" s="390"/>
      <c r="G21" s="390"/>
      <c r="H21" s="391"/>
      <c r="I21" s="337">
        <v>4</v>
      </c>
      <c r="J21" s="336">
        <v>450</v>
      </c>
      <c r="K21" s="335">
        <v>1</v>
      </c>
      <c r="L21" s="334" t="s">
        <v>11</v>
      </c>
      <c r="M21" s="333">
        <f>J21*I21</f>
        <v>1800</v>
      </c>
      <c r="N21" s="272">
        <f>M21*20/120</f>
        <v>300</v>
      </c>
    </row>
    <row r="22" spans="2:14" ht="12.75" customHeight="1" x14ac:dyDescent="0.25">
      <c r="B22" s="396" t="s">
        <v>464</v>
      </c>
      <c r="C22" s="396"/>
      <c r="D22" s="396"/>
      <c r="E22" s="396"/>
      <c r="F22" s="396"/>
      <c r="G22" s="396"/>
      <c r="H22" s="396"/>
      <c r="I22" s="299">
        <v>4</v>
      </c>
      <c r="J22" s="393" t="s">
        <v>435</v>
      </c>
      <c r="K22" s="393"/>
      <c r="L22" s="393"/>
      <c r="M22" s="273">
        <f>M21</f>
        <v>1800</v>
      </c>
      <c r="N22" s="276">
        <f>M22*20/120</f>
        <v>300</v>
      </c>
    </row>
    <row r="23" spans="2:14" ht="5.25" customHeight="1" x14ac:dyDescent="0.25"/>
    <row r="24" spans="2:14" ht="12.75" customHeight="1" x14ac:dyDescent="0.25">
      <c r="B24" s="392" t="s">
        <v>864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11.25" customHeight="1" x14ac:dyDescent="0.25"/>
    <row r="26" spans="2:14" ht="15" customHeight="1" x14ac:dyDescent="0.25">
      <c r="C26" s="287" t="s">
        <v>863</v>
      </c>
    </row>
    <row r="27" spans="2:14" ht="11.25" customHeight="1" thickBot="1" x14ac:dyDescent="0.3">
      <c r="B27" s="286"/>
      <c r="C27" s="285"/>
      <c r="D27" s="285"/>
      <c r="H27" s="285"/>
      <c r="I27" s="285"/>
      <c r="M27" s="284"/>
      <c r="N27" s="284"/>
    </row>
    <row r="28" spans="2:14" ht="12.75" customHeight="1" thickBot="1" x14ac:dyDescent="0.3">
      <c r="B28" s="282" t="s">
        <v>461</v>
      </c>
      <c r="C28" s="283" t="s">
        <v>460</v>
      </c>
      <c r="D28" s="511" t="s">
        <v>459</v>
      </c>
      <c r="E28" s="511"/>
      <c r="F28" s="511"/>
      <c r="G28" s="511"/>
      <c r="H28" s="511"/>
      <c r="I28" s="511"/>
      <c r="J28" s="282" t="s">
        <v>458</v>
      </c>
      <c r="K28" s="282" t="s">
        <v>457</v>
      </c>
      <c r="L28" s="282" t="s">
        <v>456</v>
      </c>
      <c r="M28" s="282" t="s">
        <v>455</v>
      </c>
      <c r="N28" s="282" t="s">
        <v>454</v>
      </c>
    </row>
    <row r="29" spans="2:14" ht="12.75" customHeight="1" thickBot="1" x14ac:dyDescent="0.3">
      <c r="B29" s="282" t="s">
        <v>449</v>
      </c>
      <c r="C29" s="283" t="s">
        <v>446</v>
      </c>
      <c r="D29" s="511" t="s">
        <v>443</v>
      </c>
      <c r="E29" s="511"/>
      <c r="F29" s="511"/>
      <c r="G29" s="511"/>
      <c r="H29" s="511"/>
      <c r="I29" s="511"/>
      <c r="J29" s="282" t="s">
        <v>440</v>
      </c>
      <c r="K29" s="282" t="s">
        <v>453</v>
      </c>
      <c r="L29" s="282" t="s">
        <v>452</v>
      </c>
      <c r="M29" s="282" t="s">
        <v>451</v>
      </c>
      <c r="N29" s="282" t="s">
        <v>450</v>
      </c>
    </row>
    <row r="30" spans="2:14" s="275" customFormat="1" ht="13.5" customHeight="1" x14ac:dyDescent="0.25">
      <c r="B30" s="281" t="s">
        <v>449</v>
      </c>
      <c r="C30" s="280"/>
      <c r="D30" s="512"/>
      <c r="E30" s="512"/>
      <c r="F30" s="512"/>
      <c r="G30" s="512"/>
      <c r="H30" s="512"/>
      <c r="I30" s="512"/>
      <c r="J30" s="291">
        <v>0</v>
      </c>
      <c r="K30" s="279" t="s">
        <v>437</v>
      </c>
      <c r="L30" s="278">
        <v>0</v>
      </c>
      <c r="M30" s="277">
        <f>L30*J30</f>
        <v>0</v>
      </c>
      <c r="N30" s="276">
        <f>M30*20/120</f>
        <v>0</v>
      </c>
    </row>
    <row r="31" spans="2:14" ht="12.75" customHeight="1" x14ac:dyDescent="0.25">
      <c r="B31" s="396" t="s">
        <v>436</v>
      </c>
      <c r="C31" s="396"/>
      <c r="D31" s="396"/>
      <c r="E31" s="396"/>
      <c r="F31" s="396"/>
      <c r="G31" s="396"/>
      <c r="H31" s="396"/>
      <c r="I31" s="396"/>
      <c r="J31" s="299">
        <v>0</v>
      </c>
      <c r="K31" s="393" t="s">
        <v>435</v>
      </c>
      <c r="L31" s="393"/>
      <c r="M31" s="273">
        <v>0</v>
      </c>
      <c r="N31" s="276">
        <f>M31*20/120</f>
        <v>0</v>
      </c>
    </row>
    <row r="32" spans="2:14" ht="5.25" customHeight="1" x14ac:dyDescent="0.25"/>
    <row r="33" spans="2:14" ht="12.75" customHeight="1" x14ac:dyDescent="0.25"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</row>
    <row r="34" spans="2:14" ht="11.25" customHeight="1" thickBot="1" x14ac:dyDescent="0.3"/>
    <row r="35" spans="2:14" ht="12.75" customHeight="1" thickTop="1" thickBot="1" x14ac:dyDescent="0.3">
      <c r="B35" s="271"/>
      <c r="C35" s="271"/>
      <c r="D35" s="271"/>
      <c r="E35" s="271"/>
      <c r="F35" s="271"/>
      <c r="G35" s="271"/>
      <c r="H35" s="271"/>
      <c r="I35" s="271"/>
      <c r="J35" s="271"/>
      <c r="K35" s="270"/>
      <c r="L35" s="270" t="s">
        <v>433</v>
      </c>
      <c r="M35" s="269">
        <f>M22+M31</f>
        <v>1800</v>
      </c>
      <c r="N35" s="268">
        <f>N22+N31</f>
        <v>300</v>
      </c>
    </row>
    <row r="36" spans="2:14" ht="5.25" customHeight="1" thickTop="1" x14ac:dyDescent="0.25"/>
    <row r="37" spans="2:14" ht="12.75" customHeight="1" x14ac:dyDescent="0.25">
      <c r="B37" s="388" t="s">
        <v>862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66" t="s">
        <v>431</v>
      </c>
      <c r="K40" s="384" t="s">
        <v>430</v>
      </c>
      <c r="L40" s="384"/>
      <c r="M40" s="384"/>
      <c r="N40" s="384"/>
    </row>
    <row r="41" spans="2:14" ht="6" customHeight="1" x14ac:dyDescent="0.25"/>
    <row r="42" spans="2:14" ht="48.75" customHeight="1" x14ac:dyDescent="0.25">
      <c r="B42" s="267"/>
      <c r="C42" s="385" t="s">
        <v>429</v>
      </c>
      <c r="D42" s="385"/>
      <c r="E42" s="385"/>
      <c r="F42" s="385"/>
      <c r="G42" s="385"/>
      <c r="H42" s="385"/>
      <c r="I42" s="385"/>
      <c r="J42" s="385"/>
      <c r="K42" s="385"/>
      <c r="L42" s="385"/>
      <c r="M42" s="385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386" t="s">
        <v>861</v>
      </c>
      <c r="C47" s="386"/>
      <c r="J47" s="266" t="s">
        <v>427</v>
      </c>
      <c r="K47" s="384" t="s">
        <v>425</v>
      </c>
      <c r="L47" s="384"/>
      <c r="M47" s="384"/>
      <c r="N47" s="384"/>
    </row>
    <row r="48" spans="2:14" ht="11.25" customHeight="1" x14ac:dyDescent="0.25"/>
    <row r="49" spans="2:14" ht="24.75" customHeight="1" x14ac:dyDescent="0.25">
      <c r="J49" s="266" t="s">
        <v>426</v>
      </c>
      <c r="K49" s="384" t="s">
        <v>425</v>
      </c>
      <c r="L49" s="384"/>
      <c r="M49" s="384"/>
      <c r="N49" s="384"/>
    </row>
    <row r="50" spans="2:14" ht="12.75" customHeight="1" x14ac:dyDescent="0.25"/>
    <row r="51" spans="2:14" ht="12.75" customHeight="1" x14ac:dyDescent="0.25">
      <c r="B51" s="509" t="s">
        <v>424</v>
      </c>
      <c r="C51" s="509"/>
    </row>
    <row r="52" spans="2:14" ht="22.15" customHeight="1" x14ac:dyDescent="0.25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</row>
    <row r="53" spans="2:14" ht="11.25" customHeight="1" x14ac:dyDescent="0.25"/>
  </sheetData>
  <mergeCells count="29">
    <mergeCell ref="B52:N52"/>
    <mergeCell ref="D21:H21"/>
    <mergeCell ref="B22:H22"/>
    <mergeCell ref="J22:L22"/>
    <mergeCell ref="B24:N24"/>
    <mergeCell ref="D28:I28"/>
    <mergeCell ref="K49:N49"/>
    <mergeCell ref="B51:C51"/>
    <mergeCell ref="D29:I29"/>
    <mergeCell ref="D30:I30"/>
    <mergeCell ref="B47:C47"/>
    <mergeCell ref="K47:N47"/>
    <mergeCell ref="B37:N37"/>
    <mergeCell ref="K40:N40"/>
    <mergeCell ref="C42:M42"/>
    <mergeCell ref="B7:N7"/>
    <mergeCell ref="B11:N11"/>
    <mergeCell ref="B31:I31"/>
    <mergeCell ref="K31:L31"/>
    <mergeCell ref="B33:N33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2109-3CF1-4974-AB3B-3CC46BC50FE1}">
  <sheetPr codeName="Лист26">
    <pageSetUpPr fitToPage="1"/>
  </sheetPr>
  <dimension ref="B1:N53"/>
  <sheetViews>
    <sheetView workbookViewId="0">
      <selection activeCell="R28" sqref="R28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85546875" style="237" customWidth="1"/>
    <col min="4" max="6" width="2" style="237" customWidth="1"/>
    <col min="7" max="7" width="14.85546875" style="237" customWidth="1"/>
    <col min="8" max="8" width="12.5703125" style="237" customWidth="1"/>
    <col min="9" max="9" width="14.425781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5.85546875" style="237" customWidth="1"/>
    <col min="260" max="262" width="2" style="237" customWidth="1"/>
    <col min="263" max="263" width="14.85546875" style="237" customWidth="1"/>
    <col min="264" max="264" width="10.28515625" style="237" cust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5.85546875" style="237" customWidth="1"/>
    <col min="516" max="518" width="2" style="237" customWidth="1"/>
    <col min="519" max="519" width="14.85546875" style="237" customWidth="1"/>
    <col min="520" max="520" width="10.28515625" style="237" customWidth="1"/>
    <col min="521" max="521" width="14.42578125" style="237" customWidth="1"/>
    <col min="522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5.85546875" style="237" customWidth="1"/>
    <col min="772" max="774" width="2" style="237" customWidth="1"/>
    <col min="775" max="775" width="14.85546875" style="237" customWidth="1"/>
    <col min="776" max="776" width="10.28515625" style="237" customWidth="1"/>
    <col min="777" max="777" width="14.42578125" style="237" customWidth="1"/>
    <col min="778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5.85546875" style="237" customWidth="1"/>
    <col min="1028" max="1030" width="2" style="237" customWidth="1"/>
    <col min="1031" max="1031" width="14.85546875" style="237" customWidth="1"/>
    <col min="1032" max="1032" width="10.28515625" style="237" customWidth="1"/>
    <col min="1033" max="1033" width="14.42578125" style="237" customWidth="1"/>
    <col min="1034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5.85546875" style="237" customWidth="1"/>
    <col min="1284" max="1286" width="2" style="237" customWidth="1"/>
    <col min="1287" max="1287" width="14.85546875" style="237" customWidth="1"/>
    <col min="1288" max="1288" width="10.28515625" style="237" customWidth="1"/>
    <col min="1289" max="1289" width="14.42578125" style="237" customWidth="1"/>
    <col min="1290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5.85546875" style="237" customWidth="1"/>
    <col min="1540" max="1542" width="2" style="237" customWidth="1"/>
    <col min="1543" max="1543" width="14.85546875" style="237" customWidth="1"/>
    <col min="1544" max="1544" width="10.28515625" style="237" customWidth="1"/>
    <col min="1545" max="1545" width="14.42578125" style="237" customWidth="1"/>
    <col min="1546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5.85546875" style="237" customWidth="1"/>
    <col min="1796" max="1798" width="2" style="237" customWidth="1"/>
    <col min="1799" max="1799" width="14.85546875" style="237" customWidth="1"/>
    <col min="1800" max="1800" width="10.28515625" style="237" customWidth="1"/>
    <col min="1801" max="1801" width="14.42578125" style="237" customWidth="1"/>
    <col min="1802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5.85546875" style="237" customWidth="1"/>
    <col min="2052" max="2054" width="2" style="237" customWidth="1"/>
    <col min="2055" max="2055" width="14.85546875" style="237" customWidth="1"/>
    <col min="2056" max="2056" width="10.28515625" style="237" customWidth="1"/>
    <col min="2057" max="2057" width="14.42578125" style="237" customWidth="1"/>
    <col min="2058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5.85546875" style="237" customWidth="1"/>
    <col min="2308" max="2310" width="2" style="237" customWidth="1"/>
    <col min="2311" max="2311" width="14.85546875" style="237" customWidth="1"/>
    <col min="2312" max="2312" width="10.28515625" style="237" customWidth="1"/>
    <col min="2313" max="2313" width="14.42578125" style="237" customWidth="1"/>
    <col min="2314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5.85546875" style="237" customWidth="1"/>
    <col min="2564" max="2566" width="2" style="237" customWidth="1"/>
    <col min="2567" max="2567" width="14.85546875" style="237" customWidth="1"/>
    <col min="2568" max="2568" width="10.28515625" style="237" customWidth="1"/>
    <col min="2569" max="2569" width="14.42578125" style="237" customWidth="1"/>
    <col min="2570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5.85546875" style="237" customWidth="1"/>
    <col min="2820" max="2822" width="2" style="237" customWidth="1"/>
    <col min="2823" max="2823" width="14.85546875" style="237" customWidth="1"/>
    <col min="2824" max="2824" width="10.28515625" style="237" customWidth="1"/>
    <col min="2825" max="2825" width="14.42578125" style="237" customWidth="1"/>
    <col min="2826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5.85546875" style="237" customWidth="1"/>
    <col min="3076" max="3078" width="2" style="237" customWidth="1"/>
    <col min="3079" max="3079" width="14.85546875" style="237" customWidth="1"/>
    <col min="3080" max="3080" width="10.28515625" style="237" customWidth="1"/>
    <col min="3081" max="3081" width="14.42578125" style="237" customWidth="1"/>
    <col min="3082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5.85546875" style="237" customWidth="1"/>
    <col min="3332" max="3334" width="2" style="237" customWidth="1"/>
    <col min="3335" max="3335" width="14.85546875" style="237" customWidth="1"/>
    <col min="3336" max="3336" width="10.28515625" style="237" customWidth="1"/>
    <col min="3337" max="3337" width="14.42578125" style="237" customWidth="1"/>
    <col min="3338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5.85546875" style="237" customWidth="1"/>
    <col min="3588" max="3590" width="2" style="237" customWidth="1"/>
    <col min="3591" max="3591" width="14.85546875" style="237" customWidth="1"/>
    <col min="3592" max="3592" width="10.28515625" style="237" customWidth="1"/>
    <col min="3593" max="3593" width="14.42578125" style="237" customWidth="1"/>
    <col min="3594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5.85546875" style="237" customWidth="1"/>
    <col min="3844" max="3846" width="2" style="237" customWidth="1"/>
    <col min="3847" max="3847" width="14.85546875" style="237" customWidth="1"/>
    <col min="3848" max="3848" width="10.28515625" style="237" customWidth="1"/>
    <col min="3849" max="3849" width="14.42578125" style="237" customWidth="1"/>
    <col min="3850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5.85546875" style="237" customWidth="1"/>
    <col min="4100" max="4102" width="2" style="237" customWidth="1"/>
    <col min="4103" max="4103" width="14.85546875" style="237" customWidth="1"/>
    <col min="4104" max="4104" width="10.28515625" style="237" customWidth="1"/>
    <col min="4105" max="4105" width="14.42578125" style="237" customWidth="1"/>
    <col min="4106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5.85546875" style="237" customWidth="1"/>
    <col min="4356" max="4358" width="2" style="237" customWidth="1"/>
    <col min="4359" max="4359" width="14.85546875" style="237" customWidth="1"/>
    <col min="4360" max="4360" width="10.28515625" style="237" customWidth="1"/>
    <col min="4361" max="4361" width="14.42578125" style="237" customWidth="1"/>
    <col min="4362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5.85546875" style="237" customWidth="1"/>
    <col min="4612" max="4614" width="2" style="237" customWidth="1"/>
    <col min="4615" max="4615" width="14.85546875" style="237" customWidth="1"/>
    <col min="4616" max="4616" width="10.28515625" style="237" customWidth="1"/>
    <col min="4617" max="4617" width="14.42578125" style="237" customWidth="1"/>
    <col min="4618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5.85546875" style="237" customWidth="1"/>
    <col min="4868" max="4870" width="2" style="237" customWidth="1"/>
    <col min="4871" max="4871" width="14.85546875" style="237" customWidth="1"/>
    <col min="4872" max="4872" width="10.28515625" style="237" customWidth="1"/>
    <col min="4873" max="4873" width="14.42578125" style="237" customWidth="1"/>
    <col min="4874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5.85546875" style="237" customWidth="1"/>
    <col min="5124" max="5126" width="2" style="237" customWidth="1"/>
    <col min="5127" max="5127" width="14.85546875" style="237" customWidth="1"/>
    <col min="5128" max="5128" width="10.28515625" style="237" customWidth="1"/>
    <col min="5129" max="5129" width="14.42578125" style="237" customWidth="1"/>
    <col min="5130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5.85546875" style="237" customWidth="1"/>
    <col min="5380" max="5382" width="2" style="237" customWidth="1"/>
    <col min="5383" max="5383" width="14.85546875" style="237" customWidth="1"/>
    <col min="5384" max="5384" width="10.28515625" style="237" customWidth="1"/>
    <col min="5385" max="5385" width="14.42578125" style="237" customWidth="1"/>
    <col min="5386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5.85546875" style="237" customWidth="1"/>
    <col min="5636" max="5638" width="2" style="237" customWidth="1"/>
    <col min="5639" max="5639" width="14.85546875" style="237" customWidth="1"/>
    <col min="5640" max="5640" width="10.28515625" style="237" customWidth="1"/>
    <col min="5641" max="5641" width="14.42578125" style="237" customWidth="1"/>
    <col min="5642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5.85546875" style="237" customWidth="1"/>
    <col min="5892" max="5894" width="2" style="237" customWidth="1"/>
    <col min="5895" max="5895" width="14.85546875" style="237" customWidth="1"/>
    <col min="5896" max="5896" width="10.28515625" style="237" customWidth="1"/>
    <col min="5897" max="5897" width="14.42578125" style="237" customWidth="1"/>
    <col min="5898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5.85546875" style="237" customWidth="1"/>
    <col min="6148" max="6150" width="2" style="237" customWidth="1"/>
    <col min="6151" max="6151" width="14.85546875" style="237" customWidth="1"/>
    <col min="6152" max="6152" width="10.28515625" style="237" customWidth="1"/>
    <col min="6153" max="6153" width="14.42578125" style="237" customWidth="1"/>
    <col min="6154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5.85546875" style="237" customWidth="1"/>
    <col min="6404" max="6406" width="2" style="237" customWidth="1"/>
    <col min="6407" max="6407" width="14.85546875" style="237" customWidth="1"/>
    <col min="6408" max="6408" width="10.28515625" style="237" customWidth="1"/>
    <col min="6409" max="6409" width="14.42578125" style="237" customWidth="1"/>
    <col min="6410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5.85546875" style="237" customWidth="1"/>
    <col min="6660" max="6662" width="2" style="237" customWidth="1"/>
    <col min="6663" max="6663" width="14.85546875" style="237" customWidth="1"/>
    <col min="6664" max="6664" width="10.28515625" style="237" customWidth="1"/>
    <col min="6665" max="6665" width="14.42578125" style="237" customWidth="1"/>
    <col min="6666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5.85546875" style="237" customWidth="1"/>
    <col min="6916" max="6918" width="2" style="237" customWidth="1"/>
    <col min="6919" max="6919" width="14.85546875" style="237" customWidth="1"/>
    <col min="6920" max="6920" width="10.28515625" style="237" customWidth="1"/>
    <col min="6921" max="6921" width="14.42578125" style="237" customWidth="1"/>
    <col min="6922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5.85546875" style="237" customWidth="1"/>
    <col min="7172" max="7174" width="2" style="237" customWidth="1"/>
    <col min="7175" max="7175" width="14.85546875" style="237" customWidth="1"/>
    <col min="7176" max="7176" width="10.28515625" style="237" customWidth="1"/>
    <col min="7177" max="7177" width="14.42578125" style="237" customWidth="1"/>
    <col min="7178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5.85546875" style="237" customWidth="1"/>
    <col min="7428" max="7430" width="2" style="237" customWidth="1"/>
    <col min="7431" max="7431" width="14.85546875" style="237" customWidth="1"/>
    <col min="7432" max="7432" width="10.28515625" style="237" customWidth="1"/>
    <col min="7433" max="7433" width="14.42578125" style="237" customWidth="1"/>
    <col min="7434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5.85546875" style="237" customWidth="1"/>
    <col min="7684" max="7686" width="2" style="237" customWidth="1"/>
    <col min="7687" max="7687" width="14.85546875" style="237" customWidth="1"/>
    <col min="7688" max="7688" width="10.28515625" style="237" customWidth="1"/>
    <col min="7689" max="7689" width="14.42578125" style="237" customWidth="1"/>
    <col min="7690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5.85546875" style="237" customWidth="1"/>
    <col min="7940" max="7942" width="2" style="237" customWidth="1"/>
    <col min="7943" max="7943" width="14.85546875" style="237" customWidth="1"/>
    <col min="7944" max="7944" width="10.28515625" style="237" customWidth="1"/>
    <col min="7945" max="7945" width="14.42578125" style="237" customWidth="1"/>
    <col min="7946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5.85546875" style="237" customWidth="1"/>
    <col min="8196" max="8198" width="2" style="237" customWidth="1"/>
    <col min="8199" max="8199" width="14.85546875" style="237" customWidth="1"/>
    <col min="8200" max="8200" width="10.28515625" style="237" customWidth="1"/>
    <col min="8201" max="8201" width="14.42578125" style="237" customWidth="1"/>
    <col min="8202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5.85546875" style="237" customWidth="1"/>
    <col min="8452" max="8454" width="2" style="237" customWidth="1"/>
    <col min="8455" max="8455" width="14.85546875" style="237" customWidth="1"/>
    <col min="8456" max="8456" width="10.28515625" style="237" customWidth="1"/>
    <col min="8457" max="8457" width="14.42578125" style="237" customWidth="1"/>
    <col min="8458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5.85546875" style="237" customWidth="1"/>
    <col min="8708" max="8710" width="2" style="237" customWidth="1"/>
    <col min="8711" max="8711" width="14.85546875" style="237" customWidth="1"/>
    <col min="8712" max="8712" width="10.28515625" style="237" customWidth="1"/>
    <col min="8713" max="8713" width="14.42578125" style="237" customWidth="1"/>
    <col min="8714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5.85546875" style="237" customWidth="1"/>
    <col min="8964" max="8966" width="2" style="237" customWidth="1"/>
    <col min="8967" max="8967" width="14.85546875" style="237" customWidth="1"/>
    <col min="8968" max="8968" width="10.28515625" style="237" customWidth="1"/>
    <col min="8969" max="8969" width="14.42578125" style="237" customWidth="1"/>
    <col min="8970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5.85546875" style="237" customWidth="1"/>
    <col min="9220" max="9222" width="2" style="237" customWidth="1"/>
    <col min="9223" max="9223" width="14.85546875" style="237" customWidth="1"/>
    <col min="9224" max="9224" width="10.28515625" style="237" customWidth="1"/>
    <col min="9225" max="9225" width="14.42578125" style="237" customWidth="1"/>
    <col min="9226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5.85546875" style="237" customWidth="1"/>
    <col min="9476" max="9478" width="2" style="237" customWidth="1"/>
    <col min="9479" max="9479" width="14.85546875" style="237" customWidth="1"/>
    <col min="9480" max="9480" width="10.28515625" style="237" customWidth="1"/>
    <col min="9481" max="9481" width="14.42578125" style="237" customWidth="1"/>
    <col min="9482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5.85546875" style="237" customWidth="1"/>
    <col min="9732" max="9734" width="2" style="237" customWidth="1"/>
    <col min="9735" max="9735" width="14.85546875" style="237" customWidth="1"/>
    <col min="9736" max="9736" width="10.28515625" style="237" customWidth="1"/>
    <col min="9737" max="9737" width="14.42578125" style="237" customWidth="1"/>
    <col min="9738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5.85546875" style="237" customWidth="1"/>
    <col min="9988" max="9990" width="2" style="237" customWidth="1"/>
    <col min="9991" max="9991" width="14.85546875" style="237" customWidth="1"/>
    <col min="9992" max="9992" width="10.28515625" style="237" customWidth="1"/>
    <col min="9993" max="9993" width="14.42578125" style="237" customWidth="1"/>
    <col min="9994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5.85546875" style="237" customWidth="1"/>
    <col min="10244" max="10246" width="2" style="237" customWidth="1"/>
    <col min="10247" max="10247" width="14.85546875" style="237" customWidth="1"/>
    <col min="10248" max="10248" width="10.28515625" style="237" customWidth="1"/>
    <col min="10249" max="10249" width="14.42578125" style="237" customWidth="1"/>
    <col min="10250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5.85546875" style="237" customWidth="1"/>
    <col min="10500" max="10502" width="2" style="237" customWidth="1"/>
    <col min="10503" max="10503" width="14.85546875" style="237" customWidth="1"/>
    <col min="10504" max="10504" width="10.28515625" style="237" customWidth="1"/>
    <col min="10505" max="10505" width="14.42578125" style="237" customWidth="1"/>
    <col min="10506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5.85546875" style="237" customWidth="1"/>
    <col min="10756" max="10758" width="2" style="237" customWidth="1"/>
    <col min="10759" max="10759" width="14.85546875" style="237" customWidth="1"/>
    <col min="10760" max="10760" width="10.28515625" style="237" customWidth="1"/>
    <col min="10761" max="10761" width="14.42578125" style="237" customWidth="1"/>
    <col min="10762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5.85546875" style="237" customWidth="1"/>
    <col min="11012" max="11014" width="2" style="237" customWidth="1"/>
    <col min="11015" max="11015" width="14.85546875" style="237" customWidth="1"/>
    <col min="11016" max="11016" width="10.28515625" style="237" customWidth="1"/>
    <col min="11017" max="11017" width="14.42578125" style="237" customWidth="1"/>
    <col min="11018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5.85546875" style="237" customWidth="1"/>
    <col min="11268" max="11270" width="2" style="237" customWidth="1"/>
    <col min="11271" max="11271" width="14.85546875" style="237" customWidth="1"/>
    <col min="11272" max="11272" width="10.28515625" style="237" customWidth="1"/>
    <col min="11273" max="11273" width="14.42578125" style="237" customWidth="1"/>
    <col min="11274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5.85546875" style="237" customWidth="1"/>
    <col min="11524" max="11526" width="2" style="237" customWidth="1"/>
    <col min="11527" max="11527" width="14.85546875" style="237" customWidth="1"/>
    <col min="11528" max="11528" width="10.28515625" style="237" customWidth="1"/>
    <col min="11529" max="11529" width="14.42578125" style="237" customWidth="1"/>
    <col min="11530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5.85546875" style="237" customWidth="1"/>
    <col min="11780" max="11782" width="2" style="237" customWidth="1"/>
    <col min="11783" max="11783" width="14.85546875" style="237" customWidth="1"/>
    <col min="11784" max="11784" width="10.28515625" style="237" customWidth="1"/>
    <col min="11785" max="11785" width="14.42578125" style="237" customWidth="1"/>
    <col min="11786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5.85546875" style="237" customWidth="1"/>
    <col min="12036" max="12038" width="2" style="237" customWidth="1"/>
    <col min="12039" max="12039" width="14.85546875" style="237" customWidth="1"/>
    <col min="12040" max="12040" width="10.28515625" style="237" customWidth="1"/>
    <col min="12041" max="12041" width="14.42578125" style="237" customWidth="1"/>
    <col min="12042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5.85546875" style="237" customWidth="1"/>
    <col min="12292" max="12294" width="2" style="237" customWidth="1"/>
    <col min="12295" max="12295" width="14.85546875" style="237" customWidth="1"/>
    <col min="12296" max="12296" width="10.28515625" style="237" customWidth="1"/>
    <col min="12297" max="12297" width="14.42578125" style="237" customWidth="1"/>
    <col min="12298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5.85546875" style="237" customWidth="1"/>
    <col min="12548" max="12550" width="2" style="237" customWidth="1"/>
    <col min="12551" max="12551" width="14.85546875" style="237" customWidth="1"/>
    <col min="12552" max="12552" width="10.28515625" style="237" customWidth="1"/>
    <col min="12553" max="12553" width="14.42578125" style="237" customWidth="1"/>
    <col min="12554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5.85546875" style="237" customWidth="1"/>
    <col min="12804" max="12806" width="2" style="237" customWidth="1"/>
    <col min="12807" max="12807" width="14.85546875" style="237" customWidth="1"/>
    <col min="12808" max="12808" width="10.28515625" style="237" customWidth="1"/>
    <col min="12809" max="12809" width="14.42578125" style="237" customWidth="1"/>
    <col min="12810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5.85546875" style="237" customWidth="1"/>
    <col min="13060" max="13062" width="2" style="237" customWidth="1"/>
    <col min="13063" max="13063" width="14.85546875" style="237" customWidth="1"/>
    <col min="13064" max="13064" width="10.28515625" style="237" customWidth="1"/>
    <col min="13065" max="13065" width="14.42578125" style="237" customWidth="1"/>
    <col min="13066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5.85546875" style="237" customWidth="1"/>
    <col min="13316" max="13318" width="2" style="237" customWidth="1"/>
    <col min="13319" max="13319" width="14.85546875" style="237" customWidth="1"/>
    <col min="13320" max="13320" width="10.28515625" style="237" customWidth="1"/>
    <col min="13321" max="13321" width="14.42578125" style="237" customWidth="1"/>
    <col min="13322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5.85546875" style="237" customWidth="1"/>
    <col min="13572" max="13574" width="2" style="237" customWidth="1"/>
    <col min="13575" max="13575" width="14.85546875" style="237" customWidth="1"/>
    <col min="13576" max="13576" width="10.28515625" style="237" customWidth="1"/>
    <col min="13577" max="13577" width="14.42578125" style="237" customWidth="1"/>
    <col min="13578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5.85546875" style="237" customWidth="1"/>
    <col min="13828" max="13830" width="2" style="237" customWidth="1"/>
    <col min="13831" max="13831" width="14.85546875" style="237" customWidth="1"/>
    <col min="13832" max="13832" width="10.28515625" style="237" customWidth="1"/>
    <col min="13833" max="13833" width="14.42578125" style="237" customWidth="1"/>
    <col min="13834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5.85546875" style="237" customWidth="1"/>
    <col min="14084" max="14086" width="2" style="237" customWidth="1"/>
    <col min="14087" max="14087" width="14.85546875" style="237" customWidth="1"/>
    <col min="14088" max="14088" width="10.28515625" style="237" customWidth="1"/>
    <col min="14089" max="14089" width="14.42578125" style="237" customWidth="1"/>
    <col min="14090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5.85546875" style="237" customWidth="1"/>
    <col min="14340" max="14342" width="2" style="237" customWidth="1"/>
    <col min="14343" max="14343" width="14.85546875" style="237" customWidth="1"/>
    <col min="14344" max="14344" width="10.28515625" style="237" customWidth="1"/>
    <col min="14345" max="14345" width="14.42578125" style="237" customWidth="1"/>
    <col min="14346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5.85546875" style="237" customWidth="1"/>
    <col min="14596" max="14598" width="2" style="237" customWidth="1"/>
    <col min="14599" max="14599" width="14.85546875" style="237" customWidth="1"/>
    <col min="14600" max="14600" width="10.28515625" style="237" customWidth="1"/>
    <col min="14601" max="14601" width="14.42578125" style="237" customWidth="1"/>
    <col min="14602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5.85546875" style="237" customWidth="1"/>
    <col min="14852" max="14854" width="2" style="237" customWidth="1"/>
    <col min="14855" max="14855" width="14.85546875" style="237" customWidth="1"/>
    <col min="14856" max="14856" width="10.28515625" style="237" customWidth="1"/>
    <col min="14857" max="14857" width="14.42578125" style="237" customWidth="1"/>
    <col min="14858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5.85546875" style="237" customWidth="1"/>
    <col min="15108" max="15110" width="2" style="237" customWidth="1"/>
    <col min="15111" max="15111" width="14.85546875" style="237" customWidth="1"/>
    <col min="15112" max="15112" width="10.28515625" style="237" customWidth="1"/>
    <col min="15113" max="15113" width="14.42578125" style="237" customWidth="1"/>
    <col min="15114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5.85546875" style="237" customWidth="1"/>
    <col min="15364" max="15366" width="2" style="237" customWidth="1"/>
    <col min="15367" max="15367" width="14.85546875" style="237" customWidth="1"/>
    <col min="15368" max="15368" width="10.28515625" style="237" customWidth="1"/>
    <col min="15369" max="15369" width="14.42578125" style="237" customWidth="1"/>
    <col min="15370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5.85546875" style="237" customWidth="1"/>
    <col min="15620" max="15622" width="2" style="237" customWidth="1"/>
    <col min="15623" max="15623" width="14.85546875" style="237" customWidth="1"/>
    <col min="15624" max="15624" width="10.28515625" style="237" customWidth="1"/>
    <col min="15625" max="15625" width="14.42578125" style="237" customWidth="1"/>
    <col min="15626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5.85546875" style="237" customWidth="1"/>
    <col min="15876" max="15878" width="2" style="237" customWidth="1"/>
    <col min="15879" max="15879" width="14.85546875" style="237" customWidth="1"/>
    <col min="15880" max="15880" width="10.28515625" style="237" customWidth="1"/>
    <col min="15881" max="15881" width="14.42578125" style="237" customWidth="1"/>
    <col min="15882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5.85546875" style="237" customWidth="1"/>
    <col min="16132" max="16134" width="2" style="237" customWidth="1"/>
    <col min="16135" max="16135" width="14.85546875" style="237" customWidth="1"/>
    <col min="16136" max="16136" width="10.28515625" style="237" customWidth="1"/>
    <col min="16137" max="16137" width="14.42578125" style="237" customWidth="1"/>
    <col min="16138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873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872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871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27.75" customHeight="1" x14ac:dyDescent="0.25">
      <c r="B21" s="281" t="s">
        <v>449</v>
      </c>
      <c r="C21" s="292"/>
      <c r="D21" s="389" t="s">
        <v>857</v>
      </c>
      <c r="E21" s="390"/>
      <c r="F21" s="390"/>
      <c r="G21" s="390"/>
      <c r="H21" s="391"/>
      <c r="I21" s="337">
        <v>4</v>
      </c>
      <c r="J21" s="336">
        <v>650</v>
      </c>
      <c r="K21" s="335">
        <v>1</v>
      </c>
      <c r="L21" s="334" t="s">
        <v>11</v>
      </c>
      <c r="M21" s="333">
        <f>J21*I21</f>
        <v>2600</v>
      </c>
      <c r="N21" s="272">
        <f>M21*20/120</f>
        <v>433.33333333333331</v>
      </c>
    </row>
    <row r="22" spans="2:14" ht="12.75" customHeight="1" x14ac:dyDescent="0.25">
      <c r="B22" s="396" t="s">
        <v>464</v>
      </c>
      <c r="C22" s="396"/>
      <c r="D22" s="396"/>
      <c r="E22" s="396"/>
      <c r="F22" s="396"/>
      <c r="G22" s="396"/>
      <c r="H22" s="396"/>
      <c r="I22" s="299">
        <v>4</v>
      </c>
      <c r="J22" s="393" t="s">
        <v>435</v>
      </c>
      <c r="K22" s="393"/>
      <c r="L22" s="393"/>
      <c r="M22" s="273">
        <f>M21</f>
        <v>2600</v>
      </c>
      <c r="N22" s="276">
        <f>M22*20/120</f>
        <v>433.33333333333331</v>
      </c>
    </row>
    <row r="23" spans="2:14" ht="5.25" customHeight="1" x14ac:dyDescent="0.25"/>
    <row r="24" spans="2:14" ht="12.75" customHeight="1" x14ac:dyDescent="0.25">
      <c r="B24" s="392" t="s">
        <v>870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11.25" customHeight="1" x14ac:dyDescent="0.25"/>
    <row r="26" spans="2:14" ht="15" customHeight="1" x14ac:dyDescent="0.25">
      <c r="C26" s="287" t="s">
        <v>869</v>
      </c>
    </row>
    <row r="27" spans="2:14" ht="11.25" customHeight="1" thickBot="1" x14ac:dyDescent="0.3">
      <c r="B27" s="286"/>
      <c r="C27" s="285"/>
      <c r="D27" s="285"/>
      <c r="H27" s="285"/>
      <c r="I27" s="285"/>
      <c r="M27" s="284"/>
      <c r="N27" s="284"/>
    </row>
    <row r="28" spans="2:14" ht="12.75" customHeight="1" thickBot="1" x14ac:dyDescent="0.3">
      <c r="B28" s="282" t="s">
        <v>461</v>
      </c>
      <c r="C28" s="283" t="s">
        <v>460</v>
      </c>
      <c r="D28" s="511" t="s">
        <v>459</v>
      </c>
      <c r="E28" s="511"/>
      <c r="F28" s="511"/>
      <c r="G28" s="511"/>
      <c r="H28" s="511"/>
      <c r="I28" s="511"/>
      <c r="J28" s="282" t="s">
        <v>458</v>
      </c>
      <c r="K28" s="282" t="s">
        <v>457</v>
      </c>
      <c r="L28" s="282" t="s">
        <v>456</v>
      </c>
      <c r="M28" s="282" t="s">
        <v>455</v>
      </c>
      <c r="N28" s="282" t="s">
        <v>454</v>
      </c>
    </row>
    <row r="29" spans="2:14" ht="12.75" customHeight="1" thickBot="1" x14ac:dyDescent="0.3">
      <c r="B29" s="282" t="s">
        <v>449</v>
      </c>
      <c r="C29" s="283" t="s">
        <v>446</v>
      </c>
      <c r="D29" s="511" t="s">
        <v>443</v>
      </c>
      <c r="E29" s="511"/>
      <c r="F29" s="511"/>
      <c r="G29" s="511"/>
      <c r="H29" s="511"/>
      <c r="I29" s="511"/>
      <c r="J29" s="282" t="s">
        <v>440</v>
      </c>
      <c r="K29" s="282" t="s">
        <v>453</v>
      </c>
      <c r="L29" s="282" t="s">
        <v>452</v>
      </c>
      <c r="M29" s="282" t="s">
        <v>451</v>
      </c>
      <c r="N29" s="282" t="s">
        <v>450</v>
      </c>
    </row>
    <row r="30" spans="2:14" s="275" customFormat="1" ht="13.5" customHeight="1" x14ac:dyDescent="0.25">
      <c r="B30" s="281" t="s">
        <v>449</v>
      </c>
      <c r="C30" s="280"/>
      <c r="D30" s="512"/>
      <c r="E30" s="512"/>
      <c r="F30" s="512"/>
      <c r="G30" s="512"/>
      <c r="H30" s="512"/>
      <c r="I30" s="512"/>
      <c r="J30" s="291">
        <v>0</v>
      </c>
      <c r="K30" s="279" t="s">
        <v>437</v>
      </c>
      <c r="L30" s="278">
        <v>0</v>
      </c>
      <c r="M30" s="277">
        <f>L30*J30</f>
        <v>0</v>
      </c>
      <c r="N30" s="276">
        <f>M30*20/120</f>
        <v>0</v>
      </c>
    </row>
    <row r="31" spans="2:14" ht="12.75" customHeight="1" x14ac:dyDescent="0.25">
      <c r="B31" s="396" t="s">
        <v>436</v>
      </c>
      <c r="C31" s="396"/>
      <c r="D31" s="396"/>
      <c r="E31" s="396"/>
      <c r="F31" s="396"/>
      <c r="G31" s="396"/>
      <c r="H31" s="396"/>
      <c r="I31" s="396"/>
      <c r="J31" s="299">
        <v>0</v>
      </c>
      <c r="K31" s="393" t="s">
        <v>435</v>
      </c>
      <c r="L31" s="393"/>
      <c r="M31" s="273">
        <v>0</v>
      </c>
      <c r="N31" s="276">
        <f>M31*20/120</f>
        <v>0</v>
      </c>
    </row>
    <row r="32" spans="2:14" ht="5.25" customHeight="1" x14ac:dyDescent="0.25"/>
    <row r="33" spans="2:14" ht="12.75" customHeight="1" x14ac:dyDescent="0.25"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</row>
    <row r="34" spans="2:14" ht="11.25" customHeight="1" thickBot="1" x14ac:dyDescent="0.3"/>
    <row r="35" spans="2:14" ht="12.75" customHeight="1" thickTop="1" thickBot="1" x14ac:dyDescent="0.3">
      <c r="B35" s="271"/>
      <c r="C35" s="271"/>
      <c r="D35" s="271"/>
      <c r="E35" s="271"/>
      <c r="F35" s="271"/>
      <c r="G35" s="271"/>
      <c r="H35" s="271"/>
      <c r="I35" s="271"/>
      <c r="J35" s="271"/>
      <c r="K35" s="270"/>
      <c r="L35" s="270" t="s">
        <v>433</v>
      </c>
      <c r="M35" s="269">
        <f>M22+M31</f>
        <v>2600</v>
      </c>
      <c r="N35" s="268">
        <f>N22+N31</f>
        <v>433.33333333333331</v>
      </c>
    </row>
    <row r="36" spans="2:14" ht="5.25" customHeight="1" thickTop="1" x14ac:dyDescent="0.25"/>
    <row r="37" spans="2:14" ht="12.75" customHeight="1" x14ac:dyDescent="0.25">
      <c r="B37" s="388" t="s">
        <v>868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66" t="s">
        <v>431</v>
      </c>
      <c r="K40" s="384" t="s">
        <v>430</v>
      </c>
      <c r="L40" s="384"/>
      <c r="M40" s="384"/>
      <c r="N40" s="384"/>
    </row>
    <row r="41" spans="2:14" ht="6" customHeight="1" x14ac:dyDescent="0.25"/>
    <row r="42" spans="2:14" ht="48.75" customHeight="1" x14ac:dyDescent="0.25">
      <c r="B42" s="267"/>
      <c r="C42" s="385" t="s">
        <v>429</v>
      </c>
      <c r="D42" s="385"/>
      <c r="E42" s="385"/>
      <c r="F42" s="385"/>
      <c r="G42" s="385"/>
      <c r="H42" s="385"/>
      <c r="I42" s="385"/>
      <c r="J42" s="385"/>
      <c r="K42" s="385"/>
      <c r="L42" s="385"/>
      <c r="M42" s="385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386" t="s">
        <v>861</v>
      </c>
      <c r="C47" s="386"/>
      <c r="J47" s="266" t="s">
        <v>427</v>
      </c>
      <c r="K47" s="384" t="s">
        <v>425</v>
      </c>
      <c r="L47" s="384"/>
      <c r="M47" s="384"/>
      <c r="N47" s="384"/>
    </row>
    <row r="48" spans="2:14" ht="11.25" customHeight="1" x14ac:dyDescent="0.25"/>
    <row r="49" spans="2:14" ht="24.75" customHeight="1" x14ac:dyDescent="0.25">
      <c r="J49" s="266" t="s">
        <v>426</v>
      </c>
      <c r="K49" s="384" t="s">
        <v>425</v>
      </c>
      <c r="L49" s="384"/>
      <c r="M49" s="384"/>
      <c r="N49" s="384"/>
    </row>
    <row r="50" spans="2:14" ht="12.75" customHeight="1" x14ac:dyDescent="0.25"/>
    <row r="51" spans="2:14" ht="12.75" customHeight="1" x14ac:dyDescent="0.25">
      <c r="B51" s="509" t="s">
        <v>424</v>
      </c>
      <c r="C51" s="509"/>
    </row>
    <row r="52" spans="2:14" ht="22.15" customHeight="1" x14ac:dyDescent="0.25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</row>
    <row r="53" spans="2:14" ht="11.25" customHeight="1" x14ac:dyDescent="0.25"/>
  </sheetData>
  <mergeCells count="29">
    <mergeCell ref="B24:N24"/>
    <mergeCell ref="D28:I28"/>
    <mergeCell ref="B1:J1"/>
    <mergeCell ref="M1:N3"/>
    <mergeCell ref="B2:J2"/>
    <mergeCell ref="C4:N4"/>
    <mergeCell ref="B6:G6"/>
    <mergeCell ref="H6:N6"/>
    <mergeCell ref="B12:N12"/>
    <mergeCell ref="D19:H19"/>
    <mergeCell ref="D20:H20"/>
    <mergeCell ref="B7:N7"/>
    <mergeCell ref="B11:N11"/>
    <mergeCell ref="D21:H21"/>
    <mergeCell ref="B22:H22"/>
    <mergeCell ref="J22:L22"/>
    <mergeCell ref="D29:I29"/>
    <mergeCell ref="D30:I30"/>
    <mergeCell ref="B31:I31"/>
    <mergeCell ref="B52:N52"/>
    <mergeCell ref="K49:N49"/>
    <mergeCell ref="K31:L31"/>
    <mergeCell ref="C42:M42"/>
    <mergeCell ref="B47:C47"/>
    <mergeCell ref="K47:N47"/>
    <mergeCell ref="B51:C51"/>
    <mergeCell ref="B37:N37"/>
    <mergeCell ref="K40:N40"/>
    <mergeCell ref="B33:N33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0D9-82FD-4C76-89B4-46684492BEA8}">
  <sheetPr codeName="Лист27">
    <pageSetUpPr fitToPage="1"/>
  </sheetPr>
  <dimension ref="B1:N53"/>
  <sheetViews>
    <sheetView workbookViewId="0">
      <selection activeCell="B37" sqref="B37:N3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85546875" style="237" customWidth="1"/>
    <col min="4" max="6" width="2" style="237" customWidth="1"/>
    <col min="7" max="7" width="14.85546875" style="237" customWidth="1"/>
    <col min="8" max="8" width="12.5703125" style="237" customWidth="1"/>
    <col min="9" max="9" width="14.425781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5.85546875" style="237" customWidth="1"/>
    <col min="260" max="262" width="2" style="237" customWidth="1"/>
    <col min="263" max="263" width="14.85546875" style="237" customWidth="1"/>
    <col min="264" max="264" width="10.28515625" style="237" cust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5.85546875" style="237" customWidth="1"/>
    <col min="516" max="518" width="2" style="237" customWidth="1"/>
    <col min="519" max="519" width="14.85546875" style="237" customWidth="1"/>
    <col min="520" max="520" width="10.28515625" style="237" customWidth="1"/>
    <col min="521" max="521" width="14.42578125" style="237" customWidth="1"/>
    <col min="522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5.85546875" style="237" customWidth="1"/>
    <col min="772" max="774" width="2" style="237" customWidth="1"/>
    <col min="775" max="775" width="14.85546875" style="237" customWidth="1"/>
    <col min="776" max="776" width="10.28515625" style="237" customWidth="1"/>
    <col min="777" max="777" width="14.42578125" style="237" customWidth="1"/>
    <col min="778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5.85546875" style="237" customWidth="1"/>
    <col min="1028" max="1030" width="2" style="237" customWidth="1"/>
    <col min="1031" max="1031" width="14.85546875" style="237" customWidth="1"/>
    <col min="1032" max="1032" width="10.28515625" style="237" customWidth="1"/>
    <col min="1033" max="1033" width="14.42578125" style="237" customWidth="1"/>
    <col min="1034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5.85546875" style="237" customWidth="1"/>
    <col min="1284" max="1286" width="2" style="237" customWidth="1"/>
    <col min="1287" max="1287" width="14.85546875" style="237" customWidth="1"/>
    <col min="1288" max="1288" width="10.28515625" style="237" customWidth="1"/>
    <col min="1289" max="1289" width="14.42578125" style="237" customWidth="1"/>
    <col min="1290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5.85546875" style="237" customWidth="1"/>
    <col min="1540" max="1542" width="2" style="237" customWidth="1"/>
    <col min="1543" max="1543" width="14.85546875" style="237" customWidth="1"/>
    <col min="1544" max="1544" width="10.28515625" style="237" customWidth="1"/>
    <col min="1545" max="1545" width="14.42578125" style="237" customWidth="1"/>
    <col min="1546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5.85546875" style="237" customWidth="1"/>
    <col min="1796" max="1798" width="2" style="237" customWidth="1"/>
    <col min="1799" max="1799" width="14.85546875" style="237" customWidth="1"/>
    <col min="1800" max="1800" width="10.28515625" style="237" customWidth="1"/>
    <col min="1801" max="1801" width="14.42578125" style="237" customWidth="1"/>
    <col min="1802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5.85546875" style="237" customWidth="1"/>
    <col min="2052" max="2054" width="2" style="237" customWidth="1"/>
    <col min="2055" max="2055" width="14.85546875" style="237" customWidth="1"/>
    <col min="2056" max="2056" width="10.28515625" style="237" customWidth="1"/>
    <col min="2057" max="2057" width="14.42578125" style="237" customWidth="1"/>
    <col min="2058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5.85546875" style="237" customWidth="1"/>
    <col min="2308" max="2310" width="2" style="237" customWidth="1"/>
    <col min="2311" max="2311" width="14.85546875" style="237" customWidth="1"/>
    <col min="2312" max="2312" width="10.28515625" style="237" customWidth="1"/>
    <col min="2313" max="2313" width="14.42578125" style="237" customWidth="1"/>
    <col min="2314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5.85546875" style="237" customWidth="1"/>
    <col min="2564" max="2566" width="2" style="237" customWidth="1"/>
    <col min="2567" max="2567" width="14.85546875" style="237" customWidth="1"/>
    <col min="2568" max="2568" width="10.28515625" style="237" customWidth="1"/>
    <col min="2569" max="2569" width="14.42578125" style="237" customWidth="1"/>
    <col min="2570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5.85546875" style="237" customWidth="1"/>
    <col min="2820" max="2822" width="2" style="237" customWidth="1"/>
    <col min="2823" max="2823" width="14.85546875" style="237" customWidth="1"/>
    <col min="2824" max="2824" width="10.28515625" style="237" customWidth="1"/>
    <col min="2825" max="2825" width="14.42578125" style="237" customWidth="1"/>
    <col min="2826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5.85546875" style="237" customWidth="1"/>
    <col min="3076" max="3078" width="2" style="237" customWidth="1"/>
    <col min="3079" max="3079" width="14.85546875" style="237" customWidth="1"/>
    <col min="3080" max="3080" width="10.28515625" style="237" customWidth="1"/>
    <col min="3081" max="3081" width="14.42578125" style="237" customWidth="1"/>
    <col min="3082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5.85546875" style="237" customWidth="1"/>
    <col min="3332" max="3334" width="2" style="237" customWidth="1"/>
    <col min="3335" max="3335" width="14.85546875" style="237" customWidth="1"/>
    <col min="3336" max="3336" width="10.28515625" style="237" customWidth="1"/>
    <col min="3337" max="3337" width="14.42578125" style="237" customWidth="1"/>
    <col min="3338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5.85546875" style="237" customWidth="1"/>
    <col min="3588" max="3590" width="2" style="237" customWidth="1"/>
    <col min="3591" max="3591" width="14.85546875" style="237" customWidth="1"/>
    <col min="3592" max="3592" width="10.28515625" style="237" customWidth="1"/>
    <col min="3593" max="3593" width="14.42578125" style="237" customWidth="1"/>
    <col min="3594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5.85546875" style="237" customWidth="1"/>
    <col min="3844" max="3846" width="2" style="237" customWidth="1"/>
    <col min="3847" max="3847" width="14.85546875" style="237" customWidth="1"/>
    <col min="3848" max="3848" width="10.28515625" style="237" customWidth="1"/>
    <col min="3849" max="3849" width="14.42578125" style="237" customWidth="1"/>
    <col min="3850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5.85546875" style="237" customWidth="1"/>
    <col min="4100" max="4102" width="2" style="237" customWidth="1"/>
    <col min="4103" max="4103" width="14.85546875" style="237" customWidth="1"/>
    <col min="4104" max="4104" width="10.28515625" style="237" customWidth="1"/>
    <col min="4105" max="4105" width="14.42578125" style="237" customWidth="1"/>
    <col min="4106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5.85546875" style="237" customWidth="1"/>
    <col min="4356" max="4358" width="2" style="237" customWidth="1"/>
    <col min="4359" max="4359" width="14.85546875" style="237" customWidth="1"/>
    <col min="4360" max="4360" width="10.28515625" style="237" customWidth="1"/>
    <col min="4361" max="4361" width="14.42578125" style="237" customWidth="1"/>
    <col min="4362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5.85546875" style="237" customWidth="1"/>
    <col min="4612" max="4614" width="2" style="237" customWidth="1"/>
    <col min="4615" max="4615" width="14.85546875" style="237" customWidth="1"/>
    <col min="4616" max="4616" width="10.28515625" style="237" customWidth="1"/>
    <col min="4617" max="4617" width="14.42578125" style="237" customWidth="1"/>
    <col min="4618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5.85546875" style="237" customWidth="1"/>
    <col min="4868" max="4870" width="2" style="237" customWidth="1"/>
    <col min="4871" max="4871" width="14.85546875" style="237" customWidth="1"/>
    <col min="4872" max="4872" width="10.28515625" style="237" customWidth="1"/>
    <col min="4873" max="4873" width="14.42578125" style="237" customWidth="1"/>
    <col min="4874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5.85546875" style="237" customWidth="1"/>
    <col min="5124" max="5126" width="2" style="237" customWidth="1"/>
    <col min="5127" max="5127" width="14.85546875" style="237" customWidth="1"/>
    <col min="5128" max="5128" width="10.28515625" style="237" customWidth="1"/>
    <col min="5129" max="5129" width="14.42578125" style="237" customWidth="1"/>
    <col min="5130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5.85546875" style="237" customWidth="1"/>
    <col min="5380" max="5382" width="2" style="237" customWidth="1"/>
    <col min="5383" max="5383" width="14.85546875" style="237" customWidth="1"/>
    <col min="5384" max="5384" width="10.28515625" style="237" customWidth="1"/>
    <col min="5385" max="5385" width="14.42578125" style="237" customWidth="1"/>
    <col min="5386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5.85546875" style="237" customWidth="1"/>
    <col min="5636" max="5638" width="2" style="237" customWidth="1"/>
    <col min="5639" max="5639" width="14.85546875" style="237" customWidth="1"/>
    <col min="5640" max="5640" width="10.28515625" style="237" customWidth="1"/>
    <col min="5641" max="5641" width="14.42578125" style="237" customWidth="1"/>
    <col min="5642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5.85546875" style="237" customWidth="1"/>
    <col min="5892" max="5894" width="2" style="237" customWidth="1"/>
    <col min="5895" max="5895" width="14.85546875" style="237" customWidth="1"/>
    <col min="5896" max="5896" width="10.28515625" style="237" customWidth="1"/>
    <col min="5897" max="5897" width="14.42578125" style="237" customWidth="1"/>
    <col min="5898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5.85546875" style="237" customWidth="1"/>
    <col min="6148" max="6150" width="2" style="237" customWidth="1"/>
    <col min="6151" max="6151" width="14.85546875" style="237" customWidth="1"/>
    <col min="6152" max="6152" width="10.28515625" style="237" customWidth="1"/>
    <col min="6153" max="6153" width="14.42578125" style="237" customWidth="1"/>
    <col min="6154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5.85546875" style="237" customWidth="1"/>
    <col min="6404" max="6406" width="2" style="237" customWidth="1"/>
    <col min="6407" max="6407" width="14.85546875" style="237" customWidth="1"/>
    <col min="6408" max="6408" width="10.28515625" style="237" customWidth="1"/>
    <col min="6409" max="6409" width="14.42578125" style="237" customWidth="1"/>
    <col min="6410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5.85546875" style="237" customWidth="1"/>
    <col min="6660" max="6662" width="2" style="237" customWidth="1"/>
    <col min="6663" max="6663" width="14.85546875" style="237" customWidth="1"/>
    <col min="6664" max="6664" width="10.28515625" style="237" customWidth="1"/>
    <col min="6665" max="6665" width="14.42578125" style="237" customWidth="1"/>
    <col min="6666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5.85546875" style="237" customWidth="1"/>
    <col min="6916" max="6918" width="2" style="237" customWidth="1"/>
    <col min="6919" max="6919" width="14.85546875" style="237" customWidth="1"/>
    <col min="6920" max="6920" width="10.28515625" style="237" customWidth="1"/>
    <col min="6921" max="6921" width="14.42578125" style="237" customWidth="1"/>
    <col min="6922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5.85546875" style="237" customWidth="1"/>
    <col min="7172" max="7174" width="2" style="237" customWidth="1"/>
    <col min="7175" max="7175" width="14.85546875" style="237" customWidth="1"/>
    <col min="7176" max="7176" width="10.28515625" style="237" customWidth="1"/>
    <col min="7177" max="7177" width="14.42578125" style="237" customWidth="1"/>
    <col min="7178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5.85546875" style="237" customWidth="1"/>
    <col min="7428" max="7430" width="2" style="237" customWidth="1"/>
    <col min="7431" max="7431" width="14.85546875" style="237" customWidth="1"/>
    <col min="7432" max="7432" width="10.28515625" style="237" customWidth="1"/>
    <col min="7433" max="7433" width="14.42578125" style="237" customWidth="1"/>
    <col min="7434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5.85546875" style="237" customWidth="1"/>
    <col min="7684" max="7686" width="2" style="237" customWidth="1"/>
    <col min="7687" max="7687" width="14.85546875" style="237" customWidth="1"/>
    <col min="7688" max="7688" width="10.28515625" style="237" customWidth="1"/>
    <col min="7689" max="7689" width="14.42578125" style="237" customWidth="1"/>
    <col min="7690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5.85546875" style="237" customWidth="1"/>
    <col min="7940" max="7942" width="2" style="237" customWidth="1"/>
    <col min="7943" max="7943" width="14.85546875" style="237" customWidth="1"/>
    <col min="7944" max="7944" width="10.28515625" style="237" customWidth="1"/>
    <col min="7945" max="7945" width="14.42578125" style="237" customWidth="1"/>
    <col min="7946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5.85546875" style="237" customWidth="1"/>
    <col min="8196" max="8198" width="2" style="237" customWidth="1"/>
    <col min="8199" max="8199" width="14.85546875" style="237" customWidth="1"/>
    <col min="8200" max="8200" width="10.28515625" style="237" customWidth="1"/>
    <col min="8201" max="8201" width="14.42578125" style="237" customWidth="1"/>
    <col min="8202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5.85546875" style="237" customWidth="1"/>
    <col min="8452" max="8454" width="2" style="237" customWidth="1"/>
    <col min="8455" max="8455" width="14.85546875" style="237" customWidth="1"/>
    <col min="8456" max="8456" width="10.28515625" style="237" customWidth="1"/>
    <col min="8457" max="8457" width="14.42578125" style="237" customWidth="1"/>
    <col min="8458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5.85546875" style="237" customWidth="1"/>
    <col min="8708" max="8710" width="2" style="237" customWidth="1"/>
    <col min="8711" max="8711" width="14.85546875" style="237" customWidth="1"/>
    <col min="8712" max="8712" width="10.28515625" style="237" customWidth="1"/>
    <col min="8713" max="8713" width="14.42578125" style="237" customWidth="1"/>
    <col min="8714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5.85546875" style="237" customWidth="1"/>
    <col min="8964" max="8966" width="2" style="237" customWidth="1"/>
    <col min="8967" max="8967" width="14.85546875" style="237" customWidth="1"/>
    <col min="8968" max="8968" width="10.28515625" style="237" customWidth="1"/>
    <col min="8969" max="8969" width="14.42578125" style="237" customWidth="1"/>
    <col min="8970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5.85546875" style="237" customWidth="1"/>
    <col min="9220" max="9222" width="2" style="237" customWidth="1"/>
    <col min="9223" max="9223" width="14.85546875" style="237" customWidth="1"/>
    <col min="9224" max="9224" width="10.28515625" style="237" customWidth="1"/>
    <col min="9225" max="9225" width="14.42578125" style="237" customWidth="1"/>
    <col min="9226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5.85546875" style="237" customWidth="1"/>
    <col min="9476" max="9478" width="2" style="237" customWidth="1"/>
    <col min="9479" max="9479" width="14.85546875" style="237" customWidth="1"/>
    <col min="9480" max="9480" width="10.28515625" style="237" customWidth="1"/>
    <col min="9481" max="9481" width="14.42578125" style="237" customWidth="1"/>
    <col min="9482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5.85546875" style="237" customWidth="1"/>
    <col min="9732" max="9734" width="2" style="237" customWidth="1"/>
    <col min="9735" max="9735" width="14.85546875" style="237" customWidth="1"/>
    <col min="9736" max="9736" width="10.28515625" style="237" customWidth="1"/>
    <col min="9737" max="9737" width="14.42578125" style="237" customWidth="1"/>
    <col min="9738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5.85546875" style="237" customWidth="1"/>
    <col min="9988" max="9990" width="2" style="237" customWidth="1"/>
    <col min="9991" max="9991" width="14.85546875" style="237" customWidth="1"/>
    <col min="9992" max="9992" width="10.28515625" style="237" customWidth="1"/>
    <col min="9993" max="9993" width="14.42578125" style="237" customWidth="1"/>
    <col min="9994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5.85546875" style="237" customWidth="1"/>
    <col min="10244" max="10246" width="2" style="237" customWidth="1"/>
    <col min="10247" max="10247" width="14.85546875" style="237" customWidth="1"/>
    <col min="10248" max="10248" width="10.28515625" style="237" customWidth="1"/>
    <col min="10249" max="10249" width="14.42578125" style="237" customWidth="1"/>
    <col min="10250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5.85546875" style="237" customWidth="1"/>
    <col min="10500" max="10502" width="2" style="237" customWidth="1"/>
    <col min="10503" max="10503" width="14.85546875" style="237" customWidth="1"/>
    <col min="10504" max="10504" width="10.28515625" style="237" customWidth="1"/>
    <col min="10505" max="10505" width="14.42578125" style="237" customWidth="1"/>
    <col min="10506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5.85546875" style="237" customWidth="1"/>
    <col min="10756" max="10758" width="2" style="237" customWidth="1"/>
    <col min="10759" max="10759" width="14.85546875" style="237" customWidth="1"/>
    <col min="10760" max="10760" width="10.28515625" style="237" customWidth="1"/>
    <col min="10761" max="10761" width="14.42578125" style="237" customWidth="1"/>
    <col min="10762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5.85546875" style="237" customWidth="1"/>
    <col min="11012" max="11014" width="2" style="237" customWidth="1"/>
    <col min="11015" max="11015" width="14.85546875" style="237" customWidth="1"/>
    <col min="11016" max="11016" width="10.28515625" style="237" customWidth="1"/>
    <col min="11017" max="11017" width="14.42578125" style="237" customWidth="1"/>
    <col min="11018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5.85546875" style="237" customWidth="1"/>
    <col min="11268" max="11270" width="2" style="237" customWidth="1"/>
    <col min="11271" max="11271" width="14.85546875" style="237" customWidth="1"/>
    <col min="11272" max="11272" width="10.28515625" style="237" customWidth="1"/>
    <col min="11273" max="11273" width="14.42578125" style="237" customWidth="1"/>
    <col min="11274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5.85546875" style="237" customWidth="1"/>
    <col min="11524" max="11526" width="2" style="237" customWidth="1"/>
    <col min="11527" max="11527" width="14.85546875" style="237" customWidth="1"/>
    <col min="11528" max="11528" width="10.28515625" style="237" customWidth="1"/>
    <col min="11529" max="11529" width="14.42578125" style="237" customWidth="1"/>
    <col min="11530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5.85546875" style="237" customWidth="1"/>
    <col min="11780" max="11782" width="2" style="237" customWidth="1"/>
    <col min="11783" max="11783" width="14.85546875" style="237" customWidth="1"/>
    <col min="11784" max="11784" width="10.28515625" style="237" customWidth="1"/>
    <col min="11785" max="11785" width="14.42578125" style="237" customWidth="1"/>
    <col min="11786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5.85546875" style="237" customWidth="1"/>
    <col min="12036" max="12038" width="2" style="237" customWidth="1"/>
    <col min="12039" max="12039" width="14.85546875" style="237" customWidth="1"/>
    <col min="12040" max="12040" width="10.28515625" style="237" customWidth="1"/>
    <col min="12041" max="12041" width="14.42578125" style="237" customWidth="1"/>
    <col min="12042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5.85546875" style="237" customWidth="1"/>
    <col min="12292" max="12294" width="2" style="237" customWidth="1"/>
    <col min="12295" max="12295" width="14.85546875" style="237" customWidth="1"/>
    <col min="12296" max="12296" width="10.28515625" style="237" customWidth="1"/>
    <col min="12297" max="12297" width="14.42578125" style="237" customWidth="1"/>
    <col min="12298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5.85546875" style="237" customWidth="1"/>
    <col min="12548" max="12550" width="2" style="237" customWidth="1"/>
    <col min="12551" max="12551" width="14.85546875" style="237" customWidth="1"/>
    <col min="12552" max="12552" width="10.28515625" style="237" customWidth="1"/>
    <col min="12553" max="12553" width="14.42578125" style="237" customWidth="1"/>
    <col min="12554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5.85546875" style="237" customWidth="1"/>
    <col min="12804" max="12806" width="2" style="237" customWidth="1"/>
    <col min="12807" max="12807" width="14.85546875" style="237" customWidth="1"/>
    <col min="12808" max="12808" width="10.28515625" style="237" customWidth="1"/>
    <col min="12809" max="12809" width="14.42578125" style="237" customWidth="1"/>
    <col min="12810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5.85546875" style="237" customWidth="1"/>
    <col min="13060" max="13062" width="2" style="237" customWidth="1"/>
    <col min="13063" max="13063" width="14.85546875" style="237" customWidth="1"/>
    <col min="13064" max="13064" width="10.28515625" style="237" customWidth="1"/>
    <col min="13065" max="13065" width="14.42578125" style="237" customWidth="1"/>
    <col min="13066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5.85546875" style="237" customWidth="1"/>
    <col min="13316" max="13318" width="2" style="237" customWidth="1"/>
    <col min="13319" max="13319" width="14.85546875" style="237" customWidth="1"/>
    <col min="13320" max="13320" width="10.28515625" style="237" customWidth="1"/>
    <col min="13321" max="13321" width="14.42578125" style="237" customWidth="1"/>
    <col min="13322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5.85546875" style="237" customWidth="1"/>
    <col min="13572" max="13574" width="2" style="237" customWidth="1"/>
    <col min="13575" max="13575" width="14.85546875" style="237" customWidth="1"/>
    <col min="13576" max="13576" width="10.28515625" style="237" customWidth="1"/>
    <col min="13577" max="13577" width="14.42578125" style="237" customWidth="1"/>
    <col min="13578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5.85546875" style="237" customWidth="1"/>
    <col min="13828" max="13830" width="2" style="237" customWidth="1"/>
    <col min="13831" max="13831" width="14.85546875" style="237" customWidth="1"/>
    <col min="13832" max="13832" width="10.28515625" style="237" customWidth="1"/>
    <col min="13833" max="13833" width="14.42578125" style="237" customWidth="1"/>
    <col min="13834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5.85546875" style="237" customWidth="1"/>
    <col min="14084" max="14086" width="2" style="237" customWidth="1"/>
    <col min="14087" max="14087" width="14.85546875" style="237" customWidth="1"/>
    <col min="14088" max="14088" width="10.28515625" style="237" customWidth="1"/>
    <col min="14089" max="14089" width="14.42578125" style="237" customWidth="1"/>
    <col min="14090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5.85546875" style="237" customWidth="1"/>
    <col min="14340" max="14342" width="2" style="237" customWidth="1"/>
    <col min="14343" max="14343" width="14.85546875" style="237" customWidth="1"/>
    <col min="14344" max="14344" width="10.28515625" style="237" customWidth="1"/>
    <col min="14345" max="14345" width="14.42578125" style="237" customWidth="1"/>
    <col min="14346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5.85546875" style="237" customWidth="1"/>
    <col min="14596" max="14598" width="2" style="237" customWidth="1"/>
    <col min="14599" max="14599" width="14.85546875" style="237" customWidth="1"/>
    <col min="14600" max="14600" width="10.28515625" style="237" customWidth="1"/>
    <col min="14601" max="14601" width="14.42578125" style="237" customWidth="1"/>
    <col min="14602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5.85546875" style="237" customWidth="1"/>
    <col min="14852" max="14854" width="2" style="237" customWidth="1"/>
    <col min="14855" max="14855" width="14.85546875" style="237" customWidth="1"/>
    <col min="14856" max="14856" width="10.28515625" style="237" customWidth="1"/>
    <col min="14857" max="14857" width="14.42578125" style="237" customWidth="1"/>
    <col min="14858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5.85546875" style="237" customWidth="1"/>
    <col min="15108" max="15110" width="2" style="237" customWidth="1"/>
    <col min="15111" max="15111" width="14.85546875" style="237" customWidth="1"/>
    <col min="15112" max="15112" width="10.28515625" style="237" customWidth="1"/>
    <col min="15113" max="15113" width="14.42578125" style="237" customWidth="1"/>
    <col min="15114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5.85546875" style="237" customWidth="1"/>
    <col min="15364" max="15366" width="2" style="237" customWidth="1"/>
    <col min="15367" max="15367" width="14.85546875" style="237" customWidth="1"/>
    <col min="15368" max="15368" width="10.28515625" style="237" customWidth="1"/>
    <col min="15369" max="15369" width="14.42578125" style="237" customWidth="1"/>
    <col min="15370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5.85546875" style="237" customWidth="1"/>
    <col min="15620" max="15622" width="2" style="237" customWidth="1"/>
    <col min="15623" max="15623" width="14.85546875" style="237" customWidth="1"/>
    <col min="15624" max="15624" width="10.28515625" style="237" customWidth="1"/>
    <col min="15625" max="15625" width="14.42578125" style="237" customWidth="1"/>
    <col min="15626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5.85546875" style="237" customWidth="1"/>
    <col min="15876" max="15878" width="2" style="237" customWidth="1"/>
    <col min="15879" max="15879" width="14.85546875" style="237" customWidth="1"/>
    <col min="15880" max="15880" width="10.28515625" style="237" customWidth="1"/>
    <col min="15881" max="15881" width="14.42578125" style="237" customWidth="1"/>
    <col min="15882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5.85546875" style="237" customWidth="1"/>
    <col min="16132" max="16134" width="2" style="237" customWidth="1"/>
    <col min="16135" max="16135" width="14.85546875" style="237" customWidth="1"/>
    <col min="16136" max="16136" width="10.28515625" style="237" customWidth="1"/>
    <col min="16137" max="16137" width="14.42578125" style="237" customWidth="1"/>
    <col min="16138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879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878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877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27.75" customHeight="1" x14ac:dyDescent="0.25">
      <c r="B21" s="281" t="s">
        <v>449</v>
      </c>
      <c r="C21" s="292"/>
      <c r="D21" s="389" t="s">
        <v>857</v>
      </c>
      <c r="E21" s="390"/>
      <c r="F21" s="390"/>
      <c r="G21" s="390"/>
      <c r="H21" s="391"/>
      <c r="I21" s="337">
        <v>4</v>
      </c>
      <c r="J21" s="336">
        <v>450</v>
      </c>
      <c r="K21" s="335">
        <v>1</v>
      </c>
      <c r="L21" s="334" t="s">
        <v>11</v>
      </c>
      <c r="M21" s="333">
        <f>J21*I21</f>
        <v>1800</v>
      </c>
      <c r="N21" s="272">
        <f>M21*20/120</f>
        <v>300</v>
      </c>
    </row>
    <row r="22" spans="2:14" ht="12.75" customHeight="1" x14ac:dyDescent="0.25">
      <c r="B22" s="396" t="s">
        <v>464</v>
      </c>
      <c r="C22" s="396"/>
      <c r="D22" s="396"/>
      <c r="E22" s="396"/>
      <c r="F22" s="396"/>
      <c r="G22" s="396"/>
      <c r="H22" s="396"/>
      <c r="I22" s="299">
        <v>4</v>
      </c>
      <c r="J22" s="393" t="s">
        <v>435</v>
      </c>
      <c r="K22" s="393"/>
      <c r="L22" s="393"/>
      <c r="M22" s="273">
        <f>M21</f>
        <v>1800</v>
      </c>
      <c r="N22" s="276">
        <f>M22*20/120</f>
        <v>300</v>
      </c>
    </row>
    <row r="23" spans="2:14" ht="5.25" customHeight="1" x14ac:dyDescent="0.25"/>
    <row r="24" spans="2:14" ht="12.75" customHeight="1" x14ac:dyDescent="0.25">
      <c r="B24" s="392" t="s">
        <v>864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11.25" customHeight="1" x14ac:dyDescent="0.25"/>
    <row r="26" spans="2:14" ht="15" customHeight="1" x14ac:dyDescent="0.25">
      <c r="C26" s="287" t="s">
        <v>876</v>
      </c>
    </row>
    <row r="27" spans="2:14" ht="11.25" customHeight="1" thickBot="1" x14ac:dyDescent="0.3">
      <c r="B27" s="286"/>
      <c r="C27" s="285"/>
      <c r="D27" s="285"/>
      <c r="H27" s="285"/>
      <c r="I27" s="285"/>
      <c r="M27" s="284"/>
      <c r="N27" s="284"/>
    </row>
    <row r="28" spans="2:14" ht="12.75" customHeight="1" thickBot="1" x14ac:dyDescent="0.3">
      <c r="B28" s="282" t="s">
        <v>461</v>
      </c>
      <c r="C28" s="283" t="s">
        <v>460</v>
      </c>
      <c r="D28" s="511" t="s">
        <v>459</v>
      </c>
      <c r="E28" s="511"/>
      <c r="F28" s="511"/>
      <c r="G28" s="511"/>
      <c r="H28" s="511"/>
      <c r="I28" s="511"/>
      <c r="J28" s="282" t="s">
        <v>458</v>
      </c>
      <c r="K28" s="282" t="s">
        <v>457</v>
      </c>
      <c r="L28" s="282" t="s">
        <v>456</v>
      </c>
      <c r="M28" s="282" t="s">
        <v>455</v>
      </c>
      <c r="N28" s="282" t="s">
        <v>454</v>
      </c>
    </row>
    <row r="29" spans="2:14" ht="12.75" customHeight="1" thickBot="1" x14ac:dyDescent="0.3">
      <c r="B29" s="282" t="s">
        <v>449</v>
      </c>
      <c r="C29" s="283" t="s">
        <v>446</v>
      </c>
      <c r="D29" s="511" t="s">
        <v>443</v>
      </c>
      <c r="E29" s="511"/>
      <c r="F29" s="511"/>
      <c r="G29" s="511"/>
      <c r="H29" s="511"/>
      <c r="I29" s="511"/>
      <c r="J29" s="282" t="s">
        <v>440</v>
      </c>
      <c r="K29" s="282" t="s">
        <v>453</v>
      </c>
      <c r="L29" s="282" t="s">
        <v>452</v>
      </c>
      <c r="M29" s="282" t="s">
        <v>451</v>
      </c>
      <c r="N29" s="282" t="s">
        <v>450</v>
      </c>
    </row>
    <row r="30" spans="2:14" s="275" customFormat="1" ht="13.5" customHeight="1" x14ac:dyDescent="0.25">
      <c r="B30" s="281" t="s">
        <v>449</v>
      </c>
      <c r="C30" s="280"/>
      <c r="D30" s="512"/>
      <c r="E30" s="512"/>
      <c r="F30" s="512"/>
      <c r="G30" s="512"/>
      <c r="H30" s="512"/>
      <c r="I30" s="512"/>
      <c r="J30" s="291">
        <v>0</v>
      </c>
      <c r="K30" s="279" t="s">
        <v>437</v>
      </c>
      <c r="L30" s="278">
        <v>0</v>
      </c>
      <c r="M30" s="277">
        <f>L30*J30</f>
        <v>0</v>
      </c>
      <c r="N30" s="276">
        <f>M30*20/120</f>
        <v>0</v>
      </c>
    </row>
    <row r="31" spans="2:14" ht="12.75" customHeight="1" x14ac:dyDescent="0.25">
      <c r="B31" s="396" t="s">
        <v>436</v>
      </c>
      <c r="C31" s="396"/>
      <c r="D31" s="396"/>
      <c r="E31" s="396"/>
      <c r="F31" s="396"/>
      <c r="G31" s="396"/>
      <c r="H31" s="396"/>
      <c r="I31" s="396"/>
      <c r="J31" s="299">
        <v>0</v>
      </c>
      <c r="K31" s="393" t="s">
        <v>435</v>
      </c>
      <c r="L31" s="393"/>
      <c r="M31" s="273">
        <v>0</v>
      </c>
      <c r="N31" s="276">
        <f>M31*20/120</f>
        <v>0</v>
      </c>
    </row>
    <row r="32" spans="2:14" ht="5.25" customHeight="1" x14ac:dyDescent="0.25"/>
    <row r="33" spans="2:14" ht="12.75" customHeight="1" x14ac:dyDescent="0.25"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</row>
    <row r="34" spans="2:14" ht="11.25" customHeight="1" thickBot="1" x14ac:dyDescent="0.3"/>
    <row r="35" spans="2:14" ht="12.75" customHeight="1" thickTop="1" thickBot="1" x14ac:dyDescent="0.3">
      <c r="B35" s="271"/>
      <c r="C35" s="271"/>
      <c r="D35" s="271"/>
      <c r="E35" s="271"/>
      <c r="F35" s="271"/>
      <c r="G35" s="271"/>
      <c r="H35" s="271"/>
      <c r="I35" s="271"/>
      <c r="J35" s="271"/>
      <c r="K35" s="270"/>
      <c r="L35" s="270" t="s">
        <v>433</v>
      </c>
      <c r="M35" s="269">
        <f>M22+M31</f>
        <v>1800</v>
      </c>
      <c r="N35" s="268">
        <f>N22+N31</f>
        <v>300</v>
      </c>
    </row>
    <row r="36" spans="2:14" ht="5.25" customHeight="1" thickTop="1" x14ac:dyDescent="0.25"/>
    <row r="37" spans="2:14" ht="12.75" customHeight="1" x14ac:dyDescent="0.25">
      <c r="B37" s="388" t="s">
        <v>875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66" t="s">
        <v>431</v>
      </c>
      <c r="K40" s="384" t="s">
        <v>430</v>
      </c>
      <c r="L40" s="384"/>
      <c r="M40" s="384"/>
      <c r="N40" s="384"/>
    </row>
    <row r="41" spans="2:14" ht="6" customHeight="1" x14ac:dyDescent="0.25"/>
    <row r="42" spans="2:14" ht="48.75" customHeight="1" x14ac:dyDescent="0.25">
      <c r="B42" s="267"/>
      <c r="C42" s="385" t="s">
        <v>429</v>
      </c>
      <c r="D42" s="385"/>
      <c r="E42" s="385"/>
      <c r="F42" s="385"/>
      <c r="G42" s="385"/>
      <c r="H42" s="385"/>
      <c r="I42" s="385"/>
      <c r="J42" s="385"/>
      <c r="K42" s="385"/>
      <c r="L42" s="385"/>
      <c r="M42" s="385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386" t="s">
        <v>874</v>
      </c>
      <c r="C47" s="386"/>
      <c r="J47" s="266" t="s">
        <v>427</v>
      </c>
      <c r="K47" s="384" t="s">
        <v>425</v>
      </c>
      <c r="L47" s="384"/>
      <c r="M47" s="384"/>
      <c r="N47" s="384"/>
    </row>
    <row r="48" spans="2:14" ht="11.25" customHeight="1" x14ac:dyDescent="0.25"/>
    <row r="49" spans="2:14" ht="24.75" customHeight="1" x14ac:dyDescent="0.25">
      <c r="J49" s="266" t="s">
        <v>426</v>
      </c>
      <c r="K49" s="384" t="s">
        <v>425</v>
      </c>
      <c r="L49" s="384"/>
      <c r="M49" s="384"/>
      <c r="N49" s="384"/>
    </row>
    <row r="50" spans="2:14" ht="12.75" customHeight="1" x14ac:dyDescent="0.25"/>
    <row r="51" spans="2:14" ht="12.75" customHeight="1" x14ac:dyDescent="0.25">
      <c r="B51" s="509" t="s">
        <v>424</v>
      </c>
      <c r="C51" s="509"/>
    </row>
    <row r="52" spans="2:14" ht="22.15" customHeight="1" x14ac:dyDescent="0.25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</row>
    <row r="53" spans="2:14" ht="11.25" customHeight="1" x14ac:dyDescent="0.25"/>
  </sheetData>
  <mergeCells count="29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51:C51"/>
    <mergeCell ref="B52:N52"/>
    <mergeCell ref="D29:I29"/>
    <mergeCell ref="D30:I30"/>
    <mergeCell ref="B33:N33"/>
    <mergeCell ref="B37:N37"/>
    <mergeCell ref="K40:N40"/>
    <mergeCell ref="B31:I31"/>
    <mergeCell ref="K31:L31"/>
    <mergeCell ref="C42:M42"/>
    <mergeCell ref="B47:C47"/>
    <mergeCell ref="K47:N47"/>
    <mergeCell ref="B22:H22"/>
    <mergeCell ref="J22:L22"/>
    <mergeCell ref="B24:N24"/>
    <mergeCell ref="D28:I28"/>
    <mergeCell ref="K49:N49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2A59-CB0B-471F-B758-D299FA4AD962}">
  <sheetPr codeName="Лист28">
    <pageSetUpPr fitToPage="1"/>
  </sheetPr>
  <dimension ref="B1:N53"/>
  <sheetViews>
    <sheetView workbookViewId="0">
      <selection activeCell="Q9" sqref="Q9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5.85546875" style="237" customWidth="1"/>
    <col min="4" max="6" width="2" style="237" customWidth="1"/>
    <col min="7" max="7" width="14.85546875" style="237" customWidth="1"/>
    <col min="8" max="8" width="12.5703125" style="237" customWidth="1"/>
    <col min="9" max="9" width="14.42578125" style="237" customWidth="1"/>
    <col min="10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5.85546875" style="237" customWidth="1"/>
    <col min="260" max="262" width="2" style="237" customWidth="1"/>
    <col min="263" max="263" width="14.85546875" style="237" customWidth="1"/>
    <col min="264" max="264" width="10.28515625" style="237" customWidth="1"/>
    <col min="265" max="265" width="14.42578125" style="237" customWidth="1"/>
    <col min="266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5.85546875" style="237" customWidth="1"/>
    <col min="516" max="518" width="2" style="237" customWidth="1"/>
    <col min="519" max="519" width="14.85546875" style="237" customWidth="1"/>
    <col min="520" max="520" width="10.28515625" style="237" customWidth="1"/>
    <col min="521" max="521" width="14.42578125" style="237" customWidth="1"/>
    <col min="522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5.85546875" style="237" customWidth="1"/>
    <col min="772" max="774" width="2" style="237" customWidth="1"/>
    <col min="775" max="775" width="14.85546875" style="237" customWidth="1"/>
    <col min="776" max="776" width="10.28515625" style="237" customWidth="1"/>
    <col min="777" max="777" width="14.42578125" style="237" customWidth="1"/>
    <col min="778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5.85546875" style="237" customWidth="1"/>
    <col min="1028" max="1030" width="2" style="237" customWidth="1"/>
    <col min="1031" max="1031" width="14.85546875" style="237" customWidth="1"/>
    <col min="1032" max="1032" width="10.28515625" style="237" customWidth="1"/>
    <col min="1033" max="1033" width="14.42578125" style="237" customWidth="1"/>
    <col min="1034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5.85546875" style="237" customWidth="1"/>
    <col min="1284" max="1286" width="2" style="237" customWidth="1"/>
    <col min="1287" max="1287" width="14.85546875" style="237" customWidth="1"/>
    <col min="1288" max="1288" width="10.28515625" style="237" customWidth="1"/>
    <col min="1289" max="1289" width="14.42578125" style="237" customWidth="1"/>
    <col min="1290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5.85546875" style="237" customWidth="1"/>
    <col min="1540" max="1542" width="2" style="237" customWidth="1"/>
    <col min="1543" max="1543" width="14.85546875" style="237" customWidth="1"/>
    <col min="1544" max="1544" width="10.28515625" style="237" customWidth="1"/>
    <col min="1545" max="1545" width="14.42578125" style="237" customWidth="1"/>
    <col min="1546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5.85546875" style="237" customWidth="1"/>
    <col min="1796" max="1798" width="2" style="237" customWidth="1"/>
    <col min="1799" max="1799" width="14.85546875" style="237" customWidth="1"/>
    <col min="1800" max="1800" width="10.28515625" style="237" customWidth="1"/>
    <col min="1801" max="1801" width="14.42578125" style="237" customWidth="1"/>
    <col min="1802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5.85546875" style="237" customWidth="1"/>
    <col min="2052" max="2054" width="2" style="237" customWidth="1"/>
    <col min="2055" max="2055" width="14.85546875" style="237" customWidth="1"/>
    <col min="2056" max="2056" width="10.28515625" style="237" customWidth="1"/>
    <col min="2057" max="2057" width="14.42578125" style="237" customWidth="1"/>
    <col min="2058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5.85546875" style="237" customWidth="1"/>
    <col min="2308" max="2310" width="2" style="237" customWidth="1"/>
    <col min="2311" max="2311" width="14.85546875" style="237" customWidth="1"/>
    <col min="2312" max="2312" width="10.28515625" style="237" customWidth="1"/>
    <col min="2313" max="2313" width="14.42578125" style="237" customWidth="1"/>
    <col min="2314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5.85546875" style="237" customWidth="1"/>
    <col min="2564" max="2566" width="2" style="237" customWidth="1"/>
    <col min="2567" max="2567" width="14.85546875" style="237" customWidth="1"/>
    <col min="2568" max="2568" width="10.28515625" style="237" customWidth="1"/>
    <col min="2569" max="2569" width="14.42578125" style="237" customWidth="1"/>
    <col min="2570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5.85546875" style="237" customWidth="1"/>
    <col min="2820" max="2822" width="2" style="237" customWidth="1"/>
    <col min="2823" max="2823" width="14.85546875" style="237" customWidth="1"/>
    <col min="2824" max="2824" width="10.28515625" style="237" customWidth="1"/>
    <col min="2825" max="2825" width="14.42578125" style="237" customWidth="1"/>
    <col min="2826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5.85546875" style="237" customWidth="1"/>
    <col min="3076" max="3078" width="2" style="237" customWidth="1"/>
    <col min="3079" max="3079" width="14.85546875" style="237" customWidth="1"/>
    <col min="3080" max="3080" width="10.28515625" style="237" customWidth="1"/>
    <col min="3081" max="3081" width="14.42578125" style="237" customWidth="1"/>
    <col min="3082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5.85546875" style="237" customWidth="1"/>
    <col min="3332" max="3334" width="2" style="237" customWidth="1"/>
    <col min="3335" max="3335" width="14.85546875" style="237" customWidth="1"/>
    <col min="3336" max="3336" width="10.28515625" style="237" customWidth="1"/>
    <col min="3337" max="3337" width="14.42578125" style="237" customWidth="1"/>
    <col min="3338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5.85546875" style="237" customWidth="1"/>
    <col min="3588" max="3590" width="2" style="237" customWidth="1"/>
    <col min="3591" max="3591" width="14.85546875" style="237" customWidth="1"/>
    <col min="3592" max="3592" width="10.28515625" style="237" customWidth="1"/>
    <col min="3593" max="3593" width="14.42578125" style="237" customWidth="1"/>
    <col min="3594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5.85546875" style="237" customWidth="1"/>
    <col min="3844" max="3846" width="2" style="237" customWidth="1"/>
    <col min="3847" max="3847" width="14.85546875" style="237" customWidth="1"/>
    <col min="3848" max="3848" width="10.28515625" style="237" customWidth="1"/>
    <col min="3849" max="3849" width="14.42578125" style="237" customWidth="1"/>
    <col min="3850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5.85546875" style="237" customWidth="1"/>
    <col min="4100" max="4102" width="2" style="237" customWidth="1"/>
    <col min="4103" max="4103" width="14.85546875" style="237" customWidth="1"/>
    <col min="4104" max="4104" width="10.28515625" style="237" customWidth="1"/>
    <col min="4105" max="4105" width="14.42578125" style="237" customWidth="1"/>
    <col min="4106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5.85546875" style="237" customWidth="1"/>
    <col min="4356" max="4358" width="2" style="237" customWidth="1"/>
    <col min="4359" max="4359" width="14.85546875" style="237" customWidth="1"/>
    <col min="4360" max="4360" width="10.28515625" style="237" customWidth="1"/>
    <col min="4361" max="4361" width="14.42578125" style="237" customWidth="1"/>
    <col min="4362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5.85546875" style="237" customWidth="1"/>
    <col min="4612" max="4614" width="2" style="237" customWidth="1"/>
    <col min="4615" max="4615" width="14.85546875" style="237" customWidth="1"/>
    <col min="4616" max="4616" width="10.28515625" style="237" customWidth="1"/>
    <col min="4617" max="4617" width="14.42578125" style="237" customWidth="1"/>
    <col min="4618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5.85546875" style="237" customWidth="1"/>
    <col min="4868" max="4870" width="2" style="237" customWidth="1"/>
    <col min="4871" max="4871" width="14.85546875" style="237" customWidth="1"/>
    <col min="4872" max="4872" width="10.28515625" style="237" customWidth="1"/>
    <col min="4873" max="4873" width="14.42578125" style="237" customWidth="1"/>
    <col min="4874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5.85546875" style="237" customWidth="1"/>
    <col min="5124" max="5126" width="2" style="237" customWidth="1"/>
    <col min="5127" max="5127" width="14.85546875" style="237" customWidth="1"/>
    <col min="5128" max="5128" width="10.28515625" style="237" customWidth="1"/>
    <col min="5129" max="5129" width="14.42578125" style="237" customWidth="1"/>
    <col min="5130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5.85546875" style="237" customWidth="1"/>
    <col min="5380" max="5382" width="2" style="237" customWidth="1"/>
    <col min="5383" max="5383" width="14.85546875" style="237" customWidth="1"/>
    <col min="5384" max="5384" width="10.28515625" style="237" customWidth="1"/>
    <col min="5385" max="5385" width="14.42578125" style="237" customWidth="1"/>
    <col min="5386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5.85546875" style="237" customWidth="1"/>
    <col min="5636" max="5638" width="2" style="237" customWidth="1"/>
    <col min="5639" max="5639" width="14.85546875" style="237" customWidth="1"/>
    <col min="5640" max="5640" width="10.28515625" style="237" customWidth="1"/>
    <col min="5641" max="5641" width="14.42578125" style="237" customWidth="1"/>
    <col min="5642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5.85546875" style="237" customWidth="1"/>
    <col min="5892" max="5894" width="2" style="237" customWidth="1"/>
    <col min="5895" max="5895" width="14.85546875" style="237" customWidth="1"/>
    <col min="5896" max="5896" width="10.28515625" style="237" customWidth="1"/>
    <col min="5897" max="5897" width="14.42578125" style="237" customWidth="1"/>
    <col min="5898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5.85546875" style="237" customWidth="1"/>
    <col min="6148" max="6150" width="2" style="237" customWidth="1"/>
    <col min="6151" max="6151" width="14.85546875" style="237" customWidth="1"/>
    <col min="6152" max="6152" width="10.28515625" style="237" customWidth="1"/>
    <col min="6153" max="6153" width="14.42578125" style="237" customWidth="1"/>
    <col min="6154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5.85546875" style="237" customWidth="1"/>
    <col min="6404" max="6406" width="2" style="237" customWidth="1"/>
    <col min="6407" max="6407" width="14.85546875" style="237" customWidth="1"/>
    <col min="6408" max="6408" width="10.28515625" style="237" customWidth="1"/>
    <col min="6409" max="6409" width="14.42578125" style="237" customWidth="1"/>
    <col min="6410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5.85546875" style="237" customWidth="1"/>
    <col min="6660" max="6662" width="2" style="237" customWidth="1"/>
    <col min="6663" max="6663" width="14.85546875" style="237" customWidth="1"/>
    <col min="6664" max="6664" width="10.28515625" style="237" customWidth="1"/>
    <col min="6665" max="6665" width="14.42578125" style="237" customWidth="1"/>
    <col min="6666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5.85546875" style="237" customWidth="1"/>
    <col min="6916" max="6918" width="2" style="237" customWidth="1"/>
    <col min="6919" max="6919" width="14.85546875" style="237" customWidth="1"/>
    <col min="6920" max="6920" width="10.28515625" style="237" customWidth="1"/>
    <col min="6921" max="6921" width="14.42578125" style="237" customWidth="1"/>
    <col min="6922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5.85546875" style="237" customWidth="1"/>
    <col min="7172" max="7174" width="2" style="237" customWidth="1"/>
    <col min="7175" max="7175" width="14.85546875" style="237" customWidth="1"/>
    <col min="7176" max="7176" width="10.28515625" style="237" customWidth="1"/>
    <col min="7177" max="7177" width="14.42578125" style="237" customWidth="1"/>
    <col min="7178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5.85546875" style="237" customWidth="1"/>
    <col min="7428" max="7430" width="2" style="237" customWidth="1"/>
    <col min="7431" max="7431" width="14.85546875" style="237" customWidth="1"/>
    <col min="7432" max="7432" width="10.28515625" style="237" customWidth="1"/>
    <col min="7433" max="7433" width="14.42578125" style="237" customWidth="1"/>
    <col min="7434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5.85546875" style="237" customWidth="1"/>
    <col min="7684" max="7686" width="2" style="237" customWidth="1"/>
    <col min="7687" max="7687" width="14.85546875" style="237" customWidth="1"/>
    <col min="7688" max="7688" width="10.28515625" style="237" customWidth="1"/>
    <col min="7689" max="7689" width="14.42578125" style="237" customWidth="1"/>
    <col min="7690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5.85546875" style="237" customWidth="1"/>
    <col min="7940" max="7942" width="2" style="237" customWidth="1"/>
    <col min="7943" max="7943" width="14.85546875" style="237" customWidth="1"/>
    <col min="7944" max="7944" width="10.28515625" style="237" customWidth="1"/>
    <col min="7945" max="7945" width="14.42578125" style="237" customWidth="1"/>
    <col min="7946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5.85546875" style="237" customWidth="1"/>
    <col min="8196" max="8198" width="2" style="237" customWidth="1"/>
    <col min="8199" max="8199" width="14.85546875" style="237" customWidth="1"/>
    <col min="8200" max="8200" width="10.28515625" style="237" customWidth="1"/>
    <col min="8201" max="8201" width="14.42578125" style="237" customWidth="1"/>
    <col min="8202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5.85546875" style="237" customWidth="1"/>
    <col min="8452" max="8454" width="2" style="237" customWidth="1"/>
    <col min="8455" max="8455" width="14.85546875" style="237" customWidth="1"/>
    <col min="8456" max="8456" width="10.28515625" style="237" customWidth="1"/>
    <col min="8457" max="8457" width="14.42578125" style="237" customWidth="1"/>
    <col min="8458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5.85546875" style="237" customWidth="1"/>
    <col min="8708" max="8710" width="2" style="237" customWidth="1"/>
    <col min="8711" max="8711" width="14.85546875" style="237" customWidth="1"/>
    <col min="8712" max="8712" width="10.28515625" style="237" customWidth="1"/>
    <col min="8713" max="8713" width="14.42578125" style="237" customWidth="1"/>
    <col min="8714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5.85546875" style="237" customWidth="1"/>
    <col min="8964" max="8966" width="2" style="237" customWidth="1"/>
    <col min="8967" max="8967" width="14.85546875" style="237" customWidth="1"/>
    <col min="8968" max="8968" width="10.28515625" style="237" customWidth="1"/>
    <col min="8969" max="8969" width="14.42578125" style="237" customWidth="1"/>
    <col min="8970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5.85546875" style="237" customWidth="1"/>
    <col min="9220" max="9222" width="2" style="237" customWidth="1"/>
    <col min="9223" max="9223" width="14.85546875" style="237" customWidth="1"/>
    <col min="9224" max="9224" width="10.28515625" style="237" customWidth="1"/>
    <col min="9225" max="9225" width="14.42578125" style="237" customWidth="1"/>
    <col min="9226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5.85546875" style="237" customWidth="1"/>
    <col min="9476" max="9478" width="2" style="237" customWidth="1"/>
    <col min="9479" max="9479" width="14.85546875" style="237" customWidth="1"/>
    <col min="9480" max="9480" width="10.28515625" style="237" customWidth="1"/>
    <col min="9481" max="9481" width="14.42578125" style="237" customWidth="1"/>
    <col min="9482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5.85546875" style="237" customWidth="1"/>
    <col min="9732" max="9734" width="2" style="237" customWidth="1"/>
    <col min="9735" max="9735" width="14.85546875" style="237" customWidth="1"/>
    <col min="9736" max="9736" width="10.28515625" style="237" customWidth="1"/>
    <col min="9737" max="9737" width="14.42578125" style="237" customWidth="1"/>
    <col min="9738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5.85546875" style="237" customWidth="1"/>
    <col min="9988" max="9990" width="2" style="237" customWidth="1"/>
    <col min="9991" max="9991" width="14.85546875" style="237" customWidth="1"/>
    <col min="9992" max="9992" width="10.28515625" style="237" customWidth="1"/>
    <col min="9993" max="9993" width="14.42578125" style="237" customWidth="1"/>
    <col min="9994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5.85546875" style="237" customWidth="1"/>
    <col min="10244" max="10246" width="2" style="237" customWidth="1"/>
    <col min="10247" max="10247" width="14.85546875" style="237" customWidth="1"/>
    <col min="10248" max="10248" width="10.28515625" style="237" customWidth="1"/>
    <col min="10249" max="10249" width="14.42578125" style="237" customWidth="1"/>
    <col min="10250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5.85546875" style="237" customWidth="1"/>
    <col min="10500" max="10502" width="2" style="237" customWidth="1"/>
    <col min="10503" max="10503" width="14.85546875" style="237" customWidth="1"/>
    <col min="10504" max="10504" width="10.28515625" style="237" customWidth="1"/>
    <col min="10505" max="10505" width="14.42578125" style="237" customWidth="1"/>
    <col min="10506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5.85546875" style="237" customWidth="1"/>
    <col min="10756" max="10758" width="2" style="237" customWidth="1"/>
    <col min="10759" max="10759" width="14.85546875" style="237" customWidth="1"/>
    <col min="10760" max="10760" width="10.28515625" style="237" customWidth="1"/>
    <col min="10761" max="10761" width="14.42578125" style="237" customWidth="1"/>
    <col min="10762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5.85546875" style="237" customWidth="1"/>
    <col min="11012" max="11014" width="2" style="237" customWidth="1"/>
    <col min="11015" max="11015" width="14.85546875" style="237" customWidth="1"/>
    <col min="11016" max="11016" width="10.28515625" style="237" customWidth="1"/>
    <col min="11017" max="11017" width="14.42578125" style="237" customWidth="1"/>
    <col min="11018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5.85546875" style="237" customWidth="1"/>
    <col min="11268" max="11270" width="2" style="237" customWidth="1"/>
    <col min="11271" max="11271" width="14.85546875" style="237" customWidth="1"/>
    <col min="11272" max="11272" width="10.28515625" style="237" customWidth="1"/>
    <col min="11273" max="11273" width="14.42578125" style="237" customWidth="1"/>
    <col min="11274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5.85546875" style="237" customWidth="1"/>
    <col min="11524" max="11526" width="2" style="237" customWidth="1"/>
    <col min="11527" max="11527" width="14.85546875" style="237" customWidth="1"/>
    <col min="11528" max="11528" width="10.28515625" style="237" customWidth="1"/>
    <col min="11529" max="11529" width="14.42578125" style="237" customWidth="1"/>
    <col min="11530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5.85546875" style="237" customWidth="1"/>
    <col min="11780" max="11782" width="2" style="237" customWidth="1"/>
    <col min="11783" max="11783" width="14.85546875" style="237" customWidth="1"/>
    <col min="11784" max="11784" width="10.28515625" style="237" customWidth="1"/>
    <col min="11785" max="11785" width="14.42578125" style="237" customWidth="1"/>
    <col min="11786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5.85546875" style="237" customWidth="1"/>
    <col min="12036" max="12038" width="2" style="237" customWidth="1"/>
    <col min="12039" max="12039" width="14.85546875" style="237" customWidth="1"/>
    <col min="12040" max="12040" width="10.28515625" style="237" customWidth="1"/>
    <col min="12041" max="12041" width="14.42578125" style="237" customWidth="1"/>
    <col min="12042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5.85546875" style="237" customWidth="1"/>
    <col min="12292" max="12294" width="2" style="237" customWidth="1"/>
    <col min="12295" max="12295" width="14.85546875" style="237" customWidth="1"/>
    <col min="12296" max="12296" width="10.28515625" style="237" customWidth="1"/>
    <col min="12297" max="12297" width="14.42578125" style="237" customWidth="1"/>
    <col min="12298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5.85546875" style="237" customWidth="1"/>
    <col min="12548" max="12550" width="2" style="237" customWidth="1"/>
    <col min="12551" max="12551" width="14.85546875" style="237" customWidth="1"/>
    <col min="12552" max="12552" width="10.28515625" style="237" customWidth="1"/>
    <col min="12553" max="12553" width="14.42578125" style="237" customWidth="1"/>
    <col min="12554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5.85546875" style="237" customWidth="1"/>
    <col min="12804" max="12806" width="2" style="237" customWidth="1"/>
    <col min="12807" max="12807" width="14.85546875" style="237" customWidth="1"/>
    <col min="12808" max="12808" width="10.28515625" style="237" customWidth="1"/>
    <col min="12809" max="12809" width="14.42578125" style="237" customWidth="1"/>
    <col min="12810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5.85546875" style="237" customWidth="1"/>
    <col min="13060" max="13062" width="2" style="237" customWidth="1"/>
    <col min="13063" max="13063" width="14.85546875" style="237" customWidth="1"/>
    <col min="13064" max="13064" width="10.28515625" style="237" customWidth="1"/>
    <col min="13065" max="13065" width="14.42578125" style="237" customWidth="1"/>
    <col min="13066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5.85546875" style="237" customWidth="1"/>
    <col min="13316" max="13318" width="2" style="237" customWidth="1"/>
    <col min="13319" max="13319" width="14.85546875" style="237" customWidth="1"/>
    <col min="13320" max="13320" width="10.28515625" style="237" customWidth="1"/>
    <col min="13321" max="13321" width="14.42578125" style="237" customWidth="1"/>
    <col min="13322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5.85546875" style="237" customWidth="1"/>
    <col min="13572" max="13574" width="2" style="237" customWidth="1"/>
    <col min="13575" max="13575" width="14.85546875" style="237" customWidth="1"/>
    <col min="13576" max="13576" width="10.28515625" style="237" customWidth="1"/>
    <col min="13577" max="13577" width="14.42578125" style="237" customWidth="1"/>
    <col min="13578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5.85546875" style="237" customWidth="1"/>
    <col min="13828" max="13830" width="2" style="237" customWidth="1"/>
    <col min="13831" max="13831" width="14.85546875" style="237" customWidth="1"/>
    <col min="13832" max="13832" width="10.28515625" style="237" customWidth="1"/>
    <col min="13833" max="13833" width="14.42578125" style="237" customWidth="1"/>
    <col min="13834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5.85546875" style="237" customWidth="1"/>
    <col min="14084" max="14086" width="2" style="237" customWidth="1"/>
    <col min="14087" max="14087" width="14.85546875" style="237" customWidth="1"/>
    <col min="14088" max="14088" width="10.28515625" style="237" customWidth="1"/>
    <col min="14089" max="14089" width="14.42578125" style="237" customWidth="1"/>
    <col min="14090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5.85546875" style="237" customWidth="1"/>
    <col min="14340" max="14342" width="2" style="237" customWidth="1"/>
    <col min="14343" max="14343" width="14.85546875" style="237" customWidth="1"/>
    <col min="14344" max="14344" width="10.28515625" style="237" customWidth="1"/>
    <col min="14345" max="14345" width="14.42578125" style="237" customWidth="1"/>
    <col min="14346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5.85546875" style="237" customWidth="1"/>
    <col min="14596" max="14598" width="2" style="237" customWidth="1"/>
    <col min="14599" max="14599" width="14.85546875" style="237" customWidth="1"/>
    <col min="14600" max="14600" width="10.28515625" style="237" customWidth="1"/>
    <col min="14601" max="14601" width="14.42578125" style="237" customWidth="1"/>
    <col min="14602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5.85546875" style="237" customWidth="1"/>
    <col min="14852" max="14854" width="2" style="237" customWidth="1"/>
    <col min="14855" max="14855" width="14.85546875" style="237" customWidth="1"/>
    <col min="14856" max="14856" width="10.28515625" style="237" customWidth="1"/>
    <col min="14857" max="14857" width="14.42578125" style="237" customWidth="1"/>
    <col min="14858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5.85546875" style="237" customWidth="1"/>
    <col min="15108" max="15110" width="2" style="237" customWidth="1"/>
    <col min="15111" max="15111" width="14.85546875" style="237" customWidth="1"/>
    <col min="15112" max="15112" width="10.28515625" style="237" customWidth="1"/>
    <col min="15113" max="15113" width="14.42578125" style="237" customWidth="1"/>
    <col min="15114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5.85546875" style="237" customWidth="1"/>
    <col min="15364" max="15366" width="2" style="237" customWidth="1"/>
    <col min="15367" max="15367" width="14.85546875" style="237" customWidth="1"/>
    <col min="15368" max="15368" width="10.28515625" style="237" customWidth="1"/>
    <col min="15369" max="15369" width="14.42578125" style="237" customWidth="1"/>
    <col min="15370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5.85546875" style="237" customWidth="1"/>
    <col min="15620" max="15622" width="2" style="237" customWidth="1"/>
    <col min="15623" max="15623" width="14.85546875" style="237" customWidth="1"/>
    <col min="15624" max="15624" width="10.28515625" style="237" customWidth="1"/>
    <col min="15625" max="15625" width="14.42578125" style="237" customWidth="1"/>
    <col min="15626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5.85546875" style="237" customWidth="1"/>
    <col min="15876" max="15878" width="2" style="237" customWidth="1"/>
    <col min="15879" max="15879" width="14.85546875" style="237" customWidth="1"/>
    <col min="15880" max="15880" width="10.28515625" style="237" customWidth="1"/>
    <col min="15881" max="15881" width="14.42578125" style="237" customWidth="1"/>
    <col min="15882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5.85546875" style="237" customWidth="1"/>
    <col min="16132" max="16134" width="2" style="237" customWidth="1"/>
    <col min="16135" max="16135" width="14.85546875" style="237" customWidth="1"/>
    <col min="16136" max="16136" width="10.28515625" style="237" customWidth="1"/>
    <col min="16137" max="16137" width="14.42578125" style="237" customWidth="1"/>
    <col min="16138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886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513" t="s">
        <v>481</v>
      </c>
      <c r="C6" s="513"/>
      <c r="D6" s="513"/>
      <c r="E6" s="513"/>
      <c r="F6" s="513"/>
      <c r="G6" s="513"/>
      <c r="H6" s="514" t="s">
        <v>480</v>
      </c>
      <c r="I6" s="514"/>
      <c r="J6" s="514"/>
      <c r="K6" s="514"/>
      <c r="L6" s="514"/>
      <c r="M6" s="514"/>
      <c r="N6" s="514"/>
    </row>
    <row r="7" spans="2:14" ht="12.75" customHeight="1" x14ac:dyDescent="0.25">
      <c r="B7" s="515" t="s">
        <v>885</v>
      </c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513" t="s">
        <v>477</v>
      </c>
      <c r="C11" s="513"/>
      <c r="D11" s="513"/>
      <c r="E11" s="513"/>
      <c r="F11" s="513"/>
      <c r="G11" s="513"/>
      <c r="H11" s="513"/>
      <c r="I11" s="513"/>
      <c r="J11" s="513"/>
      <c r="K11" s="513"/>
      <c r="L11" s="513"/>
      <c r="M11" s="513"/>
      <c r="N11" s="513"/>
    </row>
    <row r="12" spans="2:14" ht="24.75" customHeight="1" x14ac:dyDescent="0.25">
      <c r="B12" s="513" t="s">
        <v>476</v>
      </c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3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884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511" t="s">
        <v>459</v>
      </c>
      <c r="E19" s="511"/>
      <c r="F19" s="511"/>
      <c r="G19" s="511"/>
      <c r="H19" s="511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511" t="s">
        <v>443</v>
      </c>
      <c r="E20" s="511"/>
      <c r="F20" s="511"/>
      <c r="G20" s="511"/>
      <c r="H20" s="511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37.5" customHeight="1" x14ac:dyDescent="0.25">
      <c r="B21" s="281" t="s">
        <v>449</v>
      </c>
      <c r="C21" s="292"/>
      <c r="D21" s="389" t="s">
        <v>883</v>
      </c>
      <c r="E21" s="390"/>
      <c r="F21" s="390"/>
      <c r="G21" s="390"/>
      <c r="H21" s="391"/>
      <c r="I21" s="337">
        <v>4</v>
      </c>
      <c r="J21" s="336">
        <v>600</v>
      </c>
      <c r="K21" s="335">
        <v>1</v>
      </c>
      <c r="L21" s="334" t="s">
        <v>11</v>
      </c>
      <c r="M21" s="333">
        <f>J21*I21</f>
        <v>2400</v>
      </c>
      <c r="N21" s="272">
        <f>M21*20/120</f>
        <v>400</v>
      </c>
    </row>
    <row r="22" spans="2:14" ht="12.75" customHeight="1" x14ac:dyDescent="0.25">
      <c r="B22" s="396" t="s">
        <v>464</v>
      </c>
      <c r="C22" s="396"/>
      <c r="D22" s="396"/>
      <c r="E22" s="396"/>
      <c r="F22" s="396"/>
      <c r="G22" s="396"/>
      <c r="H22" s="396"/>
      <c r="I22" s="299">
        <v>4</v>
      </c>
      <c r="J22" s="393" t="s">
        <v>435</v>
      </c>
      <c r="K22" s="393"/>
      <c r="L22" s="393"/>
      <c r="M22" s="273">
        <f>M21</f>
        <v>2400</v>
      </c>
      <c r="N22" s="276">
        <f>M22*20/120</f>
        <v>400</v>
      </c>
    </row>
    <row r="23" spans="2:14" ht="5.25" customHeight="1" x14ac:dyDescent="0.25"/>
    <row r="24" spans="2:14" ht="12.75" customHeight="1" x14ac:dyDescent="0.25">
      <c r="B24" s="392" t="s">
        <v>882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</row>
    <row r="25" spans="2:14" ht="11.25" customHeight="1" x14ac:dyDescent="0.25"/>
    <row r="26" spans="2:14" ht="15" customHeight="1" x14ac:dyDescent="0.25">
      <c r="C26" s="287" t="s">
        <v>881</v>
      </c>
    </row>
    <row r="27" spans="2:14" ht="11.25" customHeight="1" thickBot="1" x14ac:dyDescent="0.3">
      <c r="B27" s="286"/>
      <c r="C27" s="285"/>
      <c r="D27" s="285"/>
      <c r="H27" s="285"/>
      <c r="I27" s="285"/>
      <c r="M27" s="284"/>
      <c r="N27" s="284"/>
    </row>
    <row r="28" spans="2:14" ht="12.75" customHeight="1" thickBot="1" x14ac:dyDescent="0.3">
      <c r="B28" s="282" t="s">
        <v>461</v>
      </c>
      <c r="C28" s="283" t="s">
        <v>460</v>
      </c>
      <c r="D28" s="511" t="s">
        <v>459</v>
      </c>
      <c r="E28" s="511"/>
      <c r="F28" s="511"/>
      <c r="G28" s="511"/>
      <c r="H28" s="511"/>
      <c r="I28" s="511"/>
      <c r="J28" s="282" t="s">
        <v>458</v>
      </c>
      <c r="K28" s="282" t="s">
        <v>457</v>
      </c>
      <c r="L28" s="282" t="s">
        <v>456</v>
      </c>
      <c r="M28" s="282" t="s">
        <v>455</v>
      </c>
      <c r="N28" s="282" t="s">
        <v>454</v>
      </c>
    </row>
    <row r="29" spans="2:14" ht="12.75" customHeight="1" thickBot="1" x14ac:dyDescent="0.3">
      <c r="B29" s="282" t="s">
        <v>449</v>
      </c>
      <c r="C29" s="283" t="s">
        <v>446</v>
      </c>
      <c r="D29" s="511" t="s">
        <v>443</v>
      </c>
      <c r="E29" s="511"/>
      <c r="F29" s="511"/>
      <c r="G29" s="511"/>
      <c r="H29" s="511"/>
      <c r="I29" s="511"/>
      <c r="J29" s="282" t="s">
        <v>440</v>
      </c>
      <c r="K29" s="282" t="s">
        <v>453</v>
      </c>
      <c r="L29" s="282" t="s">
        <v>452</v>
      </c>
      <c r="M29" s="282" t="s">
        <v>451</v>
      </c>
      <c r="N29" s="282" t="s">
        <v>450</v>
      </c>
    </row>
    <row r="30" spans="2:14" s="275" customFormat="1" ht="13.5" customHeight="1" x14ac:dyDescent="0.25">
      <c r="B30" s="281" t="s">
        <v>449</v>
      </c>
      <c r="C30" s="280"/>
      <c r="D30" s="512"/>
      <c r="E30" s="512"/>
      <c r="F30" s="512"/>
      <c r="G30" s="512"/>
      <c r="H30" s="512"/>
      <c r="I30" s="512"/>
      <c r="J30" s="291">
        <v>0</v>
      </c>
      <c r="K30" s="279" t="s">
        <v>437</v>
      </c>
      <c r="L30" s="278">
        <v>0</v>
      </c>
      <c r="M30" s="277">
        <f>L30*J30</f>
        <v>0</v>
      </c>
      <c r="N30" s="276">
        <f>M30*20/120</f>
        <v>0</v>
      </c>
    </row>
    <row r="31" spans="2:14" ht="12.75" customHeight="1" x14ac:dyDescent="0.25">
      <c r="B31" s="396" t="s">
        <v>436</v>
      </c>
      <c r="C31" s="396"/>
      <c r="D31" s="396"/>
      <c r="E31" s="396"/>
      <c r="F31" s="396"/>
      <c r="G31" s="396"/>
      <c r="H31" s="396"/>
      <c r="I31" s="396"/>
      <c r="J31" s="299">
        <v>0</v>
      </c>
      <c r="K31" s="393" t="s">
        <v>435</v>
      </c>
      <c r="L31" s="393"/>
      <c r="M31" s="273">
        <v>0</v>
      </c>
      <c r="N31" s="276">
        <f>M31*20/120</f>
        <v>0</v>
      </c>
    </row>
    <row r="32" spans="2:14" ht="5.25" customHeight="1" x14ac:dyDescent="0.25"/>
    <row r="33" spans="2:14" ht="12.75" customHeight="1" x14ac:dyDescent="0.25">
      <c r="B33" s="392"/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</row>
    <row r="34" spans="2:14" ht="11.25" customHeight="1" thickBot="1" x14ac:dyDescent="0.3"/>
    <row r="35" spans="2:14" ht="12.75" customHeight="1" thickTop="1" thickBot="1" x14ac:dyDescent="0.3">
      <c r="B35" s="271"/>
      <c r="C35" s="271"/>
      <c r="D35" s="271"/>
      <c r="E35" s="271"/>
      <c r="F35" s="271"/>
      <c r="G35" s="271"/>
      <c r="H35" s="271"/>
      <c r="I35" s="271"/>
      <c r="J35" s="271"/>
      <c r="K35" s="270"/>
      <c r="L35" s="270" t="s">
        <v>433</v>
      </c>
      <c r="M35" s="269">
        <f>M22+M31</f>
        <v>2400</v>
      </c>
      <c r="N35" s="268">
        <f>N22+N31</f>
        <v>400</v>
      </c>
    </row>
    <row r="36" spans="2:14" ht="5.25" customHeight="1" thickTop="1" x14ac:dyDescent="0.25"/>
    <row r="37" spans="2:14" ht="12.75" customHeight="1" x14ac:dyDescent="0.25">
      <c r="B37" s="388" t="s">
        <v>862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</row>
    <row r="38" spans="2:14" ht="11.25" customHeight="1" x14ac:dyDescent="0.25"/>
    <row r="39" spans="2:14" ht="11.25" customHeight="1" x14ac:dyDescent="0.25"/>
    <row r="40" spans="2:14" ht="12.75" customHeight="1" x14ac:dyDescent="0.25">
      <c r="J40" s="266" t="s">
        <v>431</v>
      </c>
      <c r="K40" s="384" t="s">
        <v>430</v>
      </c>
      <c r="L40" s="384"/>
      <c r="M40" s="384"/>
      <c r="N40" s="384"/>
    </row>
    <row r="41" spans="2:14" ht="6" customHeight="1" x14ac:dyDescent="0.25"/>
    <row r="42" spans="2:14" ht="48.75" customHeight="1" x14ac:dyDescent="0.25">
      <c r="B42" s="267"/>
      <c r="C42" s="385" t="s">
        <v>429</v>
      </c>
      <c r="D42" s="385"/>
      <c r="E42" s="385"/>
      <c r="F42" s="385"/>
      <c r="G42" s="385"/>
      <c r="H42" s="385"/>
      <c r="I42" s="385"/>
      <c r="J42" s="385"/>
      <c r="K42" s="385"/>
      <c r="L42" s="385"/>
      <c r="M42" s="385"/>
    </row>
    <row r="43" spans="2:14" ht="6" customHeight="1" x14ac:dyDescent="0.25"/>
    <row r="44" spans="2:14" ht="1.1499999999999999" customHeight="1" x14ac:dyDescent="0.25"/>
    <row r="45" spans="2:14" ht="3.75" customHeight="1" x14ac:dyDescent="0.25"/>
    <row r="46" spans="2:14" ht="11.25" customHeight="1" x14ac:dyDescent="0.25"/>
    <row r="47" spans="2:14" ht="24.75" customHeight="1" x14ac:dyDescent="0.25">
      <c r="B47" s="386" t="s">
        <v>880</v>
      </c>
      <c r="C47" s="386"/>
      <c r="J47" s="266" t="s">
        <v>427</v>
      </c>
      <c r="K47" s="384" t="s">
        <v>425</v>
      </c>
      <c r="L47" s="384"/>
      <c r="M47" s="384"/>
      <c r="N47" s="384"/>
    </row>
    <row r="48" spans="2:14" ht="11.25" customHeight="1" x14ac:dyDescent="0.25"/>
    <row r="49" spans="2:14" ht="24.75" customHeight="1" x14ac:dyDescent="0.25">
      <c r="J49" s="266" t="s">
        <v>426</v>
      </c>
      <c r="K49" s="384" t="s">
        <v>425</v>
      </c>
      <c r="L49" s="384"/>
      <c r="M49" s="384"/>
      <c r="N49" s="384"/>
    </row>
    <row r="50" spans="2:14" ht="12.75" customHeight="1" x14ac:dyDescent="0.25"/>
    <row r="51" spans="2:14" ht="12.75" customHeight="1" x14ac:dyDescent="0.25">
      <c r="B51" s="509" t="s">
        <v>424</v>
      </c>
      <c r="C51" s="509"/>
    </row>
    <row r="52" spans="2:14" ht="22.15" customHeight="1" x14ac:dyDescent="0.25">
      <c r="B52" s="510"/>
      <c r="C52" s="510"/>
      <c r="D52" s="510"/>
      <c r="E52" s="510"/>
      <c r="F52" s="510"/>
      <c r="G52" s="510"/>
      <c r="H52" s="510"/>
      <c r="I52" s="510"/>
      <c r="J52" s="510"/>
      <c r="K52" s="510"/>
      <c r="L52" s="510"/>
      <c r="M52" s="510"/>
      <c r="N52" s="510"/>
    </row>
    <row r="53" spans="2:14" ht="11.25" customHeight="1" x14ac:dyDescent="0.25"/>
  </sheetData>
  <mergeCells count="29">
    <mergeCell ref="D30:I30"/>
    <mergeCell ref="B24:N24"/>
    <mergeCell ref="D19:H19"/>
    <mergeCell ref="D20:H20"/>
    <mergeCell ref="D28:I28"/>
    <mergeCell ref="D29:I29"/>
    <mergeCell ref="D21:H21"/>
    <mergeCell ref="J22:L22"/>
    <mergeCell ref="B1:J1"/>
    <mergeCell ref="B7:N7"/>
    <mergeCell ref="B11:N11"/>
    <mergeCell ref="B12:N12"/>
    <mergeCell ref="B22:H22"/>
    <mergeCell ref="M1:N3"/>
    <mergeCell ref="B2:J2"/>
    <mergeCell ref="C4:N4"/>
    <mergeCell ref="B6:G6"/>
    <mergeCell ref="H6:N6"/>
    <mergeCell ref="B31:I31"/>
    <mergeCell ref="B52:N52"/>
    <mergeCell ref="K31:L31"/>
    <mergeCell ref="B33:N33"/>
    <mergeCell ref="B37:N37"/>
    <mergeCell ref="K40:N40"/>
    <mergeCell ref="C42:M42"/>
    <mergeCell ref="B47:C47"/>
    <mergeCell ref="K47:N47"/>
    <mergeCell ref="K49:N49"/>
    <mergeCell ref="B51:C51"/>
  </mergeCells>
  <pageMargins left="0.7" right="0.7" top="0.75" bottom="0.75" header="0.3" footer="0.3"/>
  <pageSetup paperSize="9" scale="72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4EDA-ACCB-45D8-815A-132743126021}">
  <sheetPr codeName="Лист29">
    <pageSetUpPr fitToPage="1"/>
  </sheetPr>
  <dimension ref="B1:N60"/>
  <sheetViews>
    <sheetView workbookViewId="0">
      <selection activeCell="V23" sqref="V23"/>
    </sheetView>
  </sheetViews>
  <sheetFormatPr defaultColWidth="8.85546875" defaultRowHeight="11.25" x14ac:dyDescent="0.2"/>
  <cols>
    <col min="1" max="1" width="1" style="301" customWidth="1"/>
    <col min="2" max="2" width="5" style="301" customWidth="1"/>
    <col min="3" max="3" width="13.5703125" style="301" customWidth="1"/>
    <col min="4" max="6" width="2" style="301" customWidth="1"/>
    <col min="7" max="7" width="14.85546875" style="301" customWidth="1"/>
    <col min="8" max="12" width="9.28515625" style="301" customWidth="1"/>
    <col min="13" max="13" width="13" style="301" customWidth="1"/>
    <col min="14" max="14" width="10" style="301" customWidth="1"/>
    <col min="15" max="16384" width="8.85546875" style="301"/>
  </cols>
  <sheetData>
    <row r="1" spans="2:14" ht="24.75" customHeight="1" x14ac:dyDescent="0.2">
      <c r="B1" s="516" t="s">
        <v>484</v>
      </c>
      <c r="C1" s="516"/>
      <c r="D1" s="516"/>
      <c r="E1" s="516"/>
      <c r="F1" s="516"/>
      <c r="G1" s="516"/>
      <c r="H1" s="516"/>
      <c r="I1" s="516"/>
      <c r="J1" s="516"/>
      <c r="K1" s="330"/>
      <c r="M1" s="517"/>
      <c r="N1" s="517"/>
    </row>
    <row r="2" spans="2:14" ht="12.75" customHeight="1" x14ac:dyDescent="0.2">
      <c r="B2" s="518" t="s">
        <v>483</v>
      </c>
      <c r="C2" s="518"/>
      <c r="D2" s="518"/>
      <c r="E2" s="518"/>
      <c r="F2" s="518"/>
      <c r="G2" s="518"/>
      <c r="H2" s="518"/>
      <c r="I2" s="518"/>
      <c r="J2" s="518"/>
      <c r="K2" s="321"/>
      <c r="M2" s="517"/>
      <c r="N2" s="517"/>
    </row>
    <row r="3" spans="2:14" ht="11.25" customHeight="1" x14ac:dyDescent="0.2">
      <c r="M3" s="517"/>
      <c r="N3" s="517"/>
    </row>
    <row r="4" spans="2:14" ht="18.75" customHeight="1" x14ac:dyDescent="0.25">
      <c r="B4" s="303"/>
      <c r="C4" s="519" t="s">
        <v>902</v>
      </c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</row>
    <row r="5" spans="2:14" ht="11.25" customHeight="1" x14ac:dyDescent="0.2"/>
    <row r="6" spans="2:14" ht="28.5" customHeight="1" x14ac:dyDescent="0.2">
      <c r="B6" s="520" t="s">
        <v>481</v>
      </c>
      <c r="C6" s="520"/>
      <c r="D6" s="520"/>
      <c r="E6" s="520"/>
      <c r="F6" s="520"/>
      <c r="G6" s="520"/>
      <c r="H6" s="521" t="s">
        <v>480</v>
      </c>
      <c r="I6" s="521"/>
      <c r="J6" s="521"/>
      <c r="K6" s="521"/>
      <c r="L6" s="521"/>
      <c r="M6" s="521"/>
      <c r="N6" s="521"/>
    </row>
    <row r="7" spans="2:14" ht="12.75" customHeight="1" x14ac:dyDescent="0.2">
      <c r="B7" s="522" t="s">
        <v>901</v>
      </c>
      <c r="C7" s="522"/>
      <c r="D7" s="522"/>
      <c r="E7" s="522"/>
      <c r="F7" s="522"/>
      <c r="G7" s="522"/>
      <c r="H7" s="522"/>
      <c r="I7" s="522"/>
      <c r="J7" s="522"/>
      <c r="K7" s="522"/>
      <c r="L7" s="522"/>
      <c r="M7" s="522"/>
      <c r="N7" s="522"/>
    </row>
    <row r="8" spans="2:14" ht="7.9" customHeight="1" x14ac:dyDescent="0.2"/>
    <row r="9" spans="2:14" ht="11.25" customHeight="1" x14ac:dyDescent="0.2">
      <c r="B9" s="329" t="s">
        <v>478</v>
      </c>
    </row>
    <row r="10" spans="2:14" ht="11.25" customHeight="1" x14ac:dyDescent="0.2"/>
    <row r="11" spans="2:14" ht="12.75" customHeight="1" x14ac:dyDescent="0.2">
      <c r="B11" s="520" t="s">
        <v>477</v>
      </c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</row>
    <row r="12" spans="2:14" ht="24.75" customHeight="1" x14ac:dyDescent="0.2">
      <c r="B12" s="520" t="s">
        <v>476</v>
      </c>
      <c r="C12" s="520"/>
      <c r="D12" s="520"/>
      <c r="E12" s="520"/>
      <c r="F12" s="520"/>
      <c r="G12" s="520"/>
      <c r="H12" s="520"/>
      <c r="I12" s="520"/>
      <c r="J12" s="520"/>
      <c r="K12" s="520"/>
      <c r="L12" s="520"/>
      <c r="M12" s="520"/>
      <c r="N12" s="520"/>
    </row>
    <row r="13" spans="2:14" ht="7.9" customHeight="1" x14ac:dyDescent="0.2">
      <c r="C13" s="303"/>
      <c r="D13" s="303"/>
      <c r="H13" s="303"/>
      <c r="J13" s="303"/>
      <c r="K13" s="303"/>
      <c r="M13" s="303"/>
      <c r="N13" s="303"/>
    </row>
    <row r="14" spans="2:14" ht="12.75" customHeight="1" x14ac:dyDescent="0.2">
      <c r="N14" s="328" t="s">
        <v>475</v>
      </c>
    </row>
    <row r="15" spans="2:14" ht="19.899999999999999" customHeight="1" x14ac:dyDescent="0.2">
      <c r="N15" s="327" t="s">
        <v>474</v>
      </c>
    </row>
    <row r="16" spans="2:14" ht="11.25" customHeight="1" x14ac:dyDescent="0.2"/>
    <row r="17" spans="2:14" ht="15" customHeight="1" x14ac:dyDescent="0.25">
      <c r="C17" s="323" t="s">
        <v>900</v>
      </c>
    </row>
    <row r="18" spans="2:14" ht="11.25" customHeight="1" thickBot="1" x14ac:dyDescent="0.25">
      <c r="B18" s="322"/>
      <c r="M18" s="320"/>
    </row>
    <row r="19" spans="2:14" ht="12.75" customHeight="1" thickBot="1" x14ac:dyDescent="0.25">
      <c r="B19" s="318" t="s">
        <v>461</v>
      </c>
      <c r="C19" s="319" t="s">
        <v>460</v>
      </c>
      <c r="D19" s="523" t="s">
        <v>459</v>
      </c>
      <c r="E19" s="523"/>
      <c r="F19" s="523"/>
      <c r="G19" s="523"/>
      <c r="H19" s="523"/>
      <c r="I19" s="318" t="s">
        <v>472</v>
      </c>
      <c r="J19" s="318" t="s">
        <v>471</v>
      </c>
      <c r="K19" s="318" t="s">
        <v>470</v>
      </c>
      <c r="L19" s="318" t="s">
        <v>469</v>
      </c>
      <c r="M19" s="318" t="s">
        <v>455</v>
      </c>
      <c r="N19" s="318" t="s">
        <v>454</v>
      </c>
    </row>
    <row r="20" spans="2:14" ht="12.75" customHeight="1" thickBot="1" x14ac:dyDescent="0.25">
      <c r="B20" s="318" t="s">
        <v>449</v>
      </c>
      <c r="C20" s="319" t="s">
        <v>446</v>
      </c>
      <c r="D20" s="523" t="s">
        <v>443</v>
      </c>
      <c r="E20" s="523"/>
      <c r="F20" s="523"/>
      <c r="G20" s="523"/>
      <c r="H20" s="523"/>
      <c r="I20" s="318" t="s">
        <v>440</v>
      </c>
      <c r="J20" s="318" t="s">
        <v>453</v>
      </c>
      <c r="K20" s="318" t="s">
        <v>452</v>
      </c>
      <c r="L20" s="318" t="s">
        <v>451</v>
      </c>
      <c r="M20" s="318" t="s">
        <v>450</v>
      </c>
      <c r="N20" s="318" t="s">
        <v>468</v>
      </c>
    </row>
    <row r="21" spans="2:14" s="324" customFormat="1" ht="15" customHeight="1" thickBot="1" x14ac:dyDescent="0.3">
      <c r="B21" s="316" t="s">
        <v>449</v>
      </c>
      <c r="C21" s="315"/>
      <c r="D21" s="528" t="s">
        <v>511</v>
      </c>
      <c r="E21" s="529"/>
      <c r="F21" s="529"/>
      <c r="G21" s="529"/>
      <c r="H21" s="530"/>
      <c r="I21" s="317">
        <v>1</v>
      </c>
      <c r="J21" s="326">
        <v>800</v>
      </c>
      <c r="K21" s="325">
        <v>1</v>
      </c>
      <c r="L21" s="313" t="s">
        <v>11</v>
      </c>
      <c r="M21" s="311">
        <f>J21*I21</f>
        <v>800</v>
      </c>
      <c r="N21" s="308">
        <f t="shared" ref="N21:N26" si="0">M21*22/122</f>
        <v>144.26229508196721</v>
      </c>
    </row>
    <row r="22" spans="2:14" s="324" customFormat="1" ht="14.25" customHeight="1" thickBot="1" x14ac:dyDescent="0.3">
      <c r="B22" s="316" t="s">
        <v>446</v>
      </c>
      <c r="C22" s="315"/>
      <c r="D22" s="528" t="s">
        <v>465</v>
      </c>
      <c r="E22" s="529"/>
      <c r="F22" s="529"/>
      <c r="G22" s="529"/>
      <c r="H22" s="530"/>
      <c r="I22" s="317">
        <v>1</v>
      </c>
      <c r="J22" s="326">
        <v>200</v>
      </c>
      <c r="K22" s="325">
        <v>1</v>
      </c>
      <c r="L22" s="313" t="s">
        <v>11</v>
      </c>
      <c r="M22" s="311">
        <f>J22*I22</f>
        <v>200</v>
      </c>
      <c r="N22" s="308">
        <f t="shared" si="0"/>
        <v>36.065573770491802</v>
      </c>
    </row>
    <row r="23" spans="2:14" s="324" customFormat="1" ht="13.5" customHeight="1" thickBot="1" x14ac:dyDescent="0.3">
      <c r="B23" s="316" t="s">
        <v>443</v>
      </c>
      <c r="C23" s="315"/>
      <c r="D23" s="528" t="s">
        <v>466</v>
      </c>
      <c r="E23" s="529"/>
      <c r="F23" s="529"/>
      <c r="G23" s="529"/>
      <c r="H23" s="530"/>
      <c r="I23" s="317">
        <v>1</v>
      </c>
      <c r="J23" s="326">
        <v>200</v>
      </c>
      <c r="K23" s="325">
        <v>1</v>
      </c>
      <c r="L23" s="313" t="s">
        <v>11</v>
      </c>
      <c r="M23" s="311">
        <f>J23*I23</f>
        <v>200</v>
      </c>
      <c r="N23" s="308">
        <f t="shared" si="0"/>
        <v>36.065573770491802</v>
      </c>
    </row>
    <row r="24" spans="2:14" s="324" customFormat="1" ht="12.75" customHeight="1" thickBot="1" x14ac:dyDescent="0.3">
      <c r="B24" s="316" t="s">
        <v>440</v>
      </c>
      <c r="C24" s="315"/>
      <c r="D24" s="528" t="s">
        <v>510</v>
      </c>
      <c r="E24" s="529"/>
      <c r="F24" s="529"/>
      <c r="G24" s="529"/>
      <c r="H24" s="530"/>
      <c r="I24" s="317">
        <v>1</v>
      </c>
      <c r="J24" s="326">
        <v>300</v>
      </c>
      <c r="K24" s="325">
        <v>1</v>
      </c>
      <c r="L24" s="313" t="s">
        <v>11</v>
      </c>
      <c r="M24" s="311">
        <f>J24*I24</f>
        <v>300</v>
      </c>
      <c r="N24" s="308">
        <f t="shared" si="0"/>
        <v>54.098360655737707</v>
      </c>
    </row>
    <row r="25" spans="2:14" s="324" customFormat="1" ht="15" customHeight="1" x14ac:dyDescent="0.25">
      <c r="B25" s="316" t="s">
        <v>453</v>
      </c>
      <c r="C25" s="315"/>
      <c r="D25" s="528" t="s">
        <v>899</v>
      </c>
      <c r="E25" s="529"/>
      <c r="F25" s="529"/>
      <c r="G25" s="529"/>
      <c r="H25" s="530"/>
      <c r="I25" s="317">
        <v>1</v>
      </c>
      <c r="J25" s="326">
        <v>1500</v>
      </c>
      <c r="K25" s="325">
        <v>1</v>
      </c>
      <c r="L25" s="313" t="s">
        <v>11</v>
      </c>
      <c r="M25" s="311">
        <f>J25*I25</f>
        <v>1500</v>
      </c>
      <c r="N25" s="308">
        <f t="shared" si="0"/>
        <v>270.49180327868851</v>
      </c>
    </row>
    <row r="26" spans="2:14" ht="12.75" customHeight="1" x14ac:dyDescent="0.2">
      <c r="B26" s="531" t="s">
        <v>464</v>
      </c>
      <c r="C26" s="531"/>
      <c r="D26" s="531"/>
      <c r="E26" s="531"/>
      <c r="F26" s="531"/>
      <c r="G26" s="531"/>
      <c r="H26" s="531"/>
      <c r="I26" s="310">
        <v>5</v>
      </c>
      <c r="J26" s="524" t="s">
        <v>435</v>
      </c>
      <c r="K26" s="524"/>
      <c r="L26" s="524"/>
      <c r="M26" s="309">
        <f>M21+M22+M23+M24+M25</f>
        <v>3000</v>
      </c>
      <c r="N26" s="308">
        <f t="shared" si="0"/>
        <v>540.98360655737702</v>
      </c>
    </row>
    <row r="27" spans="2:14" ht="5.25" customHeight="1" x14ac:dyDescent="0.2"/>
    <row r="28" spans="2:14" ht="12.75" customHeight="1" x14ac:dyDescent="0.2">
      <c r="B28" s="525" t="s">
        <v>898</v>
      </c>
      <c r="C28" s="525"/>
      <c r="D28" s="525"/>
      <c r="E28" s="525"/>
      <c r="F28" s="525"/>
      <c r="G28" s="525"/>
      <c r="H28" s="525"/>
      <c r="I28" s="525"/>
      <c r="J28" s="525"/>
      <c r="K28" s="525"/>
      <c r="L28" s="525"/>
      <c r="M28" s="525"/>
      <c r="N28" s="525"/>
    </row>
    <row r="29" spans="2:14" ht="11.25" customHeight="1" x14ac:dyDescent="0.2"/>
    <row r="30" spans="2:14" ht="15" customHeight="1" x14ac:dyDescent="0.25">
      <c r="C30" s="323" t="s">
        <v>897</v>
      </c>
    </row>
    <row r="31" spans="2:14" ht="11.25" customHeight="1" thickBot="1" x14ac:dyDescent="0.25">
      <c r="B31" s="322"/>
      <c r="C31" s="321"/>
      <c r="D31" s="321"/>
      <c r="H31" s="321"/>
      <c r="I31" s="321"/>
      <c r="M31" s="320"/>
      <c r="N31" s="320"/>
    </row>
    <row r="32" spans="2:14" ht="12.75" customHeight="1" thickBot="1" x14ac:dyDescent="0.25">
      <c r="B32" s="318" t="s">
        <v>461</v>
      </c>
      <c r="C32" s="319" t="s">
        <v>460</v>
      </c>
      <c r="D32" s="523" t="s">
        <v>459</v>
      </c>
      <c r="E32" s="523"/>
      <c r="F32" s="523"/>
      <c r="G32" s="523"/>
      <c r="H32" s="523"/>
      <c r="I32" s="523"/>
      <c r="J32" s="318" t="s">
        <v>458</v>
      </c>
      <c r="K32" s="318" t="s">
        <v>457</v>
      </c>
      <c r="L32" s="318" t="s">
        <v>456</v>
      </c>
      <c r="M32" s="318" t="s">
        <v>455</v>
      </c>
      <c r="N32" s="318" t="s">
        <v>454</v>
      </c>
    </row>
    <row r="33" spans="2:14" ht="12.75" customHeight="1" thickBot="1" x14ac:dyDescent="0.25">
      <c r="B33" s="318" t="s">
        <v>449</v>
      </c>
      <c r="C33" s="319" t="s">
        <v>446</v>
      </c>
      <c r="D33" s="523" t="s">
        <v>443</v>
      </c>
      <c r="E33" s="523"/>
      <c r="F33" s="523"/>
      <c r="G33" s="523"/>
      <c r="H33" s="523"/>
      <c r="I33" s="523"/>
      <c r="J33" s="318" t="s">
        <v>440</v>
      </c>
      <c r="K33" s="318" t="s">
        <v>453</v>
      </c>
      <c r="L33" s="318" t="s">
        <v>452</v>
      </c>
      <c r="M33" s="318" t="s">
        <v>451</v>
      </c>
      <c r="N33" s="318" t="s">
        <v>450</v>
      </c>
    </row>
    <row r="34" spans="2:14" ht="25.5" customHeight="1" thickBot="1" x14ac:dyDescent="0.25">
      <c r="B34" s="316" t="s">
        <v>449</v>
      </c>
      <c r="C34" s="315" t="s">
        <v>896</v>
      </c>
      <c r="D34" s="528" t="s">
        <v>895</v>
      </c>
      <c r="E34" s="529"/>
      <c r="F34" s="529"/>
      <c r="G34" s="529"/>
      <c r="H34" s="529"/>
      <c r="I34" s="530"/>
      <c r="J34" s="317">
        <v>1</v>
      </c>
      <c r="K34" s="313" t="s">
        <v>437</v>
      </c>
      <c r="L34" s="312">
        <v>1100</v>
      </c>
      <c r="M34" s="311">
        <f>L34*J34</f>
        <v>1100</v>
      </c>
      <c r="N34" s="308">
        <f>M34*22/122</f>
        <v>198.36065573770492</v>
      </c>
    </row>
    <row r="35" spans="2:14" ht="25.5" customHeight="1" thickBot="1" x14ac:dyDescent="0.25">
      <c r="B35" s="316" t="s">
        <v>446</v>
      </c>
      <c r="C35" s="315" t="s">
        <v>894</v>
      </c>
      <c r="D35" s="528" t="s">
        <v>893</v>
      </c>
      <c r="E35" s="529"/>
      <c r="F35" s="529"/>
      <c r="G35" s="529"/>
      <c r="H35" s="529"/>
      <c r="I35" s="530"/>
      <c r="J35" s="317">
        <v>1</v>
      </c>
      <c r="K35" s="313" t="s">
        <v>437</v>
      </c>
      <c r="L35" s="312">
        <v>750</v>
      </c>
      <c r="M35" s="311">
        <f>L35*J35</f>
        <v>750</v>
      </c>
      <c r="N35" s="308">
        <f>M35*22/122</f>
        <v>135.24590163934425</v>
      </c>
    </row>
    <row r="36" spans="2:14" ht="25.5" customHeight="1" thickBot="1" x14ac:dyDescent="0.25">
      <c r="B36" s="316" t="s">
        <v>443</v>
      </c>
      <c r="C36" s="315" t="s">
        <v>892</v>
      </c>
      <c r="D36" s="528" t="s">
        <v>891</v>
      </c>
      <c r="E36" s="529"/>
      <c r="F36" s="529"/>
      <c r="G36" s="529"/>
      <c r="H36" s="529"/>
      <c r="I36" s="530"/>
      <c r="J36" s="317">
        <v>1</v>
      </c>
      <c r="K36" s="313" t="s">
        <v>437</v>
      </c>
      <c r="L36" s="312">
        <v>750</v>
      </c>
      <c r="M36" s="311">
        <f>L36*J36</f>
        <v>750</v>
      </c>
      <c r="N36" s="308">
        <f>M36*22/122</f>
        <v>135.24590163934425</v>
      </c>
    </row>
    <row r="37" spans="2:14" ht="25.5" customHeight="1" thickBot="1" x14ac:dyDescent="0.25">
      <c r="B37" s="316" t="s">
        <v>440</v>
      </c>
      <c r="C37" s="315">
        <v>3149287</v>
      </c>
      <c r="D37" s="532" t="s">
        <v>890</v>
      </c>
      <c r="E37" s="533"/>
      <c r="F37" s="533"/>
      <c r="G37" s="533"/>
      <c r="H37" s="533"/>
      <c r="I37" s="534"/>
      <c r="J37" s="314">
        <v>1.5</v>
      </c>
      <c r="K37" s="313" t="s">
        <v>437</v>
      </c>
      <c r="L37" s="312">
        <v>3400</v>
      </c>
      <c r="M37" s="311">
        <f>L37*J37</f>
        <v>5100</v>
      </c>
      <c r="N37" s="308">
        <f>M37*22/122</f>
        <v>919.67213114754099</v>
      </c>
    </row>
    <row r="38" spans="2:14" ht="12.75" customHeight="1" x14ac:dyDescent="0.2">
      <c r="B38" s="531" t="s">
        <v>436</v>
      </c>
      <c r="C38" s="531"/>
      <c r="D38" s="531"/>
      <c r="E38" s="531"/>
      <c r="F38" s="531"/>
      <c r="G38" s="531"/>
      <c r="H38" s="531"/>
      <c r="I38" s="531"/>
      <c r="J38" s="338" t="s">
        <v>889</v>
      </c>
      <c r="K38" s="524" t="s">
        <v>435</v>
      </c>
      <c r="L38" s="524"/>
      <c r="M38" s="309">
        <f>M34+M35+M36+M37</f>
        <v>7700</v>
      </c>
      <c r="N38" s="308">
        <f>M38*22/122</f>
        <v>1388.5245901639344</v>
      </c>
    </row>
    <row r="39" spans="2:14" ht="5.25" customHeight="1" x14ac:dyDescent="0.2"/>
    <row r="40" spans="2:14" ht="12.75" customHeight="1" x14ac:dyDescent="0.2">
      <c r="B40" s="525" t="s">
        <v>888</v>
      </c>
      <c r="C40" s="525"/>
      <c r="D40" s="525"/>
      <c r="E40" s="525"/>
      <c r="F40" s="525"/>
      <c r="G40" s="525"/>
      <c r="H40" s="525"/>
      <c r="I40" s="525"/>
      <c r="J40" s="525"/>
      <c r="K40" s="525"/>
      <c r="L40" s="525"/>
      <c r="M40" s="525"/>
      <c r="N40" s="525"/>
    </row>
    <row r="41" spans="2:14" ht="11.25" customHeight="1" thickBot="1" x14ac:dyDescent="0.25"/>
    <row r="42" spans="2:14" ht="12.75" customHeight="1" thickTop="1" thickBot="1" x14ac:dyDescent="0.25">
      <c r="B42" s="307"/>
      <c r="C42" s="307"/>
      <c r="D42" s="307"/>
      <c r="E42" s="307"/>
      <c r="F42" s="307"/>
      <c r="G42" s="307"/>
      <c r="H42" s="307"/>
      <c r="I42" s="307"/>
      <c r="J42" s="307"/>
      <c r="K42" s="306"/>
      <c r="L42" s="306" t="s">
        <v>433</v>
      </c>
      <c r="M42" s="305">
        <f>M26+M38</f>
        <v>10700</v>
      </c>
      <c r="N42" s="304">
        <f>M42*22/122</f>
        <v>1929.5081967213114</v>
      </c>
    </row>
    <row r="43" spans="2:14" ht="5.25" customHeight="1" thickTop="1" x14ac:dyDescent="0.2"/>
    <row r="44" spans="2:14" ht="12.75" customHeight="1" x14ac:dyDescent="0.2">
      <c r="B44" s="526" t="s">
        <v>887</v>
      </c>
      <c r="C44" s="526"/>
      <c r="D44" s="526"/>
      <c r="E44" s="526"/>
      <c r="F44" s="526"/>
      <c r="G44" s="526"/>
      <c r="H44" s="526"/>
      <c r="I44" s="526"/>
      <c r="J44" s="526"/>
      <c r="K44" s="526"/>
      <c r="L44" s="526"/>
      <c r="M44" s="526"/>
      <c r="N44" s="526"/>
    </row>
    <row r="45" spans="2:14" ht="11.25" customHeight="1" x14ac:dyDescent="0.2"/>
    <row r="46" spans="2:14" ht="11.25" customHeight="1" x14ac:dyDescent="0.2"/>
    <row r="47" spans="2:14" ht="12.75" customHeight="1" x14ac:dyDescent="0.2">
      <c r="J47" s="302" t="s">
        <v>431</v>
      </c>
      <c r="K47" s="527" t="s">
        <v>430</v>
      </c>
      <c r="L47" s="527"/>
      <c r="M47" s="527"/>
      <c r="N47" s="527"/>
    </row>
    <row r="48" spans="2:14" ht="6" customHeight="1" x14ac:dyDescent="0.2"/>
    <row r="49" spans="2:14" ht="48.75" customHeight="1" x14ac:dyDescent="0.2">
      <c r="B49" s="303"/>
      <c r="C49" s="518" t="s">
        <v>429</v>
      </c>
      <c r="D49" s="518"/>
      <c r="E49" s="518"/>
      <c r="F49" s="518"/>
      <c r="G49" s="518"/>
      <c r="H49" s="518"/>
      <c r="I49" s="518"/>
      <c r="J49" s="518"/>
      <c r="K49" s="518"/>
      <c r="L49" s="518"/>
      <c r="M49" s="518"/>
    </row>
    <row r="50" spans="2:14" ht="6" customHeight="1" x14ac:dyDescent="0.2"/>
    <row r="51" spans="2:14" ht="1.1499999999999999" customHeight="1" x14ac:dyDescent="0.2"/>
    <row r="52" spans="2:14" ht="3.75" customHeight="1" x14ac:dyDescent="0.2"/>
    <row r="53" spans="2:14" ht="11.25" customHeight="1" x14ac:dyDescent="0.2"/>
    <row r="54" spans="2:14" ht="24.75" customHeight="1" x14ac:dyDescent="0.2">
      <c r="B54" s="535" t="s">
        <v>485</v>
      </c>
      <c r="C54" s="535"/>
      <c r="J54" s="302" t="s">
        <v>427</v>
      </c>
      <c r="K54" s="527" t="s">
        <v>425</v>
      </c>
      <c r="L54" s="527"/>
      <c r="M54" s="527"/>
      <c r="N54" s="527"/>
    </row>
    <row r="55" spans="2:14" ht="11.25" customHeight="1" x14ac:dyDescent="0.2"/>
    <row r="56" spans="2:14" ht="24.75" customHeight="1" x14ac:dyDescent="0.2">
      <c r="J56" s="302" t="s">
        <v>426</v>
      </c>
      <c r="K56" s="527" t="s">
        <v>425</v>
      </c>
      <c r="L56" s="527"/>
      <c r="M56" s="527"/>
      <c r="N56" s="527"/>
    </row>
    <row r="57" spans="2:14" ht="12.75" customHeight="1" x14ac:dyDescent="0.2"/>
    <row r="58" spans="2:14" ht="12.75" customHeight="1" x14ac:dyDescent="0.2">
      <c r="B58" s="536" t="s">
        <v>424</v>
      </c>
      <c r="C58" s="536"/>
    </row>
    <row r="59" spans="2:14" ht="22.15" customHeight="1" x14ac:dyDescent="0.2">
      <c r="B59" s="537"/>
      <c r="C59" s="537"/>
      <c r="D59" s="537"/>
      <c r="E59" s="537"/>
      <c r="F59" s="537"/>
      <c r="G59" s="537"/>
      <c r="H59" s="537"/>
      <c r="I59" s="537"/>
      <c r="J59" s="537"/>
      <c r="K59" s="537"/>
      <c r="L59" s="537"/>
      <c r="M59" s="537"/>
      <c r="N59" s="537"/>
    </row>
    <row r="60" spans="2:14" ht="11.25" customHeight="1" x14ac:dyDescent="0.2"/>
  </sheetData>
  <mergeCells count="36">
    <mergeCell ref="B54:C54"/>
    <mergeCell ref="K54:N54"/>
    <mergeCell ref="K56:N56"/>
    <mergeCell ref="B58:C58"/>
    <mergeCell ref="B59:N59"/>
    <mergeCell ref="C49:M49"/>
    <mergeCell ref="D32:I32"/>
    <mergeCell ref="D33:I33"/>
    <mergeCell ref="D34:I34"/>
    <mergeCell ref="D37:I37"/>
    <mergeCell ref="B38:I38"/>
    <mergeCell ref="K38:L38"/>
    <mergeCell ref="B40:N40"/>
    <mergeCell ref="D36:I36"/>
    <mergeCell ref="J26:L26"/>
    <mergeCell ref="B28:N28"/>
    <mergeCell ref="B44:N44"/>
    <mergeCell ref="K47:N47"/>
    <mergeCell ref="D21:H21"/>
    <mergeCell ref="D22:H22"/>
    <mergeCell ref="D23:H23"/>
    <mergeCell ref="B26:H26"/>
    <mergeCell ref="D35:I35"/>
    <mergeCell ref="D24:H24"/>
    <mergeCell ref="D25:H25"/>
    <mergeCell ref="B7:N7"/>
    <mergeCell ref="B11:N11"/>
    <mergeCell ref="B12:N12"/>
    <mergeCell ref="D19:H19"/>
    <mergeCell ref="D20:H20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256" scale="10" orientation="portrait" horizontalDpi="203" verticalDpi="203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3B3-29A7-42E9-96C9-16A7BAD71E7A}">
  <sheetPr codeName="Лист30">
    <pageSetUpPr fitToPage="1"/>
  </sheetPr>
  <dimension ref="B1:N58"/>
  <sheetViews>
    <sheetView topLeftCell="A4" workbookViewId="0">
      <selection activeCell="V36" sqref="V3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8.140625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8.1406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8.1406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8.1406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8.1406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8.1406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8.1406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8.1406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8.1406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8.1406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8.1406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8.1406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8.1406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8.1406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8.1406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8.1406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8.1406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8.1406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8.1406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8.1406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8.1406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8.1406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8.1406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8.1406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8.1406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8.1406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8.1406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8.1406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8.1406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8.1406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8.1406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8.1406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8.1406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8.1406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8.1406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8.1406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8.1406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8.1406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8.1406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8.1406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8.1406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8.1406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8.1406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8.1406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8.1406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8.1406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8.1406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8.1406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8.1406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8.1406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8.1406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8.1406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8.1406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8.1406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8.1406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8.1406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8.1406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8.1406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8.1406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8.1406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8.1406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8.1406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8.1406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8.1406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24.7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2.7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ht="11.25" customHeight="1" x14ac:dyDescent="0.25">
      <c r="M3" s="408"/>
      <c r="N3" s="408"/>
    </row>
    <row r="4" spans="2:14" ht="18.75" customHeight="1" x14ac:dyDescent="0.25">
      <c r="B4" s="267"/>
      <c r="C4" s="409" t="s">
        <v>910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5" spans="2:14" ht="11.25" customHeight="1" x14ac:dyDescent="0.25"/>
    <row r="6" spans="2:14" ht="28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2.75" customHeight="1" x14ac:dyDescent="0.25">
      <c r="B7" s="402" t="s">
        <v>909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8" spans="2:14" ht="7.9" customHeight="1" x14ac:dyDescent="0.25"/>
    <row r="9" spans="2:14" ht="11.25" customHeight="1" x14ac:dyDescent="0.25">
      <c r="B9" s="295" t="s">
        <v>478</v>
      </c>
    </row>
    <row r="10" spans="2:14" ht="11.25" customHeight="1" x14ac:dyDescent="0.25"/>
    <row r="11" spans="2:14" ht="12.7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24.7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ht="7.9" customHeight="1" x14ac:dyDescent="0.25">
      <c r="C13" s="267"/>
      <c r="D13" s="267"/>
      <c r="H13" s="267"/>
      <c r="J13" s="267"/>
      <c r="K13" s="267"/>
      <c r="M13" s="267"/>
      <c r="N13" s="267"/>
    </row>
    <row r="14" spans="2:14" ht="12.75" customHeight="1" x14ac:dyDescent="0.25">
      <c r="N14" s="294" t="s">
        <v>475</v>
      </c>
    </row>
    <row r="15" spans="2:14" ht="19.899999999999999" customHeight="1" x14ac:dyDescent="0.25">
      <c r="N15" s="293" t="s">
        <v>474</v>
      </c>
    </row>
    <row r="16" spans="2:14" ht="11.25" customHeight="1" x14ac:dyDescent="0.25"/>
    <row r="17" spans="2:14" ht="15" customHeight="1" x14ac:dyDescent="0.25">
      <c r="C17" s="287" t="s">
        <v>908</v>
      </c>
    </row>
    <row r="18" spans="2:14" ht="11.25" customHeight="1" thickBot="1" x14ac:dyDescent="0.3">
      <c r="B18" s="286"/>
      <c r="M18" s="284"/>
    </row>
    <row r="19" spans="2:14" ht="12.75" customHeight="1" thickBot="1" x14ac:dyDescent="0.3">
      <c r="B19" s="282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82" t="s">
        <v>472</v>
      </c>
      <c r="J19" s="282" t="s">
        <v>471</v>
      </c>
      <c r="K19" s="282" t="s">
        <v>470</v>
      </c>
      <c r="L19" s="282" t="s">
        <v>469</v>
      </c>
      <c r="M19" s="282" t="s">
        <v>455</v>
      </c>
      <c r="N19" s="282" t="s">
        <v>454</v>
      </c>
    </row>
    <row r="20" spans="2:14" ht="12.75" customHeight="1" thickBot="1" x14ac:dyDescent="0.3">
      <c r="B20" s="282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82" t="s">
        <v>440</v>
      </c>
      <c r="J20" s="282" t="s">
        <v>453</v>
      </c>
      <c r="K20" s="282" t="s">
        <v>452</v>
      </c>
      <c r="L20" s="282" t="s">
        <v>451</v>
      </c>
      <c r="M20" s="282" t="s">
        <v>450</v>
      </c>
      <c r="N20" s="282" t="s">
        <v>468</v>
      </c>
    </row>
    <row r="21" spans="2:14" s="275" customFormat="1" ht="13.5" customHeight="1" thickBot="1" x14ac:dyDescent="0.3">
      <c r="B21" s="281" t="s">
        <v>449</v>
      </c>
      <c r="C21" s="292"/>
      <c r="D21" s="413" t="s">
        <v>467</v>
      </c>
      <c r="E21" s="414"/>
      <c r="F21" s="414"/>
      <c r="G21" s="414"/>
      <c r="H21" s="415"/>
      <c r="I21" s="291">
        <v>1</v>
      </c>
      <c r="J21" s="290">
        <v>700</v>
      </c>
      <c r="K21" s="289">
        <v>1</v>
      </c>
      <c r="L21" s="279" t="s">
        <v>11</v>
      </c>
      <c r="M21" s="277">
        <f>J21*I21</f>
        <v>700</v>
      </c>
      <c r="N21" s="276">
        <f>M21*22/122</f>
        <v>126.22950819672131</v>
      </c>
    </row>
    <row r="22" spans="2:14" s="275" customFormat="1" ht="13.5" customHeight="1" thickBot="1" x14ac:dyDescent="0.3">
      <c r="B22" s="281" t="s">
        <v>446</v>
      </c>
      <c r="C22" s="292"/>
      <c r="D22" s="413" t="s">
        <v>466</v>
      </c>
      <c r="E22" s="414"/>
      <c r="F22" s="414"/>
      <c r="G22" s="414"/>
      <c r="H22" s="415"/>
      <c r="I22" s="291">
        <v>1</v>
      </c>
      <c r="J22" s="290">
        <v>150</v>
      </c>
      <c r="K22" s="289">
        <v>1</v>
      </c>
      <c r="L22" s="279" t="s">
        <v>11</v>
      </c>
      <c r="M22" s="277">
        <f>J22*I22</f>
        <v>150</v>
      </c>
      <c r="N22" s="276">
        <f>M22*22/122</f>
        <v>27.049180327868854</v>
      </c>
    </row>
    <row r="23" spans="2:14" s="275" customFormat="1" ht="13.5" customHeight="1" thickBot="1" x14ac:dyDescent="0.3">
      <c r="B23" s="281" t="s">
        <v>443</v>
      </c>
      <c r="C23" s="292"/>
      <c r="D23" s="413" t="s">
        <v>465</v>
      </c>
      <c r="E23" s="414"/>
      <c r="F23" s="414"/>
      <c r="G23" s="414"/>
      <c r="H23" s="415"/>
      <c r="I23" s="291">
        <v>1</v>
      </c>
      <c r="J23" s="290">
        <v>150</v>
      </c>
      <c r="K23" s="289">
        <v>1</v>
      </c>
      <c r="L23" s="279" t="s">
        <v>11</v>
      </c>
      <c r="M23" s="277">
        <f>J23*I23</f>
        <v>150</v>
      </c>
      <c r="N23" s="276">
        <f>M23*22/122</f>
        <v>27.049180327868854</v>
      </c>
    </row>
    <row r="24" spans="2:14" ht="12.75" customHeight="1" x14ac:dyDescent="0.25">
      <c r="B24" s="396" t="s">
        <v>464</v>
      </c>
      <c r="C24" s="396"/>
      <c r="D24" s="396"/>
      <c r="E24" s="396"/>
      <c r="F24" s="396"/>
      <c r="G24" s="396"/>
      <c r="H24" s="397"/>
      <c r="I24" s="288">
        <v>3</v>
      </c>
      <c r="J24" s="393" t="s">
        <v>435</v>
      </c>
      <c r="K24" s="394"/>
      <c r="L24" s="395"/>
      <c r="M24" s="273">
        <f>M21+M22+M23</f>
        <v>1000</v>
      </c>
      <c r="N24" s="276">
        <f>M24*22/122</f>
        <v>180.32786885245901</v>
      </c>
    </row>
    <row r="25" spans="2:14" ht="5.25" customHeight="1" x14ac:dyDescent="0.25"/>
    <row r="26" spans="2:14" ht="12.75" customHeight="1" x14ac:dyDescent="0.25">
      <c r="B26" s="392" t="s">
        <v>463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11.25" customHeight="1" x14ac:dyDescent="0.25"/>
    <row r="28" spans="2:14" ht="15" customHeight="1" x14ac:dyDescent="0.25">
      <c r="C28" s="287" t="s">
        <v>907</v>
      </c>
    </row>
    <row r="29" spans="2:14" ht="11.25" customHeight="1" thickBot="1" x14ac:dyDescent="0.3">
      <c r="B29" s="286"/>
      <c r="C29" s="285"/>
      <c r="D29" s="285"/>
      <c r="H29" s="285"/>
      <c r="I29" s="285"/>
      <c r="M29" s="284"/>
      <c r="N29" s="284"/>
    </row>
    <row r="30" spans="2:14" ht="12.75" customHeight="1" thickBot="1" x14ac:dyDescent="0.3">
      <c r="B30" s="282" t="s">
        <v>461</v>
      </c>
      <c r="C30" s="283" t="s">
        <v>460</v>
      </c>
      <c r="D30" s="398" t="s">
        <v>459</v>
      </c>
      <c r="E30" s="399"/>
      <c r="F30" s="399"/>
      <c r="G30" s="399"/>
      <c r="H30" s="399"/>
      <c r="I30" s="400"/>
      <c r="J30" s="282" t="s">
        <v>458</v>
      </c>
      <c r="K30" s="282" t="s">
        <v>457</v>
      </c>
      <c r="L30" s="282" t="s">
        <v>456</v>
      </c>
      <c r="M30" s="282" t="s">
        <v>455</v>
      </c>
      <c r="N30" s="282" t="s">
        <v>454</v>
      </c>
    </row>
    <row r="31" spans="2:14" ht="12.75" customHeight="1" thickBot="1" x14ac:dyDescent="0.3">
      <c r="B31" s="282" t="s">
        <v>449</v>
      </c>
      <c r="C31" s="283" t="s">
        <v>446</v>
      </c>
      <c r="D31" s="398" t="s">
        <v>443</v>
      </c>
      <c r="E31" s="399"/>
      <c r="F31" s="399"/>
      <c r="G31" s="399"/>
      <c r="H31" s="399"/>
      <c r="I31" s="400"/>
      <c r="J31" s="282" t="s">
        <v>440</v>
      </c>
      <c r="K31" s="282" t="s">
        <v>453</v>
      </c>
      <c r="L31" s="282" t="s">
        <v>452</v>
      </c>
      <c r="M31" s="282" t="s">
        <v>451</v>
      </c>
      <c r="N31" s="282" t="s">
        <v>450</v>
      </c>
    </row>
    <row r="32" spans="2:14" s="275" customFormat="1" ht="26.25" customHeight="1" thickBot="1" x14ac:dyDescent="0.3">
      <c r="B32" s="281" t="s">
        <v>449</v>
      </c>
      <c r="C32" s="280" t="s">
        <v>448</v>
      </c>
      <c r="D32" s="467" t="s">
        <v>447</v>
      </c>
      <c r="E32" s="468"/>
      <c r="F32" s="468"/>
      <c r="G32" s="468"/>
      <c r="H32" s="468"/>
      <c r="I32" s="469"/>
      <c r="J32" s="279">
        <v>1</v>
      </c>
      <c r="K32" s="279" t="s">
        <v>437</v>
      </c>
      <c r="L32" s="278">
        <v>450</v>
      </c>
      <c r="M32" s="277">
        <f>L32*J32</f>
        <v>450</v>
      </c>
      <c r="N32" s="276">
        <f>M32*22/122</f>
        <v>81.147540983606561</v>
      </c>
    </row>
    <row r="33" spans="2:14" s="275" customFormat="1" ht="24.75" customHeight="1" thickBot="1" x14ac:dyDescent="0.3">
      <c r="B33" s="281" t="s">
        <v>446</v>
      </c>
      <c r="C33" s="280" t="s">
        <v>445</v>
      </c>
      <c r="D33" s="467" t="s">
        <v>444</v>
      </c>
      <c r="E33" s="468"/>
      <c r="F33" s="468"/>
      <c r="G33" s="468"/>
      <c r="H33" s="468"/>
      <c r="I33" s="469"/>
      <c r="J33" s="279">
        <v>1</v>
      </c>
      <c r="K33" s="279" t="s">
        <v>437</v>
      </c>
      <c r="L33" s="278">
        <v>650</v>
      </c>
      <c r="M33" s="277">
        <f>L33*J33</f>
        <v>650</v>
      </c>
      <c r="N33" s="276">
        <f>M33*22/122</f>
        <v>117.21311475409836</v>
      </c>
    </row>
    <row r="34" spans="2:14" s="275" customFormat="1" ht="14.25" customHeight="1" thickBot="1" x14ac:dyDescent="0.3">
      <c r="B34" s="281" t="s">
        <v>443</v>
      </c>
      <c r="C34" s="280" t="s">
        <v>442</v>
      </c>
      <c r="D34" s="467" t="s">
        <v>441</v>
      </c>
      <c r="E34" s="468"/>
      <c r="F34" s="468"/>
      <c r="G34" s="468"/>
      <c r="H34" s="468"/>
      <c r="I34" s="469"/>
      <c r="J34" s="331" t="s">
        <v>906</v>
      </c>
      <c r="K34" s="279" t="s">
        <v>437</v>
      </c>
      <c r="L34" s="278">
        <v>6500</v>
      </c>
      <c r="M34" s="277">
        <f>L34*J34</f>
        <v>7150.0000000000009</v>
      </c>
      <c r="N34" s="276">
        <f>M34*22/122</f>
        <v>1289.3442622950822</v>
      </c>
    </row>
    <row r="35" spans="2:14" s="275" customFormat="1" ht="13.5" customHeight="1" x14ac:dyDescent="0.25">
      <c r="B35" s="281" t="s">
        <v>440</v>
      </c>
      <c r="C35" s="280" t="s">
        <v>439</v>
      </c>
      <c r="D35" s="467" t="s">
        <v>438</v>
      </c>
      <c r="E35" s="468"/>
      <c r="F35" s="468"/>
      <c r="G35" s="468"/>
      <c r="H35" s="468"/>
      <c r="I35" s="469"/>
      <c r="J35" s="279">
        <v>1</v>
      </c>
      <c r="K35" s="279" t="s">
        <v>437</v>
      </c>
      <c r="L35" s="278">
        <v>800</v>
      </c>
      <c r="M35" s="277">
        <f>L35*J35</f>
        <v>800</v>
      </c>
      <c r="N35" s="276">
        <f>M35*22/122</f>
        <v>144.26229508196721</v>
      </c>
    </row>
    <row r="36" spans="2:14" ht="21" customHeight="1" x14ac:dyDescent="0.25">
      <c r="B36" s="396" t="s">
        <v>436</v>
      </c>
      <c r="C36" s="396"/>
      <c r="D36" s="396"/>
      <c r="E36" s="396"/>
      <c r="F36" s="396"/>
      <c r="G36" s="396"/>
      <c r="H36" s="396"/>
      <c r="I36" s="397"/>
      <c r="J36" s="339" t="s">
        <v>905</v>
      </c>
      <c r="K36" s="393" t="s">
        <v>435</v>
      </c>
      <c r="L36" s="395"/>
      <c r="M36" s="273">
        <f>M32+M33+M34+M35</f>
        <v>9050</v>
      </c>
      <c r="N36" s="272">
        <f>M36*22/122</f>
        <v>1631.967213114754</v>
      </c>
    </row>
    <row r="37" spans="2:14" ht="5.25" customHeight="1" x14ac:dyDescent="0.25"/>
    <row r="38" spans="2:14" ht="12.75" customHeight="1" x14ac:dyDescent="0.25">
      <c r="B38" s="392" t="s">
        <v>904</v>
      </c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</row>
    <row r="39" spans="2:14" ht="11.25" customHeight="1" thickBot="1" x14ac:dyDescent="0.3"/>
    <row r="40" spans="2:14" ht="12.75" customHeight="1" thickTop="1" thickBot="1" x14ac:dyDescent="0.3">
      <c r="B40" s="271"/>
      <c r="C40" s="271"/>
      <c r="D40" s="271"/>
      <c r="E40" s="271"/>
      <c r="F40" s="271"/>
      <c r="G40" s="271"/>
      <c r="H40" s="271"/>
      <c r="I40" s="271"/>
      <c r="J40" s="271"/>
      <c r="K40" s="270"/>
      <c r="L40" s="270" t="s">
        <v>433</v>
      </c>
      <c r="M40" s="269">
        <f>M24+M36</f>
        <v>10050</v>
      </c>
      <c r="N40" s="268">
        <f>M40*20/120</f>
        <v>1675</v>
      </c>
    </row>
    <row r="41" spans="2:14" ht="5.25" customHeight="1" thickTop="1" x14ac:dyDescent="0.25"/>
    <row r="42" spans="2:14" ht="12.75" customHeight="1" x14ac:dyDescent="0.25">
      <c r="B42" s="388" t="s">
        <v>903</v>
      </c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</row>
    <row r="43" spans="2:14" ht="11.25" customHeight="1" x14ac:dyDescent="0.25"/>
    <row r="44" spans="2:14" ht="11.25" customHeight="1" x14ac:dyDescent="0.25"/>
    <row r="45" spans="2:14" ht="12.75" customHeight="1" x14ac:dyDescent="0.25">
      <c r="J45" s="266" t="s">
        <v>431</v>
      </c>
      <c r="K45" s="384" t="s">
        <v>430</v>
      </c>
      <c r="L45" s="384"/>
      <c r="M45" s="384"/>
      <c r="N45" s="384"/>
    </row>
    <row r="46" spans="2:14" ht="6" customHeight="1" x14ac:dyDescent="0.25"/>
    <row r="47" spans="2:14" ht="48.75" customHeight="1" x14ac:dyDescent="0.25">
      <c r="B47" s="267"/>
      <c r="C47" s="385" t="s">
        <v>429</v>
      </c>
      <c r="D47" s="385"/>
      <c r="E47" s="385"/>
      <c r="F47" s="385"/>
      <c r="G47" s="385"/>
      <c r="H47" s="385"/>
      <c r="I47" s="385"/>
      <c r="J47" s="385"/>
      <c r="K47" s="385"/>
      <c r="L47" s="385"/>
      <c r="M47" s="385"/>
    </row>
    <row r="48" spans="2:14" ht="6" customHeight="1" x14ac:dyDescent="0.25"/>
    <row r="49" spans="2:14" ht="1.1499999999999999" customHeight="1" x14ac:dyDescent="0.25"/>
    <row r="50" spans="2:14" ht="3.75" customHeight="1" x14ac:dyDescent="0.25"/>
    <row r="51" spans="2:14" ht="11.25" customHeight="1" x14ac:dyDescent="0.25"/>
    <row r="52" spans="2:14" ht="24.75" customHeight="1" x14ac:dyDescent="0.25">
      <c r="B52" s="386" t="s">
        <v>428</v>
      </c>
      <c r="C52" s="386"/>
      <c r="J52" s="266" t="s">
        <v>427</v>
      </c>
      <c r="K52" s="384" t="s">
        <v>425</v>
      </c>
      <c r="L52" s="384"/>
      <c r="M52" s="384"/>
      <c r="N52" s="384"/>
    </row>
    <row r="53" spans="2:14" ht="11.25" customHeight="1" x14ac:dyDescent="0.25"/>
    <row r="54" spans="2:14" ht="24.75" customHeight="1" x14ac:dyDescent="0.25">
      <c r="J54" s="266" t="s">
        <v>426</v>
      </c>
      <c r="K54" s="384" t="s">
        <v>425</v>
      </c>
      <c r="L54" s="384"/>
      <c r="M54" s="384"/>
      <c r="N54" s="384"/>
    </row>
    <row r="55" spans="2:14" ht="12.75" customHeight="1" x14ac:dyDescent="0.25"/>
    <row r="56" spans="2:14" ht="12.75" customHeight="1" x14ac:dyDescent="0.25">
      <c r="B56" s="387" t="s">
        <v>424</v>
      </c>
      <c r="C56" s="387"/>
    </row>
    <row r="57" spans="2:14" ht="22.15" customHeight="1" x14ac:dyDescent="0.25">
      <c r="B57" s="381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3"/>
    </row>
    <row r="58" spans="2:14" ht="11.25" customHeight="1" x14ac:dyDescent="0.25"/>
  </sheetData>
  <mergeCells count="34"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B36:I36"/>
    <mergeCell ref="K36:L36"/>
    <mergeCell ref="B38:N38"/>
    <mergeCell ref="B42:N42"/>
    <mergeCell ref="D23:H23"/>
    <mergeCell ref="B24:H24"/>
    <mergeCell ref="J24:L24"/>
    <mergeCell ref="B26:N26"/>
    <mergeCell ref="B57:N57"/>
    <mergeCell ref="D33:I33"/>
    <mergeCell ref="D34:I34"/>
    <mergeCell ref="D35:I35"/>
    <mergeCell ref="D30:I30"/>
    <mergeCell ref="B52:C52"/>
    <mergeCell ref="K52:N52"/>
    <mergeCell ref="K54:N54"/>
    <mergeCell ref="B56:C56"/>
    <mergeCell ref="K45:N45"/>
    <mergeCell ref="D31:I31"/>
    <mergeCell ref="D32:I32"/>
    <mergeCell ref="C47:M47"/>
  </mergeCells>
  <pageMargins left="0.7" right="0.7" top="0.75" bottom="0.75" header="0.3" footer="0.3"/>
  <pageSetup paperSize="256" scale="77" orientation="portrait" horizontalDpi="203" verticalDpi="203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AAA7-D6CD-459F-9DB7-077B3699D544}">
  <sheetPr codeName="Лист32">
    <pageSetUpPr fitToPage="1"/>
  </sheetPr>
  <dimension ref="B1:N62"/>
  <sheetViews>
    <sheetView workbookViewId="0">
      <selection activeCell="N39" sqref="N39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994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993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992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494</v>
      </c>
      <c r="E21" s="414"/>
      <c r="F21" s="414"/>
      <c r="G21" s="414"/>
      <c r="H21" s="415"/>
      <c r="I21" s="291">
        <v>1</v>
      </c>
      <c r="J21" s="300">
        <v>1000</v>
      </c>
      <c r="K21" s="289">
        <v>1</v>
      </c>
      <c r="L21" s="279" t="s">
        <v>11</v>
      </c>
      <c r="M21" s="277">
        <f t="shared" ref="M21:M27" si="0">J21*I21</f>
        <v>1000</v>
      </c>
      <c r="N21" s="276">
        <f t="shared" ref="N21:N28" si="1">M21*22/122</f>
        <v>180.32786885245901</v>
      </c>
    </row>
    <row r="22" spans="2:14" s="275" customFormat="1" ht="15" customHeight="1" thickBot="1" x14ac:dyDescent="0.3">
      <c r="B22" s="281" t="s">
        <v>446</v>
      </c>
      <c r="C22" s="292"/>
      <c r="D22" s="413" t="s">
        <v>991</v>
      </c>
      <c r="E22" s="414"/>
      <c r="F22" s="414"/>
      <c r="G22" s="414"/>
      <c r="H22" s="415"/>
      <c r="I22" s="291">
        <v>1</v>
      </c>
      <c r="J22" s="300">
        <v>400</v>
      </c>
      <c r="K22" s="289">
        <v>1</v>
      </c>
      <c r="L22" s="279" t="s">
        <v>11</v>
      </c>
      <c r="M22" s="277">
        <f t="shared" si="0"/>
        <v>400</v>
      </c>
      <c r="N22" s="276">
        <f t="shared" si="1"/>
        <v>72.131147540983605</v>
      </c>
    </row>
    <row r="23" spans="2:14" s="275" customFormat="1" ht="15" customHeight="1" thickBot="1" x14ac:dyDescent="0.3">
      <c r="B23" s="281" t="s">
        <v>443</v>
      </c>
      <c r="C23" s="292"/>
      <c r="D23" s="413" t="s">
        <v>990</v>
      </c>
      <c r="E23" s="414"/>
      <c r="F23" s="414"/>
      <c r="G23" s="414"/>
      <c r="H23" s="415"/>
      <c r="I23" s="291">
        <v>1</v>
      </c>
      <c r="J23" s="300">
        <v>500</v>
      </c>
      <c r="K23" s="289">
        <v>1</v>
      </c>
      <c r="L23" s="279" t="s">
        <v>11</v>
      </c>
      <c r="M23" s="277">
        <f t="shared" si="0"/>
        <v>500</v>
      </c>
      <c r="N23" s="276">
        <f t="shared" si="1"/>
        <v>90.163934426229503</v>
      </c>
    </row>
    <row r="24" spans="2:14" s="275" customFormat="1" ht="12.75" customHeight="1" thickBot="1" x14ac:dyDescent="0.3">
      <c r="B24" s="281" t="s">
        <v>440</v>
      </c>
      <c r="C24" s="292"/>
      <c r="D24" s="413" t="s">
        <v>989</v>
      </c>
      <c r="E24" s="414"/>
      <c r="F24" s="414"/>
      <c r="G24" s="414"/>
      <c r="H24" s="415"/>
      <c r="I24" s="291">
        <v>1</v>
      </c>
      <c r="J24" s="300">
        <v>1000</v>
      </c>
      <c r="K24" s="289">
        <v>1</v>
      </c>
      <c r="L24" s="279" t="s">
        <v>11</v>
      </c>
      <c r="M24" s="277">
        <f t="shared" si="0"/>
        <v>1000</v>
      </c>
      <c r="N24" s="276">
        <f t="shared" si="1"/>
        <v>180.32786885245901</v>
      </c>
    </row>
    <row r="25" spans="2:14" s="275" customFormat="1" ht="12.75" customHeight="1" thickBot="1" x14ac:dyDescent="0.3">
      <c r="B25" s="281" t="s">
        <v>453</v>
      </c>
      <c r="C25" s="292"/>
      <c r="D25" s="413" t="s">
        <v>988</v>
      </c>
      <c r="E25" s="414"/>
      <c r="F25" s="414"/>
      <c r="G25" s="414"/>
      <c r="H25" s="415"/>
      <c r="I25" s="291">
        <v>1</v>
      </c>
      <c r="J25" s="300">
        <v>600</v>
      </c>
      <c r="K25" s="289">
        <v>1</v>
      </c>
      <c r="L25" s="279" t="s">
        <v>11</v>
      </c>
      <c r="M25" s="277">
        <f t="shared" si="0"/>
        <v>600</v>
      </c>
      <c r="N25" s="276">
        <f t="shared" si="1"/>
        <v>108.19672131147541</v>
      </c>
    </row>
    <row r="26" spans="2:14" s="275" customFormat="1" ht="12.75" customHeight="1" thickBot="1" x14ac:dyDescent="0.3">
      <c r="B26" s="281" t="s">
        <v>452</v>
      </c>
      <c r="C26" s="292"/>
      <c r="D26" s="413" t="s">
        <v>625</v>
      </c>
      <c r="E26" s="414"/>
      <c r="F26" s="414"/>
      <c r="G26" s="414"/>
      <c r="H26" s="415"/>
      <c r="I26" s="291">
        <v>1</v>
      </c>
      <c r="J26" s="300">
        <v>600</v>
      </c>
      <c r="K26" s="289">
        <v>1</v>
      </c>
      <c r="L26" s="279" t="s">
        <v>11</v>
      </c>
      <c r="M26" s="277">
        <f t="shared" si="0"/>
        <v>600</v>
      </c>
      <c r="N26" s="276">
        <f t="shared" si="1"/>
        <v>108.19672131147541</v>
      </c>
    </row>
    <row r="27" spans="2:14" s="275" customFormat="1" ht="14.25" customHeight="1" thickBot="1" x14ac:dyDescent="0.3">
      <c r="B27" s="281" t="s">
        <v>451</v>
      </c>
      <c r="C27" s="292"/>
      <c r="D27" s="413" t="s">
        <v>757</v>
      </c>
      <c r="E27" s="414"/>
      <c r="F27" s="414"/>
      <c r="G27" s="414"/>
      <c r="H27" s="415"/>
      <c r="I27" s="291">
        <v>1</v>
      </c>
      <c r="J27" s="300">
        <v>700</v>
      </c>
      <c r="K27" s="289">
        <v>1</v>
      </c>
      <c r="L27" s="279" t="s">
        <v>11</v>
      </c>
      <c r="M27" s="277">
        <f t="shared" si="0"/>
        <v>700</v>
      </c>
      <c r="N27" s="276">
        <f t="shared" si="1"/>
        <v>126.22950819672131</v>
      </c>
    </row>
    <row r="28" spans="2:14" x14ac:dyDescent="0.25">
      <c r="B28" s="396" t="s">
        <v>464</v>
      </c>
      <c r="C28" s="396"/>
      <c r="D28" s="396"/>
      <c r="E28" s="396"/>
      <c r="F28" s="396"/>
      <c r="G28" s="396"/>
      <c r="H28" s="397"/>
      <c r="I28" s="299">
        <v>7</v>
      </c>
      <c r="J28" s="393" t="s">
        <v>435</v>
      </c>
      <c r="K28" s="394"/>
      <c r="L28" s="395"/>
      <c r="M28" s="277">
        <f>M21+M22+M23+M24+M25+M26+M27</f>
        <v>4800</v>
      </c>
      <c r="N28" s="276">
        <f t="shared" si="1"/>
        <v>865.57377049180332</v>
      </c>
    </row>
    <row r="29" spans="2:14" ht="9" customHeight="1" x14ac:dyDescent="0.25"/>
    <row r="30" spans="2:14" ht="15" customHeight="1" x14ac:dyDescent="0.25">
      <c r="B30" s="392" t="s">
        <v>636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1" spans="2:14" ht="7.5" customHeight="1" x14ac:dyDescent="0.25"/>
    <row r="32" spans="2:14" x14ac:dyDescent="0.25">
      <c r="C32" s="287" t="s">
        <v>987</v>
      </c>
    </row>
    <row r="33" spans="2:14" ht="15.75" thickBot="1" x14ac:dyDescent="0.3">
      <c r="B33" s="286"/>
      <c r="C33" s="285"/>
      <c r="D33" s="285"/>
      <c r="H33" s="285"/>
      <c r="I33" s="285"/>
      <c r="M33" s="284"/>
      <c r="N33" s="284"/>
    </row>
    <row r="34" spans="2:14" ht="15.75" thickBot="1" x14ac:dyDescent="0.3">
      <c r="B34" s="298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98" t="s">
        <v>458</v>
      </c>
      <c r="K34" s="298" t="s">
        <v>457</v>
      </c>
      <c r="L34" s="298" t="s">
        <v>456</v>
      </c>
      <c r="M34" s="298" t="s">
        <v>455</v>
      </c>
      <c r="N34" s="298" t="s">
        <v>454</v>
      </c>
    </row>
    <row r="35" spans="2:14" ht="15.75" thickBot="1" x14ac:dyDescent="0.3">
      <c r="B35" s="298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98" t="s">
        <v>440</v>
      </c>
      <c r="K35" s="298" t="s">
        <v>453</v>
      </c>
      <c r="L35" s="298" t="s">
        <v>452</v>
      </c>
      <c r="M35" s="298" t="s">
        <v>451</v>
      </c>
      <c r="N35" s="298" t="s">
        <v>450</v>
      </c>
    </row>
    <row r="36" spans="2:14" s="275" customFormat="1" ht="12.75" customHeight="1" x14ac:dyDescent="0.25">
      <c r="B36" s="281" t="s">
        <v>449</v>
      </c>
      <c r="C36" s="292">
        <v>663322</v>
      </c>
      <c r="D36" s="389" t="s">
        <v>986</v>
      </c>
      <c r="E36" s="390"/>
      <c r="F36" s="390"/>
      <c r="G36" s="390"/>
      <c r="H36" s="390"/>
      <c r="I36" s="391"/>
      <c r="J36" s="291">
        <v>1</v>
      </c>
      <c r="K36" s="279" t="s">
        <v>437</v>
      </c>
      <c r="L36" s="278">
        <v>150</v>
      </c>
      <c r="M36" s="277">
        <f t="shared" ref="M36:M41" si="2">L36*J36</f>
        <v>150</v>
      </c>
      <c r="N36" s="276">
        <f t="shared" ref="N36:N42" si="3">M36*22/122</f>
        <v>27.049180327868854</v>
      </c>
    </row>
    <row r="37" spans="2:14" s="275" customFormat="1" ht="25.5" customHeight="1" x14ac:dyDescent="0.25">
      <c r="B37" s="281" t="s">
        <v>446</v>
      </c>
      <c r="C37" s="292" t="s">
        <v>985</v>
      </c>
      <c r="D37" s="389" t="s">
        <v>984</v>
      </c>
      <c r="E37" s="390"/>
      <c r="F37" s="390"/>
      <c r="G37" s="390"/>
      <c r="H37" s="390"/>
      <c r="I37" s="391"/>
      <c r="J37" s="291">
        <v>1</v>
      </c>
      <c r="K37" s="279" t="s">
        <v>437</v>
      </c>
      <c r="L37" s="278">
        <v>1260</v>
      </c>
      <c r="M37" s="277">
        <f t="shared" si="2"/>
        <v>1260</v>
      </c>
      <c r="N37" s="276">
        <f t="shared" si="3"/>
        <v>227.21311475409837</v>
      </c>
    </row>
    <row r="38" spans="2:14" s="275" customFormat="1" ht="26.25" customHeight="1" x14ac:dyDescent="0.25">
      <c r="B38" s="281" t="s">
        <v>443</v>
      </c>
      <c r="C38" s="280" t="s">
        <v>753</v>
      </c>
      <c r="D38" s="389" t="s">
        <v>983</v>
      </c>
      <c r="E38" s="390"/>
      <c r="F38" s="390"/>
      <c r="G38" s="390"/>
      <c r="H38" s="390"/>
      <c r="I38" s="391"/>
      <c r="J38" s="331" t="s">
        <v>449</v>
      </c>
      <c r="K38" s="279" t="s">
        <v>437</v>
      </c>
      <c r="L38" s="278">
        <v>2200</v>
      </c>
      <c r="M38" s="277">
        <f t="shared" si="2"/>
        <v>2200</v>
      </c>
      <c r="N38" s="276">
        <f t="shared" si="3"/>
        <v>396.72131147540983</v>
      </c>
    </row>
    <row r="39" spans="2:14" s="275" customFormat="1" ht="37.5" customHeight="1" x14ac:dyDescent="0.25">
      <c r="B39" s="281" t="s">
        <v>440</v>
      </c>
      <c r="C39" s="280" t="s">
        <v>982</v>
      </c>
      <c r="D39" s="389" t="s">
        <v>981</v>
      </c>
      <c r="E39" s="390"/>
      <c r="F39" s="390"/>
      <c r="G39" s="390"/>
      <c r="H39" s="390"/>
      <c r="I39" s="391"/>
      <c r="J39" s="331" t="s">
        <v>449</v>
      </c>
      <c r="K39" s="279" t="s">
        <v>520</v>
      </c>
      <c r="L39" s="278">
        <v>1800</v>
      </c>
      <c r="M39" s="277">
        <f t="shared" si="2"/>
        <v>1800</v>
      </c>
      <c r="N39" s="276">
        <f t="shared" si="3"/>
        <v>324.59016393442624</v>
      </c>
    </row>
    <row r="40" spans="2:14" s="275" customFormat="1" ht="25.5" customHeight="1" x14ac:dyDescent="0.25">
      <c r="B40" s="281" t="s">
        <v>453</v>
      </c>
      <c r="C40" s="280" t="s">
        <v>980</v>
      </c>
      <c r="D40" s="389" t="s">
        <v>979</v>
      </c>
      <c r="E40" s="390"/>
      <c r="F40" s="390"/>
      <c r="G40" s="390"/>
      <c r="H40" s="390"/>
      <c r="I40" s="391"/>
      <c r="J40" s="291">
        <v>1</v>
      </c>
      <c r="K40" s="279" t="s">
        <v>437</v>
      </c>
      <c r="L40" s="278">
        <v>100</v>
      </c>
      <c r="M40" s="277">
        <f t="shared" si="2"/>
        <v>100</v>
      </c>
      <c r="N40" s="276">
        <f t="shared" si="3"/>
        <v>18.032786885245901</v>
      </c>
    </row>
    <row r="41" spans="2:14" s="275" customFormat="1" ht="12.75" customHeight="1" x14ac:dyDescent="0.25">
      <c r="B41" s="281" t="s">
        <v>452</v>
      </c>
      <c r="C41" s="292">
        <v>265007799</v>
      </c>
      <c r="D41" s="389" t="s">
        <v>978</v>
      </c>
      <c r="E41" s="390"/>
      <c r="F41" s="390"/>
      <c r="G41" s="390"/>
      <c r="H41" s="390"/>
      <c r="I41" s="391"/>
      <c r="J41" s="291">
        <v>1</v>
      </c>
      <c r="K41" s="279" t="s">
        <v>437</v>
      </c>
      <c r="L41" s="278">
        <v>2440</v>
      </c>
      <c r="M41" s="277">
        <f t="shared" si="2"/>
        <v>2440</v>
      </c>
      <c r="N41" s="276">
        <f t="shared" si="3"/>
        <v>440</v>
      </c>
    </row>
    <row r="42" spans="2:14" x14ac:dyDescent="0.25">
      <c r="B42" s="396" t="s">
        <v>436</v>
      </c>
      <c r="C42" s="396"/>
      <c r="D42" s="396"/>
      <c r="E42" s="396"/>
      <c r="F42" s="396"/>
      <c r="G42" s="396"/>
      <c r="H42" s="396"/>
      <c r="I42" s="397"/>
      <c r="J42" s="297">
        <v>7</v>
      </c>
      <c r="K42" s="393" t="s">
        <v>435</v>
      </c>
      <c r="L42" s="395"/>
      <c r="M42" s="340">
        <f>M36+M37+M38+M39+M40+M41</f>
        <v>7950</v>
      </c>
      <c r="N42" s="276">
        <f t="shared" si="3"/>
        <v>1433.6065573770493</v>
      </c>
    </row>
    <row r="44" spans="2:14" ht="15" customHeight="1" x14ac:dyDescent="0.25">
      <c r="B44" s="392" t="s">
        <v>977</v>
      </c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</row>
    <row r="45" spans="2:14" ht="15.75" thickBot="1" x14ac:dyDescent="0.3"/>
    <row r="46" spans="2:14" ht="16.5" thickTop="1" thickBot="1" x14ac:dyDescent="0.3">
      <c r="B46" s="271"/>
      <c r="C46" s="271"/>
      <c r="D46" s="271"/>
      <c r="E46" s="271"/>
      <c r="F46" s="271"/>
      <c r="G46" s="271"/>
      <c r="H46" s="271"/>
      <c r="I46" s="271"/>
      <c r="J46" s="271"/>
      <c r="K46" s="270"/>
      <c r="L46" s="270" t="s">
        <v>433</v>
      </c>
      <c r="M46" s="269">
        <f>M28+M42</f>
        <v>12750</v>
      </c>
      <c r="N46" s="268">
        <f>M46*22/122</f>
        <v>2299.1803278688526</v>
      </c>
    </row>
    <row r="47" spans="2:14" ht="15.75" thickTop="1" x14ac:dyDescent="0.25"/>
    <row r="48" spans="2:14" ht="15" customHeight="1" x14ac:dyDescent="0.25">
      <c r="B48" s="388" t="s">
        <v>976</v>
      </c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</row>
    <row r="51" spans="2:14" ht="15" customHeight="1" x14ac:dyDescent="0.25">
      <c r="J51" s="266" t="s">
        <v>431</v>
      </c>
      <c r="K51" s="384" t="s">
        <v>430</v>
      </c>
      <c r="L51" s="384"/>
      <c r="M51" s="384"/>
      <c r="N51" s="384"/>
    </row>
    <row r="53" spans="2:14" ht="53.25" customHeight="1" x14ac:dyDescent="0.25">
      <c r="B53" s="267"/>
      <c r="C53" s="385" t="s">
        <v>429</v>
      </c>
      <c r="D53" s="385"/>
      <c r="E53" s="385"/>
      <c r="F53" s="385"/>
      <c r="G53" s="385"/>
      <c r="H53" s="385"/>
      <c r="I53" s="385"/>
      <c r="J53" s="385"/>
      <c r="K53" s="385"/>
      <c r="L53" s="385"/>
      <c r="M53" s="385"/>
    </row>
    <row r="57" spans="2:14" ht="24" customHeight="1" x14ac:dyDescent="0.25">
      <c r="B57" s="386" t="s">
        <v>975</v>
      </c>
      <c r="C57" s="386"/>
      <c r="J57" s="266" t="s">
        <v>427</v>
      </c>
      <c r="K57" s="384" t="s">
        <v>949</v>
      </c>
      <c r="L57" s="384"/>
      <c r="M57" s="384"/>
      <c r="N57" s="384"/>
    </row>
    <row r="59" spans="2:14" ht="26.25" customHeight="1" x14ac:dyDescent="0.25">
      <c r="J59" s="266" t="s">
        <v>426</v>
      </c>
      <c r="K59" s="384" t="s">
        <v>949</v>
      </c>
      <c r="L59" s="384"/>
      <c r="M59" s="384"/>
      <c r="N59" s="384"/>
    </row>
    <row r="61" spans="2:14" x14ac:dyDescent="0.25">
      <c r="B61" s="387" t="s">
        <v>424</v>
      </c>
      <c r="C61" s="387"/>
    </row>
    <row r="62" spans="2:14" x14ac:dyDescent="0.25">
      <c r="B62" s="381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3"/>
    </row>
  </sheetData>
  <mergeCells count="40">
    <mergeCell ref="D23:H23"/>
    <mergeCell ref="D21:H21"/>
    <mergeCell ref="D26:H26"/>
    <mergeCell ref="B1:J1"/>
    <mergeCell ref="B7:N7"/>
    <mergeCell ref="B11:N11"/>
    <mergeCell ref="B12:N12"/>
    <mergeCell ref="D19:H19"/>
    <mergeCell ref="D20:H20"/>
    <mergeCell ref="M1:N3"/>
    <mergeCell ref="B2:J2"/>
    <mergeCell ref="C4:N4"/>
    <mergeCell ref="B6:G6"/>
    <mergeCell ref="H6:N6"/>
    <mergeCell ref="D22:H22"/>
    <mergeCell ref="D36:I36"/>
    <mergeCell ref="B44:N44"/>
    <mergeCell ref="D24:H24"/>
    <mergeCell ref="D25:H25"/>
    <mergeCell ref="D27:H27"/>
    <mergeCell ref="J28:L28"/>
    <mergeCell ref="B30:N30"/>
    <mergeCell ref="B28:H28"/>
    <mergeCell ref="D34:I34"/>
    <mergeCell ref="D35:I35"/>
    <mergeCell ref="B48:N48"/>
    <mergeCell ref="D37:I37"/>
    <mergeCell ref="D38:I38"/>
    <mergeCell ref="D39:I39"/>
    <mergeCell ref="D40:I40"/>
    <mergeCell ref="D41:I41"/>
    <mergeCell ref="K42:L42"/>
    <mergeCell ref="B42:I42"/>
    <mergeCell ref="B62:N62"/>
    <mergeCell ref="K51:N51"/>
    <mergeCell ref="C53:M53"/>
    <mergeCell ref="B57:C57"/>
    <mergeCell ref="K57:N57"/>
    <mergeCell ref="K59:N59"/>
    <mergeCell ref="B61:C61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BB41-B3E0-4862-9574-97059EC0E774}">
  <sheetPr codeName="Лист33">
    <pageSetUpPr fitToPage="1"/>
  </sheetPr>
  <dimension ref="B1:N76"/>
  <sheetViews>
    <sheetView workbookViewId="0">
      <selection activeCell="R66" sqref="R6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1025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1024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1023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1022</v>
      </c>
      <c r="E21" s="414"/>
      <c r="F21" s="414"/>
      <c r="G21" s="414"/>
      <c r="H21" s="415"/>
      <c r="I21" s="291">
        <v>2</v>
      </c>
      <c r="J21" s="300">
        <v>800</v>
      </c>
      <c r="K21" s="289">
        <v>1</v>
      </c>
      <c r="L21" s="279" t="s">
        <v>11</v>
      </c>
      <c r="M21" s="277">
        <f t="shared" ref="M21:M33" si="0">J21*I21</f>
        <v>1600</v>
      </c>
      <c r="N21" s="276">
        <f t="shared" ref="N21:N34" si="1">M21*22/122</f>
        <v>288.52459016393442</v>
      </c>
    </row>
    <row r="22" spans="2:14" s="275" customFormat="1" ht="24" customHeight="1" thickBot="1" x14ac:dyDescent="0.3">
      <c r="B22" s="281" t="s">
        <v>446</v>
      </c>
      <c r="C22" s="292"/>
      <c r="D22" s="413" t="s">
        <v>1021</v>
      </c>
      <c r="E22" s="414"/>
      <c r="F22" s="414"/>
      <c r="G22" s="414"/>
      <c r="H22" s="415"/>
      <c r="I22" s="291">
        <v>2</v>
      </c>
      <c r="J22" s="300">
        <v>650</v>
      </c>
      <c r="K22" s="289">
        <v>1</v>
      </c>
      <c r="L22" s="279" t="s">
        <v>11</v>
      </c>
      <c r="M22" s="277">
        <f t="shared" si="0"/>
        <v>1300</v>
      </c>
      <c r="N22" s="276">
        <f t="shared" si="1"/>
        <v>234.42622950819671</v>
      </c>
    </row>
    <row r="23" spans="2:14" s="275" customFormat="1" ht="15" customHeight="1" thickBot="1" x14ac:dyDescent="0.3">
      <c r="B23" s="281" t="s">
        <v>443</v>
      </c>
      <c r="C23" s="292"/>
      <c r="D23" s="413" t="s">
        <v>1020</v>
      </c>
      <c r="E23" s="414"/>
      <c r="F23" s="414"/>
      <c r="G23" s="414"/>
      <c r="H23" s="415"/>
      <c r="I23" s="291">
        <v>1</v>
      </c>
      <c r="J23" s="300">
        <v>500</v>
      </c>
      <c r="K23" s="289">
        <v>1</v>
      </c>
      <c r="L23" s="279" t="s">
        <v>11</v>
      </c>
      <c r="M23" s="277">
        <f t="shared" si="0"/>
        <v>500</v>
      </c>
      <c r="N23" s="276">
        <f t="shared" si="1"/>
        <v>90.163934426229503</v>
      </c>
    </row>
    <row r="24" spans="2:14" s="275" customFormat="1" ht="12" customHeight="1" thickBot="1" x14ac:dyDescent="0.3">
      <c r="B24" s="281" t="s">
        <v>440</v>
      </c>
      <c r="C24" s="292"/>
      <c r="D24" s="413" t="s">
        <v>465</v>
      </c>
      <c r="E24" s="414"/>
      <c r="F24" s="414"/>
      <c r="G24" s="414"/>
      <c r="H24" s="415"/>
      <c r="I24" s="291">
        <v>1</v>
      </c>
      <c r="J24" s="300">
        <v>150</v>
      </c>
      <c r="K24" s="289">
        <v>1</v>
      </c>
      <c r="L24" s="279" t="s">
        <v>11</v>
      </c>
      <c r="M24" s="277">
        <f t="shared" si="0"/>
        <v>150</v>
      </c>
      <c r="N24" s="276">
        <f t="shared" si="1"/>
        <v>27.049180327868854</v>
      </c>
    </row>
    <row r="25" spans="2:14" s="275" customFormat="1" ht="14.25" customHeight="1" thickBot="1" x14ac:dyDescent="0.3">
      <c r="B25" s="281" t="s">
        <v>453</v>
      </c>
      <c r="C25" s="292"/>
      <c r="D25" s="413" t="s">
        <v>466</v>
      </c>
      <c r="E25" s="414"/>
      <c r="F25" s="414"/>
      <c r="G25" s="414"/>
      <c r="H25" s="415"/>
      <c r="I25" s="291">
        <v>1</v>
      </c>
      <c r="J25" s="300">
        <v>150</v>
      </c>
      <c r="K25" s="289">
        <v>1</v>
      </c>
      <c r="L25" s="279" t="s">
        <v>11</v>
      </c>
      <c r="M25" s="277">
        <f t="shared" si="0"/>
        <v>150</v>
      </c>
      <c r="N25" s="276">
        <f t="shared" si="1"/>
        <v>27.049180327868854</v>
      </c>
    </row>
    <row r="26" spans="2:14" s="275" customFormat="1" ht="12" customHeight="1" x14ac:dyDescent="0.25">
      <c r="B26" s="281" t="s">
        <v>452</v>
      </c>
      <c r="C26" s="292"/>
      <c r="D26" s="389" t="s">
        <v>622</v>
      </c>
      <c r="E26" s="390"/>
      <c r="F26" s="390"/>
      <c r="G26" s="390"/>
      <c r="H26" s="391"/>
      <c r="I26" s="291">
        <v>1</v>
      </c>
      <c r="J26" s="300">
        <v>600</v>
      </c>
      <c r="K26" s="289">
        <v>1</v>
      </c>
      <c r="L26" s="279" t="s">
        <v>11</v>
      </c>
      <c r="M26" s="277">
        <f t="shared" si="0"/>
        <v>600</v>
      </c>
      <c r="N26" s="276">
        <f t="shared" si="1"/>
        <v>108.19672131147541</v>
      </c>
    </row>
    <row r="27" spans="2:14" s="275" customFormat="1" ht="12" customHeight="1" x14ac:dyDescent="0.25">
      <c r="B27" s="281" t="s">
        <v>451</v>
      </c>
      <c r="C27" s="292"/>
      <c r="D27" s="389" t="s">
        <v>1019</v>
      </c>
      <c r="E27" s="390"/>
      <c r="F27" s="390"/>
      <c r="G27" s="390"/>
      <c r="H27" s="391"/>
      <c r="I27" s="291">
        <v>1</v>
      </c>
      <c r="J27" s="300">
        <v>600</v>
      </c>
      <c r="K27" s="289">
        <v>1</v>
      </c>
      <c r="L27" s="279" t="s">
        <v>11</v>
      </c>
      <c r="M27" s="277">
        <f t="shared" si="0"/>
        <v>600</v>
      </c>
      <c r="N27" s="276">
        <f t="shared" si="1"/>
        <v>108.19672131147541</v>
      </c>
    </row>
    <row r="28" spans="2:14" s="275" customFormat="1" ht="24.75" customHeight="1" x14ac:dyDescent="0.25">
      <c r="B28" s="281" t="s">
        <v>450</v>
      </c>
      <c r="C28" s="292"/>
      <c r="D28" s="389" t="s">
        <v>564</v>
      </c>
      <c r="E28" s="390"/>
      <c r="F28" s="390"/>
      <c r="G28" s="390"/>
      <c r="H28" s="391"/>
      <c r="I28" s="291">
        <v>1</v>
      </c>
      <c r="J28" s="300">
        <v>1000</v>
      </c>
      <c r="K28" s="289">
        <v>1</v>
      </c>
      <c r="L28" s="279" t="s">
        <v>11</v>
      </c>
      <c r="M28" s="277">
        <f t="shared" si="0"/>
        <v>1000</v>
      </c>
      <c r="N28" s="276">
        <f t="shared" si="1"/>
        <v>180.32786885245901</v>
      </c>
    </row>
    <row r="29" spans="2:14" s="275" customFormat="1" ht="12" customHeight="1" x14ac:dyDescent="0.25">
      <c r="B29" s="281" t="s">
        <v>468</v>
      </c>
      <c r="C29" s="292"/>
      <c r="D29" s="389" t="s">
        <v>570</v>
      </c>
      <c r="E29" s="390"/>
      <c r="F29" s="390"/>
      <c r="G29" s="390"/>
      <c r="H29" s="391"/>
      <c r="I29" s="291">
        <v>1</v>
      </c>
      <c r="J29" s="300">
        <v>4500</v>
      </c>
      <c r="K29" s="289">
        <v>1</v>
      </c>
      <c r="L29" s="279" t="s">
        <v>11</v>
      </c>
      <c r="M29" s="277">
        <f t="shared" si="0"/>
        <v>4500</v>
      </c>
      <c r="N29" s="276">
        <f t="shared" si="1"/>
        <v>811.47540983606552</v>
      </c>
    </row>
    <row r="30" spans="2:14" s="275" customFormat="1" ht="12" customHeight="1" x14ac:dyDescent="0.25">
      <c r="B30" s="281" t="s">
        <v>541</v>
      </c>
      <c r="C30" s="292"/>
      <c r="D30" s="389" t="s">
        <v>1018</v>
      </c>
      <c r="E30" s="390"/>
      <c r="F30" s="390"/>
      <c r="G30" s="390"/>
      <c r="H30" s="391"/>
      <c r="I30" s="291">
        <v>1</v>
      </c>
      <c r="J30" s="300">
        <v>2000</v>
      </c>
      <c r="K30" s="289">
        <v>1</v>
      </c>
      <c r="L30" s="279" t="s">
        <v>11</v>
      </c>
      <c r="M30" s="277">
        <f t="shared" si="0"/>
        <v>2000</v>
      </c>
      <c r="N30" s="276">
        <f t="shared" si="1"/>
        <v>360.65573770491801</v>
      </c>
    </row>
    <row r="31" spans="2:14" s="275" customFormat="1" ht="12" customHeight="1" x14ac:dyDescent="0.25">
      <c r="B31" s="281" t="s">
        <v>538</v>
      </c>
      <c r="C31" s="292"/>
      <c r="D31" s="389" t="s">
        <v>1017</v>
      </c>
      <c r="E31" s="390"/>
      <c r="F31" s="390"/>
      <c r="G31" s="390"/>
      <c r="H31" s="391"/>
      <c r="I31" s="291">
        <v>1</v>
      </c>
      <c r="J31" s="300">
        <v>1000</v>
      </c>
      <c r="K31" s="289">
        <v>1</v>
      </c>
      <c r="L31" s="279" t="s">
        <v>11</v>
      </c>
      <c r="M31" s="277">
        <f t="shared" si="0"/>
        <v>1000</v>
      </c>
      <c r="N31" s="276">
        <f t="shared" si="1"/>
        <v>180.32786885245901</v>
      </c>
    </row>
    <row r="32" spans="2:14" s="275" customFormat="1" ht="12" customHeight="1" x14ac:dyDescent="0.25">
      <c r="B32" s="281" t="s">
        <v>535</v>
      </c>
      <c r="C32" s="292"/>
      <c r="D32" s="389" t="s">
        <v>563</v>
      </c>
      <c r="E32" s="390"/>
      <c r="F32" s="390"/>
      <c r="G32" s="390"/>
      <c r="H32" s="391"/>
      <c r="I32" s="291">
        <v>1</v>
      </c>
      <c r="J32" s="300">
        <v>4500</v>
      </c>
      <c r="K32" s="289">
        <v>1</v>
      </c>
      <c r="L32" s="279" t="s">
        <v>11</v>
      </c>
      <c r="M32" s="277">
        <f t="shared" si="0"/>
        <v>4500</v>
      </c>
      <c r="N32" s="276">
        <f t="shared" si="1"/>
        <v>811.47540983606552</v>
      </c>
    </row>
    <row r="33" spans="2:14" s="275" customFormat="1" ht="12.75" customHeight="1" x14ac:dyDescent="0.25">
      <c r="B33" s="281" t="s">
        <v>532</v>
      </c>
      <c r="C33" s="292"/>
      <c r="D33" s="389" t="s">
        <v>1016</v>
      </c>
      <c r="E33" s="390"/>
      <c r="F33" s="390"/>
      <c r="G33" s="390"/>
      <c r="H33" s="391"/>
      <c r="I33" s="291">
        <v>1</v>
      </c>
      <c r="J33" s="300">
        <v>4500</v>
      </c>
      <c r="K33" s="289">
        <v>1</v>
      </c>
      <c r="L33" s="279" t="s">
        <v>11</v>
      </c>
      <c r="M33" s="277">
        <f t="shared" si="0"/>
        <v>4500</v>
      </c>
      <c r="N33" s="276">
        <f t="shared" si="1"/>
        <v>811.47540983606552</v>
      </c>
    </row>
    <row r="34" spans="2:14" x14ac:dyDescent="0.25">
      <c r="B34" s="396" t="s">
        <v>464</v>
      </c>
      <c r="C34" s="396"/>
      <c r="D34" s="396"/>
      <c r="E34" s="396"/>
      <c r="F34" s="396"/>
      <c r="G34" s="396"/>
      <c r="H34" s="397"/>
      <c r="I34" s="299">
        <v>15</v>
      </c>
      <c r="J34" s="393" t="s">
        <v>435</v>
      </c>
      <c r="K34" s="394"/>
      <c r="L34" s="395"/>
      <c r="M34" s="277">
        <f>M21+M22+M23+M24+M25+M26+M27+M28+M29+M30+M31+M32+M33</f>
        <v>22400</v>
      </c>
      <c r="N34" s="276">
        <f t="shared" si="1"/>
        <v>4039.344262295082</v>
      </c>
    </row>
    <row r="35" spans="2:14" ht="9" customHeight="1" x14ac:dyDescent="0.25"/>
    <row r="36" spans="2:14" ht="15" customHeight="1" x14ac:dyDescent="0.25">
      <c r="B36" s="392" t="s">
        <v>1015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</row>
    <row r="37" spans="2:14" ht="7.5" customHeight="1" x14ac:dyDescent="0.25"/>
    <row r="38" spans="2:14" x14ac:dyDescent="0.25">
      <c r="C38" s="287" t="s">
        <v>1014</v>
      </c>
    </row>
    <row r="39" spans="2:14" ht="15.75" thickBot="1" x14ac:dyDescent="0.3">
      <c r="B39" s="286"/>
      <c r="C39" s="285"/>
      <c r="D39" s="285"/>
      <c r="H39" s="285"/>
      <c r="I39" s="285"/>
      <c r="M39" s="284"/>
      <c r="N39" s="284"/>
    </row>
    <row r="40" spans="2:14" ht="15.75" thickBot="1" x14ac:dyDescent="0.3">
      <c r="B40" s="298" t="s">
        <v>461</v>
      </c>
      <c r="C40" s="283" t="s">
        <v>460</v>
      </c>
      <c r="D40" s="398" t="s">
        <v>459</v>
      </c>
      <c r="E40" s="399"/>
      <c r="F40" s="399"/>
      <c r="G40" s="399"/>
      <c r="H40" s="399"/>
      <c r="I40" s="400"/>
      <c r="J40" s="298" t="s">
        <v>458</v>
      </c>
      <c r="K40" s="298" t="s">
        <v>457</v>
      </c>
      <c r="L40" s="298" t="s">
        <v>456</v>
      </c>
      <c r="M40" s="298" t="s">
        <v>455</v>
      </c>
      <c r="N40" s="298" t="s">
        <v>454</v>
      </c>
    </row>
    <row r="41" spans="2:14" ht="15.75" thickBot="1" x14ac:dyDescent="0.3">
      <c r="B41" s="298" t="s">
        <v>449</v>
      </c>
      <c r="C41" s="283" t="s">
        <v>446</v>
      </c>
      <c r="D41" s="398" t="s">
        <v>443</v>
      </c>
      <c r="E41" s="399"/>
      <c r="F41" s="399"/>
      <c r="G41" s="399"/>
      <c r="H41" s="399"/>
      <c r="I41" s="400"/>
      <c r="J41" s="298" t="s">
        <v>440</v>
      </c>
      <c r="K41" s="298" t="s">
        <v>453</v>
      </c>
      <c r="L41" s="298" t="s">
        <v>452</v>
      </c>
      <c r="M41" s="298" t="s">
        <v>451</v>
      </c>
      <c r="N41" s="298" t="s">
        <v>450</v>
      </c>
    </row>
    <row r="42" spans="2:14" s="275" customFormat="1" ht="15.75" customHeight="1" x14ac:dyDescent="0.25">
      <c r="B42" s="281" t="s">
        <v>449</v>
      </c>
      <c r="C42" s="292">
        <v>3148646</v>
      </c>
      <c r="D42" s="389" t="s">
        <v>1013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1850</v>
      </c>
      <c r="M42" s="277">
        <f t="shared" ref="M42:M55" si="2">L42*J42</f>
        <v>1850</v>
      </c>
      <c r="N42" s="276">
        <f t="shared" ref="N42:N56" si="3">M42*22/122</f>
        <v>333.60655737704917</v>
      </c>
    </row>
    <row r="43" spans="2:14" s="275" customFormat="1" ht="12.75" customHeight="1" x14ac:dyDescent="0.25">
      <c r="B43" s="281" t="s">
        <v>446</v>
      </c>
      <c r="C43" s="292" t="s">
        <v>537</v>
      </c>
      <c r="D43" s="389" t="s">
        <v>536</v>
      </c>
      <c r="E43" s="390"/>
      <c r="F43" s="390"/>
      <c r="G43" s="390"/>
      <c r="H43" s="390"/>
      <c r="I43" s="391"/>
      <c r="J43" s="291">
        <v>1</v>
      </c>
      <c r="K43" s="279" t="s">
        <v>437</v>
      </c>
      <c r="L43" s="278">
        <v>400</v>
      </c>
      <c r="M43" s="277">
        <f t="shared" si="2"/>
        <v>400</v>
      </c>
      <c r="N43" s="276">
        <f t="shared" si="3"/>
        <v>72.131147540983605</v>
      </c>
    </row>
    <row r="44" spans="2:14" s="275" customFormat="1" ht="12.75" customHeight="1" x14ac:dyDescent="0.25">
      <c r="B44" s="281" t="s">
        <v>443</v>
      </c>
      <c r="C44" s="280" t="s">
        <v>578</v>
      </c>
      <c r="D44" s="389" t="s">
        <v>577</v>
      </c>
      <c r="E44" s="390"/>
      <c r="F44" s="390"/>
      <c r="G44" s="390"/>
      <c r="H44" s="390"/>
      <c r="I44" s="391"/>
      <c r="J44" s="331" t="s">
        <v>449</v>
      </c>
      <c r="K44" s="279" t="s">
        <v>437</v>
      </c>
      <c r="L44" s="278">
        <v>450</v>
      </c>
      <c r="M44" s="277">
        <f t="shared" si="2"/>
        <v>450</v>
      </c>
      <c r="N44" s="276">
        <f t="shared" si="3"/>
        <v>81.147540983606561</v>
      </c>
    </row>
    <row r="45" spans="2:14" s="275" customFormat="1" ht="24.75" customHeight="1" x14ac:dyDescent="0.25">
      <c r="B45" s="281" t="s">
        <v>440</v>
      </c>
      <c r="C45" s="280" t="s">
        <v>580</v>
      </c>
      <c r="D45" s="389" t="s">
        <v>579</v>
      </c>
      <c r="E45" s="390"/>
      <c r="F45" s="390"/>
      <c r="G45" s="390"/>
      <c r="H45" s="390"/>
      <c r="I45" s="391"/>
      <c r="J45" s="291">
        <v>1</v>
      </c>
      <c r="K45" s="279" t="s">
        <v>437</v>
      </c>
      <c r="L45" s="278">
        <v>400</v>
      </c>
      <c r="M45" s="277">
        <f t="shared" si="2"/>
        <v>400</v>
      </c>
      <c r="N45" s="276">
        <f t="shared" si="3"/>
        <v>72.131147540983605</v>
      </c>
    </row>
    <row r="46" spans="2:14" s="275" customFormat="1" ht="25.5" customHeight="1" x14ac:dyDescent="0.25">
      <c r="B46" s="281" t="s">
        <v>453</v>
      </c>
      <c r="C46" s="280" t="s">
        <v>1012</v>
      </c>
      <c r="D46" s="389" t="s">
        <v>1011</v>
      </c>
      <c r="E46" s="390"/>
      <c r="F46" s="390"/>
      <c r="G46" s="390"/>
      <c r="H46" s="390"/>
      <c r="I46" s="391"/>
      <c r="J46" s="291">
        <v>2</v>
      </c>
      <c r="K46" s="279" t="s">
        <v>437</v>
      </c>
      <c r="L46" s="278">
        <v>2300</v>
      </c>
      <c r="M46" s="277">
        <f t="shared" si="2"/>
        <v>4600</v>
      </c>
      <c r="N46" s="276">
        <f t="shared" si="3"/>
        <v>829.50819672131149</v>
      </c>
    </row>
    <row r="47" spans="2:14" s="275" customFormat="1" ht="22.5" customHeight="1" x14ac:dyDescent="0.25">
      <c r="B47" s="281" t="s">
        <v>452</v>
      </c>
      <c r="C47" s="280" t="s">
        <v>1010</v>
      </c>
      <c r="D47" s="389" t="s">
        <v>1009</v>
      </c>
      <c r="E47" s="390"/>
      <c r="F47" s="390"/>
      <c r="G47" s="390"/>
      <c r="H47" s="390"/>
      <c r="I47" s="391"/>
      <c r="J47" s="291">
        <v>1</v>
      </c>
      <c r="K47" s="279" t="s">
        <v>520</v>
      </c>
      <c r="L47" s="278">
        <v>1650</v>
      </c>
      <c r="M47" s="277">
        <f t="shared" si="2"/>
        <v>1650</v>
      </c>
      <c r="N47" s="276">
        <f t="shared" si="3"/>
        <v>297.5409836065574</v>
      </c>
    </row>
    <row r="48" spans="2:14" s="275" customFormat="1" ht="24" customHeight="1" x14ac:dyDescent="0.25">
      <c r="B48" s="281" t="s">
        <v>451</v>
      </c>
      <c r="C48" s="292">
        <v>8450006786</v>
      </c>
      <c r="D48" s="389" t="s">
        <v>1008</v>
      </c>
      <c r="E48" s="390"/>
      <c r="F48" s="390"/>
      <c r="G48" s="390"/>
      <c r="H48" s="390"/>
      <c r="I48" s="391"/>
      <c r="J48" s="291">
        <v>2</v>
      </c>
      <c r="K48" s="279" t="s">
        <v>437</v>
      </c>
      <c r="L48" s="278">
        <v>3200</v>
      </c>
      <c r="M48" s="277">
        <f t="shared" si="2"/>
        <v>6400</v>
      </c>
      <c r="N48" s="276">
        <f t="shared" si="3"/>
        <v>1154.0983606557377</v>
      </c>
    </row>
    <row r="49" spans="2:14" s="275" customFormat="1" ht="25.5" customHeight="1" x14ac:dyDescent="0.25">
      <c r="B49" s="281" t="s">
        <v>450</v>
      </c>
      <c r="C49" s="292" t="s">
        <v>1007</v>
      </c>
      <c r="D49" s="389" t="s">
        <v>1006</v>
      </c>
      <c r="E49" s="390"/>
      <c r="F49" s="390"/>
      <c r="G49" s="390"/>
      <c r="H49" s="390"/>
      <c r="I49" s="391"/>
      <c r="J49" s="291">
        <v>1</v>
      </c>
      <c r="K49" s="279" t="s">
        <v>437</v>
      </c>
      <c r="L49" s="278">
        <v>900</v>
      </c>
      <c r="M49" s="277">
        <f t="shared" si="2"/>
        <v>900</v>
      </c>
      <c r="N49" s="276">
        <f t="shared" si="3"/>
        <v>162.29508196721312</v>
      </c>
    </row>
    <row r="50" spans="2:14" s="275" customFormat="1" ht="25.5" customHeight="1" x14ac:dyDescent="0.25">
      <c r="B50" s="281" t="s">
        <v>468</v>
      </c>
      <c r="C50" s="292" t="s">
        <v>1005</v>
      </c>
      <c r="D50" s="389" t="s">
        <v>1004</v>
      </c>
      <c r="E50" s="390"/>
      <c r="F50" s="390"/>
      <c r="G50" s="390"/>
      <c r="H50" s="390"/>
      <c r="I50" s="391"/>
      <c r="J50" s="291">
        <v>1</v>
      </c>
      <c r="K50" s="279" t="s">
        <v>437</v>
      </c>
      <c r="L50" s="278">
        <v>250</v>
      </c>
      <c r="M50" s="277">
        <f t="shared" si="2"/>
        <v>250</v>
      </c>
      <c r="N50" s="276">
        <f t="shared" si="3"/>
        <v>45.081967213114751</v>
      </c>
    </row>
    <row r="51" spans="2:14" s="275" customFormat="1" ht="25.5" customHeight="1" x14ac:dyDescent="0.25">
      <c r="B51" s="281" t="s">
        <v>541</v>
      </c>
      <c r="C51" s="292" t="s">
        <v>1003</v>
      </c>
      <c r="D51" s="389" t="s">
        <v>1002</v>
      </c>
      <c r="E51" s="390"/>
      <c r="F51" s="390"/>
      <c r="G51" s="390"/>
      <c r="H51" s="390"/>
      <c r="I51" s="391"/>
      <c r="J51" s="291">
        <v>1</v>
      </c>
      <c r="K51" s="279" t="s">
        <v>437</v>
      </c>
      <c r="L51" s="278">
        <v>5300</v>
      </c>
      <c r="M51" s="277">
        <f t="shared" si="2"/>
        <v>5300</v>
      </c>
      <c r="N51" s="276">
        <f t="shared" si="3"/>
        <v>955.73770491803282</v>
      </c>
    </row>
    <row r="52" spans="2:14" s="275" customFormat="1" ht="26.25" customHeight="1" x14ac:dyDescent="0.25">
      <c r="B52" s="281" t="s">
        <v>538</v>
      </c>
      <c r="C52" s="292" t="s">
        <v>1001</v>
      </c>
      <c r="D52" s="389" t="s">
        <v>1000</v>
      </c>
      <c r="E52" s="390"/>
      <c r="F52" s="390"/>
      <c r="G52" s="390"/>
      <c r="H52" s="390"/>
      <c r="I52" s="391"/>
      <c r="J52" s="291">
        <v>1</v>
      </c>
      <c r="K52" s="279" t="s">
        <v>437</v>
      </c>
      <c r="L52" s="278">
        <v>5600</v>
      </c>
      <c r="M52" s="277">
        <f t="shared" si="2"/>
        <v>5600</v>
      </c>
      <c r="N52" s="276">
        <f t="shared" si="3"/>
        <v>1009.8360655737705</v>
      </c>
    </row>
    <row r="53" spans="2:14" s="275" customFormat="1" ht="12.75" customHeight="1" x14ac:dyDescent="0.25">
      <c r="B53" s="281" t="s">
        <v>535</v>
      </c>
      <c r="C53" s="292">
        <v>614503</v>
      </c>
      <c r="D53" s="389" t="s">
        <v>488</v>
      </c>
      <c r="E53" s="390"/>
      <c r="F53" s="390"/>
      <c r="G53" s="390"/>
      <c r="H53" s="390"/>
      <c r="I53" s="391"/>
      <c r="J53" s="291">
        <v>1</v>
      </c>
      <c r="K53" s="279" t="s">
        <v>520</v>
      </c>
      <c r="L53" s="278">
        <v>1000</v>
      </c>
      <c r="M53" s="277">
        <f t="shared" si="2"/>
        <v>1000</v>
      </c>
      <c r="N53" s="276">
        <f t="shared" si="3"/>
        <v>180.32786885245901</v>
      </c>
    </row>
    <row r="54" spans="2:14" s="275" customFormat="1" ht="13.5" customHeight="1" x14ac:dyDescent="0.25">
      <c r="B54" s="281" t="s">
        <v>532</v>
      </c>
      <c r="C54" s="292">
        <v>990550</v>
      </c>
      <c r="D54" s="389" t="s">
        <v>999</v>
      </c>
      <c r="E54" s="390"/>
      <c r="F54" s="390"/>
      <c r="G54" s="390"/>
      <c r="H54" s="390"/>
      <c r="I54" s="391"/>
      <c r="J54" s="291">
        <v>1</v>
      </c>
      <c r="K54" s="279" t="s">
        <v>437</v>
      </c>
      <c r="L54" s="278">
        <v>250</v>
      </c>
      <c r="M54" s="277">
        <f t="shared" si="2"/>
        <v>250</v>
      </c>
      <c r="N54" s="276">
        <f t="shared" si="3"/>
        <v>45.081967213114751</v>
      </c>
    </row>
    <row r="55" spans="2:14" s="275" customFormat="1" ht="25.5" customHeight="1" x14ac:dyDescent="0.25">
      <c r="B55" s="281" t="s">
        <v>529</v>
      </c>
      <c r="C55" s="292" t="s">
        <v>998</v>
      </c>
      <c r="D55" s="389" t="s">
        <v>997</v>
      </c>
      <c r="E55" s="390"/>
      <c r="F55" s="390"/>
      <c r="G55" s="390"/>
      <c r="H55" s="390"/>
      <c r="I55" s="391"/>
      <c r="J55" s="291">
        <v>1</v>
      </c>
      <c r="K55" s="279" t="s">
        <v>437</v>
      </c>
      <c r="L55" s="278">
        <v>1750</v>
      </c>
      <c r="M55" s="277">
        <f t="shared" si="2"/>
        <v>1750</v>
      </c>
      <c r="N55" s="276">
        <f t="shared" si="3"/>
        <v>315.57377049180326</v>
      </c>
    </row>
    <row r="56" spans="2:14" x14ac:dyDescent="0.25">
      <c r="B56" s="396" t="s">
        <v>436</v>
      </c>
      <c r="C56" s="396"/>
      <c r="D56" s="396"/>
      <c r="E56" s="396"/>
      <c r="F56" s="396"/>
      <c r="G56" s="396"/>
      <c r="H56" s="396"/>
      <c r="I56" s="397"/>
      <c r="J56" s="297">
        <v>16</v>
      </c>
      <c r="K56" s="393" t="s">
        <v>435</v>
      </c>
      <c r="L56" s="395"/>
      <c r="M56" s="340">
        <f>M42+M43+M44+M45+M46+M47+M48+M49+M50+M51+M52+M53+M54+M55</f>
        <v>30800</v>
      </c>
      <c r="N56" s="276">
        <f t="shared" si="3"/>
        <v>5554.0983606557375</v>
      </c>
    </row>
    <row r="58" spans="2:14" ht="15" customHeight="1" x14ac:dyDescent="0.25">
      <c r="B58" s="392" t="s">
        <v>996</v>
      </c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</row>
    <row r="59" spans="2:14" ht="15.75" thickBot="1" x14ac:dyDescent="0.3"/>
    <row r="60" spans="2:14" ht="16.5" thickTop="1" thickBot="1" x14ac:dyDescent="0.3">
      <c r="B60" s="271"/>
      <c r="C60" s="271"/>
      <c r="D60" s="271"/>
      <c r="E60" s="271"/>
      <c r="F60" s="271"/>
      <c r="G60" s="271"/>
      <c r="H60" s="271"/>
      <c r="I60" s="271"/>
      <c r="J60" s="271"/>
      <c r="K60" s="270"/>
      <c r="L60" s="270" t="s">
        <v>433</v>
      </c>
      <c r="M60" s="269">
        <f>M34+M56</f>
        <v>53200</v>
      </c>
      <c r="N60" s="268">
        <f>M60*22/122</f>
        <v>9593.442622950819</v>
      </c>
    </row>
    <row r="61" spans="2:14" ht="15.75" thickTop="1" x14ac:dyDescent="0.25"/>
    <row r="62" spans="2:14" ht="15" customHeight="1" x14ac:dyDescent="0.25">
      <c r="B62" s="388" t="s">
        <v>995</v>
      </c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</row>
    <row r="65" spans="2:14" ht="15" customHeight="1" x14ac:dyDescent="0.25">
      <c r="J65" s="266" t="s">
        <v>431</v>
      </c>
      <c r="K65" s="384" t="s">
        <v>430</v>
      </c>
      <c r="L65" s="384"/>
      <c r="M65" s="384"/>
      <c r="N65" s="384"/>
    </row>
    <row r="67" spans="2:14" ht="53.25" customHeight="1" x14ac:dyDescent="0.25">
      <c r="B67" s="267"/>
      <c r="C67" s="385" t="s">
        <v>429</v>
      </c>
      <c r="D67" s="385"/>
      <c r="E67" s="385"/>
      <c r="F67" s="385"/>
      <c r="G67" s="385"/>
      <c r="H67" s="385"/>
      <c r="I67" s="385"/>
      <c r="J67" s="385"/>
      <c r="K67" s="385"/>
      <c r="L67" s="385"/>
      <c r="M67" s="385"/>
    </row>
    <row r="71" spans="2:14" ht="24" customHeight="1" x14ac:dyDescent="0.25">
      <c r="B71" s="386" t="s">
        <v>975</v>
      </c>
      <c r="C71" s="386"/>
      <c r="J71" s="266" t="s">
        <v>427</v>
      </c>
      <c r="K71" s="384" t="s">
        <v>425</v>
      </c>
      <c r="L71" s="384"/>
      <c r="M71" s="384"/>
      <c r="N71" s="384"/>
    </row>
    <row r="73" spans="2:14" ht="26.25" customHeight="1" x14ac:dyDescent="0.25">
      <c r="J73" s="266" t="s">
        <v>426</v>
      </c>
      <c r="K73" s="384" t="s">
        <v>425</v>
      </c>
      <c r="L73" s="384"/>
      <c r="M73" s="384"/>
      <c r="N73" s="384"/>
    </row>
    <row r="75" spans="2:14" x14ac:dyDescent="0.25">
      <c r="B75" s="387" t="s">
        <v>424</v>
      </c>
      <c r="C75" s="387"/>
    </row>
    <row r="76" spans="2:14" x14ac:dyDescent="0.25">
      <c r="B76" s="381"/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/>
      <c r="N76" s="383"/>
    </row>
  </sheetData>
  <mergeCells count="54">
    <mergeCell ref="D46:I46"/>
    <mergeCell ref="D48:I48"/>
    <mergeCell ref="D47:I47"/>
    <mergeCell ref="D32:H32"/>
    <mergeCell ref="D27:H27"/>
    <mergeCell ref="D28:H28"/>
    <mergeCell ref="D29:H29"/>
    <mergeCell ref="D30:H30"/>
    <mergeCell ref="D31:H31"/>
    <mergeCell ref="D42:I42"/>
    <mergeCell ref="D44:I44"/>
    <mergeCell ref="D45:I45"/>
    <mergeCell ref="D21:H21"/>
    <mergeCell ref="D43:I43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40:I40"/>
    <mergeCell ref="D41:I41"/>
    <mergeCell ref="D24:H24"/>
    <mergeCell ref="D25:H25"/>
    <mergeCell ref="D26:H26"/>
    <mergeCell ref="J34:L34"/>
    <mergeCell ref="B36:N36"/>
    <mergeCell ref="D33:H33"/>
    <mergeCell ref="B34:H34"/>
    <mergeCell ref="D19:H19"/>
    <mergeCell ref="D20:H20"/>
    <mergeCell ref="D22:H22"/>
    <mergeCell ref="D23:H23"/>
    <mergeCell ref="K56:L56"/>
    <mergeCell ref="D49:I49"/>
    <mergeCell ref="D50:I50"/>
    <mergeCell ref="D51:I51"/>
    <mergeCell ref="D52:I52"/>
    <mergeCell ref="B56:I56"/>
    <mergeCell ref="D53:I53"/>
    <mergeCell ref="D54:I54"/>
    <mergeCell ref="D55:I55"/>
    <mergeCell ref="B58:N58"/>
    <mergeCell ref="B62:N62"/>
    <mergeCell ref="B76:N76"/>
    <mergeCell ref="K65:N65"/>
    <mergeCell ref="C67:M67"/>
    <mergeCell ref="B71:C71"/>
    <mergeCell ref="K71:N71"/>
    <mergeCell ref="K73:N73"/>
    <mergeCell ref="B75:C75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5AB5-6D13-47EE-84CD-B7DEA2EB0872}">
  <sheetPr codeName="Лист34">
    <pageSetUpPr fitToPage="1"/>
  </sheetPr>
  <dimension ref="B1:N71"/>
  <sheetViews>
    <sheetView workbookViewId="0">
      <selection activeCell="T29" sqref="T29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1047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1046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1045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1020</v>
      </c>
      <c r="E21" s="414"/>
      <c r="F21" s="414"/>
      <c r="G21" s="414"/>
      <c r="H21" s="415"/>
      <c r="I21" s="291">
        <v>1</v>
      </c>
      <c r="J21" s="300">
        <v>500</v>
      </c>
      <c r="K21" s="289">
        <v>1</v>
      </c>
      <c r="L21" s="279" t="s">
        <v>11</v>
      </c>
      <c r="M21" s="277">
        <f t="shared" ref="M21:M31" si="0">J21*I21</f>
        <v>500</v>
      </c>
      <c r="N21" s="276">
        <f t="shared" ref="N21:N32" si="1">M21*22/122</f>
        <v>90.163934426229503</v>
      </c>
    </row>
    <row r="22" spans="2:14" s="275" customFormat="1" ht="15" customHeight="1" thickBot="1" x14ac:dyDescent="0.3">
      <c r="B22" s="281" t="s">
        <v>446</v>
      </c>
      <c r="C22" s="292"/>
      <c r="D22" s="413" t="s">
        <v>465</v>
      </c>
      <c r="E22" s="414"/>
      <c r="F22" s="414"/>
      <c r="G22" s="414"/>
      <c r="H22" s="415"/>
      <c r="I22" s="291">
        <v>1</v>
      </c>
      <c r="J22" s="300">
        <v>200</v>
      </c>
      <c r="K22" s="289">
        <v>1</v>
      </c>
      <c r="L22" s="279" t="s">
        <v>11</v>
      </c>
      <c r="M22" s="277">
        <f t="shared" si="0"/>
        <v>200</v>
      </c>
      <c r="N22" s="276">
        <f t="shared" si="1"/>
        <v>36.065573770491802</v>
      </c>
    </row>
    <row r="23" spans="2:14" s="275" customFormat="1" ht="14.25" customHeight="1" thickBot="1" x14ac:dyDescent="0.3">
      <c r="B23" s="281" t="s">
        <v>443</v>
      </c>
      <c r="C23" s="292"/>
      <c r="D23" s="413" t="s">
        <v>466</v>
      </c>
      <c r="E23" s="414"/>
      <c r="F23" s="414"/>
      <c r="G23" s="414"/>
      <c r="H23" s="415"/>
      <c r="I23" s="291">
        <v>1</v>
      </c>
      <c r="J23" s="300">
        <v>300</v>
      </c>
      <c r="K23" s="289">
        <v>1</v>
      </c>
      <c r="L23" s="279" t="s">
        <v>11</v>
      </c>
      <c r="M23" s="277">
        <f t="shared" si="0"/>
        <v>300</v>
      </c>
      <c r="N23" s="276">
        <f t="shared" si="1"/>
        <v>54.098360655737707</v>
      </c>
    </row>
    <row r="24" spans="2:14" s="275" customFormat="1" ht="12" customHeight="1" x14ac:dyDescent="0.25">
      <c r="B24" s="281" t="s">
        <v>440</v>
      </c>
      <c r="C24" s="292"/>
      <c r="D24" s="389" t="s">
        <v>742</v>
      </c>
      <c r="E24" s="390"/>
      <c r="F24" s="390"/>
      <c r="G24" s="390"/>
      <c r="H24" s="391"/>
      <c r="I24" s="291">
        <v>1</v>
      </c>
      <c r="J24" s="300">
        <v>400</v>
      </c>
      <c r="K24" s="289">
        <v>1</v>
      </c>
      <c r="L24" s="279" t="s">
        <v>11</v>
      </c>
      <c r="M24" s="277">
        <f t="shared" si="0"/>
        <v>400</v>
      </c>
      <c r="N24" s="276">
        <f t="shared" si="1"/>
        <v>72.131147540983605</v>
      </c>
    </row>
    <row r="25" spans="2:14" s="275" customFormat="1" ht="13.5" customHeight="1" x14ac:dyDescent="0.25">
      <c r="B25" s="281" t="s">
        <v>453</v>
      </c>
      <c r="C25" s="292"/>
      <c r="D25" s="389" t="s">
        <v>510</v>
      </c>
      <c r="E25" s="390"/>
      <c r="F25" s="390"/>
      <c r="G25" s="390"/>
      <c r="H25" s="391"/>
      <c r="I25" s="291">
        <v>1</v>
      </c>
      <c r="J25" s="300">
        <v>300</v>
      </c>
      <c r="K25" s="289">
        <v>1</v>
      </c>
      <c r="L25" s="279" t="s">
        <v>11</v>
      </c>
      <c r="M25" s="277">
        <f t="shared" si="0"/>
        <v>300</v>
      </c>
      <c r="N25" s="276">
        <f t="shared" si="1"/>
        <v>54.098360655737707</v>
      </c>
    </row>
    <row r="26" spans="2:14" s="275" customFormat="1" ht="12" customHeight="1" x14ac:dyDescent="0.25">
      <c r="B26" s="281" t="s">
        <v>452</v>
      </c>
      <c r="C26" s="292"/>
      <c r="D26" s="389" t="s">
        <v>1044</v>
      </c>
      <c r="E26" s="390"/>
      <c r="F26" s="390"/>
      <c r="G26" s="390"/>
      <c r="H26" s="391"/>
      <c r="I26" s="291">
        <v>2</v>
      </c>
      <c r="J26" s="300">
        <v>350</v>
      </c>
      <c r="K26" s="289">
        <v>1</v>
      </c>
      <c r="L26" s="279" t="s">
        <v>11</v>
      </c>
      <c r="M26" s="277">
        <f t="shared" si="0"/>
        <v>700</v>
      </c>
      <c r="N26" s="276">
        <f t="shared" si="1"/>
        <v>126.22950819672131</v>
      </c>
    </row>
    <row r="27" spans="2:14" s="275" customFormat="1" ht="12" customHeight="1" x14ac:dyDescent="0.25">
      <c r="B27" s="281" t="s">
        <v>451</v>
      </c>
      <c r="C27" s="292"/>
      <c r="D27" s="389" t="s">
        <v>567</v>
      </c>
      <c r="E27" s="390"/>
      <c r="F27" s="390"/>
      <c r="G27" s="390"/>
      <c r="H27" s="391"/>
      <c r="I27" s="291">
        <v>2</v>
      </c>
      <c r="J27" s="300">
        <v>300</v>
      </c>
      <c r="K27" s="289">
        <v>1</v>
      </c>
      <c r="L27" s="279" t="s">
        <v>11</v>
      </c>
      <c r="M27" s="277">
        <f t="shared" si="0"/>
        <v>600</v>
      </c>
      <c r="N27" s="276">
        <f t="shared" si="1"/>
        <v>108.19672131147541</v>
      </c>
    </row>
    <row r="28" spans="2:14" s="275" customFormat="1" ht="12" customHeight="1" x14ac:dyDescent="0.25">
      <c r="B28" s="281" t="s">
        <v>450</v>
      </c>
      <c r="C28" s="292"/>
      <c r="D28" s="389" t="s">
        <v>1043</v>
      </c>
      <c r="E28" s="390"/>
      <c r="F28" s="390"/>
      <c r="G28" s="390"/>
      <c r="H28" s="391"/>
      <c r="I28" s="291">
        <v>1</v>
      </c>
      <c r="J28" s="300">
        <v>5000</v>
      </c>
      <c r="K28" s="289">
        <v>1</v>
      </c>
      <c r="L28" s="279" t="s">
        <v>11</v>
      </c>
      <c r="M28" s="277">
        <f t="shared" si="0"/>
        <v>5000</v>
      </c>
      <c r="N28" s="276">
        <f t="shared" si="1"/>
        <v>901.63934426229503</v>
      </c>
    </row>
    <row r="29" spans="2:14" s="275" customFormat="1" ht="23.25" customHeight="1" x14ac:dyDescent="0.25">
      <c r="B29" s="281" t="s">
        <v>468</v>
      </c>
      <c r="C29" s="292"/>
      <c r="D29" s="389" t="s">
        <v>1042</v>
      </c>
      <c r="E29" s="390"/>
      <c r="F29" s="390"/>
      <c r="G29" s="390"/>
      <c r="H29" s="391"/>
      <c r="I29" s="291">
        <v>1</v>
      </c>
      <c r="J29" s="300">
        <v>7500</v>
      </c>
      <c r="K29" s="289">
        <v>1</v>
      </c>
      <c r="L29" s="279" t="s">
        <v>11</v>
      </c>
      <c r="M29" s="277">
        <f t="shared" si="0"/>
        <v>7500</v>
      </c>
      <c r="N29" s="276">
        <f t="shared" si="1"/>
        <v>1352.4590163934427</v>
      </c>
    </row>
    <row r="30" spans="2:14" s="275" customFormat="1" ht="12" customHeight="1" x14ac:dyDescent="0.25">
      <c r="B30" s="281" t="s">
        <v>541</v>
      </c>
      <c r="C30" s="292"/>
      <c r="D30" s="389" t="s">
        <v>1041</v>
      </c>
      <c r="E30" s="390"/>
      <c r="F30" s="390"/>
      <c r="G30" s="390"/>
      <c r="H30" s="391"/>
      <c r="I30" s="291">
        <v>2</v>
      </c>
      <c r="J30" s="300">
        <v>350</v>
      </c>
      <c r="K30" s="289">
        <v>1</v>
      </c>
      <c r="L30" s="279" t="s">
        <v>11</v>
      </c>
      <c r="M30" s="277">
        <f t="shared" si="0"/>
        <v>700</v>
      </c>
      <c r="N30" s="276">
        <f t="shared" si="1"/>
        <v>126.22950819672131</v>
      </c>
    </row>
    <row r="31" spans="2:14" s="275" customFormat="1" ht="12.75" customHeight="1" x14ac:dyDescent="0.25">
      <c r="B31" s="281" t="s">
        <v>538</v>
      </c>
      <c r="C31" s="292"/>
      <c r="D31" s="389" t="s">
        <v>620</v>
      </c>
      <c r="E31" s="390"/>
      <c r="F31" s="390"/>
      <c r="G31" s="390"/>
      <c r="H31" s="391"/>
      <c r="I31" s="291">
        <v>1</v>
      </c>
      <c r="J31" s="300">
        <v>1500</v>
      </c>
      <c r="K31" s="289">
        <v>1</v>
      </c>
      <c r="L31" s="279" t="s">
        <v>11</v>
      </c>
      <c r="M31" s="277">
        <f t="shared" si="0"/>
        <v>1500</v>
      </c>
      <c r="N31" s="276">
        <f t="shared" si="1"/>
        <v>270.49180327868851</v>
      </c>
    </row>
    <row r="32" spans="2:14" x14ac:dyDescent="0.25">
      <c r="B32" s="396" t="s">
        <v>464</v>
      </c>
      <c r="C32" s="396"/>
      <c r="D32" s="396"/>
      <c r="E32" s="396"/>
      <c r="F32" s="396"/>
      <c r="G32" s="396"/>
      <c r="H32" s="397"/>
      <c r="I32" s="299">
        <v>14</v>
      </c>
      <c r="J32" s="393" t="s">
        <v>435</v>
      </c>
      <c r="K32" s="394"/>
      <c r="L32" s="395"/>
      <c r="M32" s="277">
        <f>M21+M22+M23+M24+M25+M26+M27+M28+M29+M30+M31</f>
        <v>17700</v>
      </c>
      <c r="N32" s="276">
        <f t="shared" si="1"/>
        <v>3191.8032786885246</v>
      </c>
    </row>
    <row r="33" spans="2:14" ht="9" customHeight="1" x14ac:dyDescent="0.25"/>
    <row r="34" spans="2:14" ht="15" customHeight="1" x14ac:dyDescent="0.25">
      <c r="B34" s="392" t="s">
        <v>1040</v>
      </c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</row>
    <row r="35" spans="2:14" ht="7.5" customHeight="1" x14ac:dyDescent="0.25"/>
    <row r="36" spans="2:14" x14ac:dyDescent="0.25">
      <c r="C36" s="287" t="s">
        <v>1039</v>
      </c>
    </row>
    <row r="37" spans="2:14" ht="15.75" thickBot="1" x14ac:dyDescent="0.3">
      <c r="B37" s="286"/>
      <c r="C37" s="285"/>
      <c r="D37" s="285"/>
      <c r="H37" s="285"/>
      <c r="I37" s="285"/>
      <c r="M37" s="284"/>
      <c r="N37" s="284"/>
    </row>
    <row r="38" spans="2:14" ht="15.75" thickBot="1" x14ac:dyDescent="0.3">
      <c r="B38" s="298" t="s">
        <v>461</v>
      </c>
      <c r="C38" s="283" t="s">
        <v>460</v>
      </c>
      <c r="D38" s="398" t="s">
        <v>459</v>
      </c>
      <c r="E38" s="399"/>
      <c r="F38" s="399"/>
      <c r="G38" s="399"/>
      <c r="H38" s="399"/>
      <c r="I38" s="400"/>
      <c r="J38" s="298" t="s">
        <v>458</v>
      </c>
      <c r="K38" s="298" t="s">
        <v>457</v>
      </c>
      <c r="L38" s="298" t="s">
        <v>456</v>
      </c>
      <c r="M38" s="298" t="s">
        <v>455</v>
      </c>
      <c r="N38" s="298" t="s">
        <v>454</v>
      </c>
    </row>
    <row r="39" spans="2:14" ht="15.75" thickBot="1" x14ac:dyDescent="0.3">
      <c r="B39" s="298" t="s">
        <v>449</v>
      </c>
      <c r="C39" s="283" t="s">
        <v>446</v>
      </c>
      <c r="D39" s="398" t="s">
        <v>443</v>
      </c>
      <c r="E39" s="399"/>
      <c r="F39" s="399"/>
      <c r="G39" s="399"/>
      <c r="H39" s="399"/>
      <c r="I39" s="400"/>
      <c r="J39" s="298" t="s">
        <v>440</v>
      </c>
      <c r="K39" s="298" t="s">
        <v>453</v>
      </c>
      <c r="L39" s="298" t="s">
        <v>452</v>
      </c>
      <c r="M39" s="298" t="s">
        <v>451</v>
      </c>
      <c r="N39" s="298" t="s">
        <v>450</v>
      </c>
    </row>
    <row r="40" spans="2:14" s="275" customFormat="1" ht="14.25" customHeight="1" x14ac:dyDescent="0.25">
      <c r="B40" s="281" t="s">
        <v>449</v>
      </c>
      <c r="C40" s="292" t="s">
        <v>537</v>
      </c>
      <c r="D40" s="389" t="s">
        <v>536</v>
      </c>
      <c r="E40" s="390"/>
      <c r="F40" s="390"/>
      <c r="G40" s="390"/>
      <c r="H40" s="390"/>
      <c r="I40" s="391"/>
      <c r="J40" s="291">
        <v>1</v>
      </c>
      <c r="K40" s="279" t="s">
        <v>437</v>
      </c>
      <c r="L40" s="278">
        <v>400</v>
      </c>
      <c r="M40" s="277">
        <f t="shared" ref="M40:M50" si="2">L40*J40</f>
        <v>400</v>
      </c>
      <c r="N40" s="276">
        <f t="shared" ref="N40:N51" si="3">M40*22/122</f>
        <v>72.131147540983605</v>
      </c>
    </row>
    <row r="41" spans="2:14" s="275" customFormat="1" ht="15" customHeight="1" x14ac:dyDescent="0.25">
      <c r="B41" s="281" t="s">
        <v>446</v>
      </c>
      <c r="C41" s="280" t="s">
        <v>1038</v>
      </c>
      <c r="D41" s="389" t="s">
        <v>1037</v>
      </c>
      <c r="E41" s="390"/>
      <c r="F41" s="390"/>
      <c r="G41" s="390"/>
      <c r="H41" s="390"/>
      <c r="I41" s="391"/>
      <c r="J41" s="291">
        <v>1</v>
      </c>
      <c r="K41" s="279" t="s">
        <v>437</v>
      </c>
      <c r="L41" s="278">
        <v>500</v>
      </c>
      <c r="M41" s="277">
        <f t="shared" si="2"/>
        <v>500</v>
      </c>
      <c r="N41" s="276">
        <f t="shared" si="3"/>
        <v>90.163934426229503</v>
      </c>
    </row>
    <row r="42" spans="2:14" s="275" customFormat="1" ht="12.75" customHeight="1" x14ac:dyDescent="0.25">
      <c r="B42" s="281" t="s">
        <v>443</v>
      </c>
      <c r="C42" s="292">
        <v>3705304</v>
      </c>
      <c r="D42" s="389" t="s">
        <v>530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1600</v>
      </c>
      <c r="M42" s="277">
        <f t="shared" si="2"/>
        <v>1600</v>
      </c>
      <c r="N42" s="276">
        <f t="shared" si="3"/>
        <v>288.52459016393442</v>
      </c>
    </row>
    <row r="43" spans="2:14" s="275" customFormat="1" ht="24.75" customHeight="1" x14ac:dyDescent="0.25">
      <c r="B43" s="281" t="s">
        <v>440</v>
      </c>
      <c r="C43" s="280" t="s">
        <v>534</v>
      </c>
      <c r="D43" s="389" t="s">
        <v>533</v>
      </c>
      <c r="E43" s="390"/>
      <c r="F43" s="390"/>
      <c r="G43" s="390"/>
      <c r="H43" s="390"/>
      <c r="I43" s="391"/>
      <c r="J43" s="291">
        <v>1</v>
      </c>
      <c r="K43" s="279" t="s">
        <v>437</v>
      </c>
      <c r="L43" s="278">
        <v>350</v>
      </c>
      <c r="M43" s="277">
        <f t="shared" si="2"/>
        <v>350</v>
      </c>
      <c r="N43" s="276">
        <f t="shared" si="3"/>
        <v>63.114754098360656</v>
      </c>
    </row>
    <row r="44" spans="2:14" s="275" customFormat="1" ht="15" customHeight="1" x14ac:dyDescent="0.25">
      <c r="B44" s="281" t="s">
        <v>453</v>
      </c>
      <c r="C44" s="280" t="s">
        <v>835</v>
      </c>
      <c r="D44" s="389" t="s">
        <v>834</v>
      </c>
      <c r="E44" s="390"/>
      <c r="F44" s="390"/>
      <c r="G44" s="390"/>
      <c r="H44" s="390"/>
      <c r="I44" s="391"/>
      <c r="J44" s="291">
        <v>1</v>
      </c>
      <c r="K44" s="279" t="s">
        <v>520</v>
      </c>
      <c r="L44" s="278">
        <v>600</v>
      </c>
      <c r="M44" s="277">
        <f t="shared" si="2"/>
        <v>600</v>
      </c>
      <c r="N44" s="276">
        <f t="shared" si="3"/>
        <v>108.19672131147541</v>
      </c>
    </row>
    <row r="45" spans="2:14" s="275" customFormat="1" ht="24.75" customHeight="1" x14ac:dyDescent="0.25">
      <c r="B45" s="281" t="s">
        <v>452</v>
      </c>
      <c r="C45" s="280" t="s">
        <v>1036</v>
      </c>
      <c r="D45" s="389" t="s">
        <v>1035</v>
      </c>
      <c r="E45" s="390"/>
      <c r="F45" s="390"/>
      <c r="G45" s="390"/>
      <c r="H45" s="390"/>
      <c r="I45" s="391"/>
      <c r="J45" s="291">
        <v>1</v>
      </c>
      <c r="K45" s="279" t="s">
        <v>437</v>
      </c>
      <c r="L45" s="278">
        <v>450</v>
      </c>
      <c r="M45" s="277">
        <f t="shared" si="2"/>
        <v>450</v>
      </c>
      <c r="N45" s="276">
        <f t="shared" si="3"/>
        <v>81.147540983606561</v>
      </c>
    </row>
    <row r="46" spans="2:14" s="275" customFormat="1" ht="14.25" customHeight="1" x14ac:dyDescent="0.25">
      <c r="B46" s="281" t="s">
        <v>451</v>
      </c>
      <c r="C46" s="292">
        <v>631031</v>
      </c>
      <c r="D46" s="389" t="s">
        <v>1034</v>
      </c>
      <c r="E46" s="390"/>
      <c r="F46" s="390"/>
      <c r="G46" s="390"/>
      <c r="H46" s="390"/>
      <c r="I46" s="391"/>
      <c r="J46" s="291">
        <v>2</v>
      </c>
      <c r="K46" s="279" t="s">
        <v>437</v>
      </c>
      <c r="L46" s="278">
        <v>100</v>
      </c>
      <c r="M46" s="277">
        <f t="shared" si="2"/>
        <v>200</v>
      </c>
      <c r="N46" s="276">
        <f t="shared" si="3"/>
        <v>36.065573770491802</v>
      </c>
    </row>
    <row r="47" spans="2:14" s="275" customFormat="1" ht="24" customHeight="1" x14ac:dyDescent="0.25">
      <c r="B47" s="281" t="s">
        <v>450</v>
      </c>
      <c r="C47" s="292" t="s">
        <v>1033</v>
      </c>
      <c r="D47" s="389" t="s">
        <v>1032</v>
      </c>
      <c r="E47" s="390"/>
      <c r="F47" s="390"/>
      <c r="G47" s="390"/>
      <c r="H47" s="390"/>
      <c r="I47" s="391"/>
      <c r="J47" s="291">
        <v>1</v>
      </c>
      <c r="K47" s="279" t="s">
        <v>520</v>
      </c>
      <c r="L47" s="278">
        <v>450</v>
      </c>
      <c r="M47" s="277">
        <f t="shared" si="2"/>
        <v>450</v>
      </c>
      <c r="N47" s="276">
        <f t="shared" si="3"/>
        <v>81.147540983606561</v>
      </c>
    </row>
    <row r="48" spans="2:14" s="275" customFormat="1" ht="26.25" customHeight="1" x14ac:dyDescent="0.25">
      <c r="B48" s="281" t="s">
        <v>468</v>
      </c>
      <c r="C48" s="280" t="s">
        <v>1031</v>
      </c>
      <c r="D48" s="389" t="s">
        <v>521</v>
      </c>
      <c r="E48" s="390"/>
      <c r="F48" s="390"/>
      <c r="G48" s="390"/>
      <c r="H48" s="390"/>
      <c r="I48" s="391"/>
      <c r="J48" s="291">
        <v>1</v>
      </c>
      <c r="K48" s="279" t="s">
        <v>520</v>
      </c>
      <c r="L48" s="278">
        <v>1900</v>
      </c>
      <c r="M48" s="277">
        <f t="shared" si="2"/>
        <v>1900</v>
      </c>
      <c r="N48" s="276">
        <f t="shared" si="3"/>
        <v>342.62295081967216</v>
      </c>
    </row>
    <row r="49" spans="2:14" s="275" customFormat="1" ht="25.5" customHeight="1" x14ac:dyDescent="0.25">
      <c r="B49" s="281" t="s">
        <v>541</v>
      </c>
      <c r="C49" s="292" t="s">
        <v>1030</v>
      </c>
      <c r="D49" s="389" t="s">
        <v>1029</v>
      </c>
      <c r="E49" s="390"/>
      <c r="F49" s="390"/>
      <c r="G49" s="390"/>
      <c r="H49" s="390"/>
      <c r="I49" s="391"/>
      <c r="J49" s="291">
        <v>2</v>
      </c>
      <c r="K49" s="279" t="s">
        <v>437</v>
      </c>
      <c r="L49" s="278">
        <v>650</v>
      </c>
      <c r="M49" s="277">
        <f t="shared" si="2"/>
        <v>1300</v>
      </c>
      <c r="N49" s="276">
        <f t="shared" si="3"/>
        <v>234.42622950819671</v>
      </c>
    </row>
    <row r="50" spans="2:14" s="275" customFormat="1" ht="26.25" customHeight="1" x14ac:dyDescent="0.25">
      <c r="B50" s="281" t="s">
        <v>538</v>
      </c>
      <c r="C50" s="280" t="s">
        <v>822</v>
      </c>
      <c r="D50" s="389" t="s">
        <v>821</v>
      </c>
      <c r="E50" s="390"/>
      <c r="F50" s="390"/>
      <c r="G50" s="390"/>
      <c r="H50" s="390"/>
      <c r="I50" s="391"/>
      <c r="J50" s="291">
        <v>1</v>
      </c>
      <c r="K50" s="279" t="s">
        <v>437</v>
      </c>
      <c r="L50" s="278">
        <v>400</v>
      </c>
      <c r="M50" s="277">
        <f t="shared" si="2"/>
        <v>400</v>
      </c>
      <c r="N50" s="276">
        <f t="shared" si="3"/>
        <v>72.131147540983605</v>
      </c>
    </row>
    <row r="51" spans="2:14" x14ac:dyDescent="0.25">
      <c r="B51" s="396" t="s">
        <v>436</v>
      </c>
      <c r="C51" s="396"/>
      <c r="D51" s="396"/>
      <c r="E51" s="396"/>
      <c r="F51" s="396"/>
      <c r="G51" s="396"/>
      <c r="H51" s="396"/>
      <c r="I51" s="397"/>
      <c r="J51" s="297">
        <v>13</v>
      </c>
      <c r="K51" s="393" t="s">
        <v>435</v>
      </c>
      <c r="L51" s="395"/>
      <c r="M51" s="340">
        <f>M40+M41+M42+M43+M44+M45+M46+M47+M48+M49+M50</f>
        <v>8150</v>
      </c>
      <c r="N51" s="276">
        <f t="shared" si="3"/>
        <v>1469.672131147541</v>
      </c>
    </row>
    <row r="53" spans="2:14" ht="15" customHeight="1" x14ac:dyDescent="0.25">
      <c r="B53" s="392" t="s">
        <v>1028</v>
      </c>
      <c r="C53" s="392"/>
      <c r="D53" s="392"/>
      <c r="E53" s="392"/>
      <c r="F53" s="392"/>
      <c r="G53" s="392"/>
      <c r="H53" s="392"/>
      <c r="I53" s="392"/>
      <c r="J53" s="392"/>
      <c r="K53" s="392"/>
      <c r="L53" s="392"/>
      <c r="M53" s="392"/>
      <c r="N53" s="392"/>
    </row>
    <row r="54" spans="2:14" ht="15.75" thickBot="1" x14ac:dyDescent="0.3"/>
    <row r="55" spans="2:14" ht="16.5" thickTop="1" thickBot="1" x14ac:dyDescent="0.3">
      <c r="B55" s="271"/>
      <c r="C55" s="271"/>
      <c r="D55" s="271"/>
      <c r="E55" s="271"/>
      <c r="F55" s="271"/>
      <c r="G55" s="271"/>
      <c r="H55" s="271"/>
      <c r="I55" s="271"/>
      <c r="J55" s="271"/>
      <c r="K55" s="270"/>
      <c r="L55" s="270" t="s">
        <v>433</v>
      </c>
      <c r="M55" s="269">
        <f>M32+M51</f>
        <v>25850</v>
      </c>
      <c r="N55" s="268">
        <f>M55*22/122</f>
        <v>4661.4754098360654</v>
      </c>
    </row>
    <row r="56" spans="2:14" ht="15.75" thickTop="1" x14ac:dyDescent="0.25"/>
    <row r="57" spans="2:14" ht="15" customHeight="1" x14ac:dyDescent="0.25">
      <c r="B57" s="388" t="s">
        <v>1027</v>
      </c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</row>
    <row r="60" spans="2:14" ht="15" customHeight="1" x14ac:dyDescent="0.25">
      <c r="J60" s="266" t="s">
        <v>431</v>
      </c>
      <c r="K60" s="384" t="s">
        <v>430</v>
      </c>
      <c r="L60" s="384"/>
      <c r="M60" s="384"/>
      <c r="N60" s="384"/>
    </row>
    <row r="62" spans="2:14" ht="53.25" customHeight="1" x14ac:dyDescent="0.25">
      <c r="B62" s="267"/>
      <c r="C62" s="385" t="s">
        <v>429</v>
      </c>
      <c r="D62" s="385"/>
      <c r="E62" s="385"/>
      <c r="F62" s="385"/>
      <c r="G62" s="385"/>
      <c r="H62" s="385"/>
      <c r="I62" s="385"/>
      <c r="J62" s="385"/>
      <c r="K62" s="385"/>
      <c r="L62" s="385"/>
      <c r="M62" s="385"/>
    </row>
    <row r="66" spans="2:14" ht="24" customHeight="1" x14ac:dyDescent="0.25">
      <c r="B66" s="386" t="s">
        <v>1026</v>
      </c>
      <c r="C66" s="386"/>
      <c r="J66" s="266" t="s">
        <v>427</v>
      </c>
      <c r="K66" s="384" t="s">
        <v>425</v>
      </c>
      <c r="L66" s="384"/>
      <c r="M66" s="384"/>
      <c r="N66" s="384"/>
    </row>
    <row r="68" spans="2:14" ht="26.25" customHeight="1" x14ac:dyDescent="0.25">
      <c r="J68" s="266" t="s">
        <v>426</v>
      </c>
      <c r="K68" s="384" t="s">
        <v>425</v>
      </c>
      <c r="L68" s="384"/>
      <c r="M68" s="384"/>
      <c r="N68" s="384"/>
    </row>
    <row r="70" spans="2:14" x14ac:dyDescent="0.25">
      <c r="B70" s="387" t="s">
        <v>424</v>
      </c>
      <c r="C70" s="387"/>
    </row>
    <row r="71" spans="2:14" x14ac:dyDescent="0.25">
      <c r="B71" s="381"/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383"/>
    </row>
  </sheetData>
  <mergeCells count="49">
    <mergeCell ref="D30:H30"/>
    <mergeCell ref="D22:H22"/>
    <mergeCell ref="D23:H23"/>
    <mergeCell ref="D21:H21"/>
    <mergeCell ref="B1:J1"/>
    <mergeCell ref="B7:N7"/>
    <mergeCell ref="B11:N11"/>
    <mergeCell ref="B12:N12"/>
    <mergeCell ref="D19:H19"/>
    <mergeCell ref="D20:H20"/>
    <mergeCell ref="D27:H27"/>
    <mergeCell ref="D28:H28"/>
    <mergeCell ref="D29:H29"/>
    <mergeCell ref="M1:N3"/>
    <mergeCell ref="B2:J2"/>
    <mergeCell ref="C4:N4"/>
    <mergeCell ref="B6:G6"/>
    <mergeCell ref="H6:N6"/>
    <mergeCell ref="D39:I39"/>
    <mergeCell ref="K51:L51"/>
    <mergeCell ref="D47:I47"/>
    <mergeCell ref="D48:I48"/>
    <mergeCell ref="D49:I49"/>
    <mergeCell ref="D50:I50"/>
    <mergeCell ref="D40:I40"/>
    <mergeCell ref="B53:N53"/>
    <mergeCell ref="D24:H24"/>
    <mergeCell ref="D25:H25"/>
    <mergeCell ref="D26:H26"/>
    <mergeCell ref="J32:L32"/>
    <mergeCell ref="B34:N34"/>
    <mergeCell ref="D31:H31"/>
    <mergeCell ref="B32:H32"/>
    <mergeCell ref="D38:I38"/>
    <mergeCell ref="D41:I41"/>
    <mergeCell ref="D42:I42"/>
    <mergeCell ref="D43:I43"/>
    <mergeCell ref="D44:I44"/>
    <mergeCell ref="D46:I46"/>
    <mergeCell ref="D45:I45"/>
    <mergeCell ref="B51:I51"/>
    <mergeCell ref="B57:N57"/>
    <mergeCell ref="B71:N71"/>
    <mergeCell ref="K60:N60"/>
    <mergeCell ref="C62:M62"/>
    <mergeCell ref="B66:C66"/>
    <mergeCell ref="K66:N66"/>
    <mergeCell ref="K68:N68"/>
    <mergeCell ref="B70:C70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1C59-5B2B-4FEE-A093-563D4696BC06}">
  <sheetPr codeName="Лист35">
    <pageSetUpPr fitToPage="1"/>
  </sheetPr>
  <dimension ref="B1:N57"/>
  <sheetViews>
    <sheetView topLeftCell="A18" workbookViewId="0">
      <selection activeCell="T36" sqref="T3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1063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1062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1061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1060</v>
      </c>
      <c r="E21" s="414"/>
      <c r="F21" s="414"/>
      <c r="G21" s="414"/>
      <c r="H21" s="415"/>
      <c r="I21" s="291">
        <v>1</v>
      </c>
      <c r="J21" s="300">
        <v>400</v>
      </c>
      <c r="K21" s="289">
        <v>1</v>
      </c>
      <c r="L21" s="279" t="s">
        <v>11</v>
      </c>
      <c r="M21" s="277">
        <f>J21*I21</f>
        <v>400</v>
      </c>
      <c r="N21" s="276">
        <f t="shared" ref="N21:N26" si="0">M21*22/122</f>
        <v>72.131147540983605</v>
      </c>
    </row>
    <row r="22" spans="2:14" s="275" customFormat="1" ht="15" customHeight="1" thickBot="1" x14ac:dyDescent="0.3">
      <c r="B22" s="281" t="s">
        <v>446</v>
      </c>
      <c r="C22" s="292"/>
      <c r="D22" s="413" t="s">
        <v>1059</v>
      </c>
      <c r="E22" s="414"/>
      <c r="F22" s="414"/>
      <c r="G22" s="414"/>
      <c r="H22" s="415"/>
      <c r="I22" s="291">
        <v>1</v>
      </c>
      <c r="J22" s="300">
        <v>1200</v>
      </c>
      <c r="K22" s="289">
        <v>1</v>
      </c>
      <c r="L22" s="279" t="s">
        <v>11</v>
      </c>
      <c r="M22" s="277">
        <f>J22*I22</f>
        <v>1200</v>
      </c>
      <c r="N22" s="276">
        <f t="shared" si="0"/>
        <v>216.39344262295083</v>
      </c>
    </row>
    <row r="23" spans="2:14" s="275" customFormat="1" ht="15" customHeight="1" thickBot="1" x14ac:dyDescent="0.3">
      <c r="B23" s="281" t="s">
        <v>443</v>
      </c>
      <c r="C23" s="292"/>
      <c r="D23" s="413" t="s">
        <v>1058</v>
      </c>
      <c r="E23" s="414"/>
      <c r="F23" s="414"/>
      <c r="G23" s="414"/>
      <c r="H23" s="415"/>
      <c r="I23" s="291">
        <v>1</v>
      </c>
      <c r="J23" s="300">
        <v>600</v>
      </c>
      <c r="K23" s="289">
        <v>1</v>
      </c>
      <c r="L23" s="279" t="s">
        <v>11</v>
      </c>
      <c r="M23" s="277">
        <f>J23*I23</f>
        <v>600</v>
      </c>
      <c r="N23" s="276">
        <f t="shared" si="0"/>
        <v>108.19672131147541</v>
      </c>
    </row>
    <row r="24" spans="2:14" s="275" customFormat="1" ht="12.75" customHeight="1" thickBot="1" x14ac:dyDescent="0.3">
      <c r="B24" s="281" t="s">
        <v>440</v>
      </c>
      <c r="C24" s="292"/>
      <c r="D24" s="413" t="s">
        <v>706</v>
      </c>
      <c r="E24" s="414"/>
      <c r="F24" s="414"/>
      <c r="G24" s="414"/>
      <c r="H24" s="415"/>
      <c r="I24" s="291">
        <v>1</v>
      </c>
      <c r="J24" s="300">
        <v>400</v>
      </c>
      <c r="K24" s="289">
        <v>1</v>
      </c>
      <c r="L24" s="279" t="s">
        <v>11</v>
      </c>
      <c r="M24" s="277">
        <f>J24*I24</f>
        <v>400</v>
      </c>
      <c r="N24" s="276">
        <f t="shared" si="0"/>
        <v>72.131147540983605</v>
      </c>
    </row>
    <row r="25" spans="2:14" s="275" customFormat="1" ht="13.5" customHeight="1" thickBot="1" x14ac:dyDescent="0.3">
      <c r="B25" s="281" t="s">
        <v>453</v>
      </c>
      <c r="C25" s="292"/>
      <c r="D25" s="413" t="s">
        <v>795</v>
      </c>
      <c r="E25" s="414"/>
      <c r="F25" s="414"/>
      <c r="G25" s="414"/>
      <c r="H25" s="415"/>
      <c r="I25" s="291">
        <v>1</v>
      </c>
      <c r="J25" s="300">
        <v>1300</v>
      </c>
      <c r="K25" s="289">
        <v>1</v>
      </c>
      <c r="L25" s="279" t="s">
        <v>11</v>
      </c>
      <c r="M25" s="277">
        <f>J25*I25</f>
        <v>1300</v>
      </c>
      <c r="N25" s="276">
        <f t="shared" si="0"/>
        <v>234.42622950819671</v>
      </c>
    </row>
    <row r="26" spans="2:14" x14ac:dyDescent="0.25">
      <c r="B26" s="396" t="s">
        <v>464</v>
      </c>
      <c r="C26" s="396"/>
      <c r="D26" s="396"/>
      <c r="E26" s="396"/>
      <c r="F26" s="396"/>
      <c r="G26" s="396"/>
      <c r="H26" s="397"/>
      <c r="I26" s="299">
        <v>5</v>
      </c>
      <c r="J26" s="393" t="s">
        <v>435</v>
      </c>
      <c r="K26" s="394"/>
      <c r="L26" s="395"/>
      <c r="M26" s="277">
        <f>M21+M22+M23+M24+M25</f>
        <v>3900</v>
      </c>
      <c r="N26" s="276">
        <f t="shared" si="0"/>
        <v>703.27868852459017</v>
      </c>
    </row>
    <row r="27" spans="2:14" ht="9" customHeight="1" x14ac:dyDescent="0.25"/>
    <row r="28" spans="2:14" ht="15" customHeight="1" x14ac:dyDescent="0.25">
      <c r="B28" s="392" t="s">
        <v>1057</v>
      </c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</row>
    <row r="29" spans="2:14" ht="7.5" customHeight="1" x14ac:dyDescent="0.25"/>
    <row r="30" spans="2:14" x14ac:dyDescent="0.25">
      <c r="C30" s="287" t="s">
        <v>1056</v>
      </c>
    </row>
    <row r="31" spans="2:14" ht="15.75" thickBot="1" x14ac:dyDescent="0.3">
      <c r="B31" s="286"/>
      <c r="C31" s="285"/>
      <c r="D31" s="285"/>
      <c r="H31" s="285"/>
      <c r="I31" s="285"/>
      <c r="M31" s="284"/>
      <c r="N31" s="284"/>
    </row>
    <row r="32" spans="2:14" ht="15.75" thickBot="1" x14ac:dyDescent="0.3">
      <c r="B32" s="298" t="s">
        <v>461</v>
      </c>
      <c r="C32" s="283" t="s">
        <v>460</v>
      </c>
      <c r="D32" s="398" t="s">
        <v>459</v>
      </c>
      <c r="E32" s="399"/>
      <c r="F32" s="399"/>
      <c r="G32" s="399"/>
      <c r="H32" s="399"/>
      <c r="I32" s="400"/>
      <c r="J32" s="298" t="s">
        <v>458</v>
      </c>
      <c r="K32" s="298" t="s">
        <v>457</v>
      </c>
      <c r="L32" s="298" t="s">
        <v>456</v>
      </c>
      <c r="M32" s="298" t="s">
        <v>455</v>
      </c>
      <c r="N32" s="298" t="s">
        <v>454</v>
      </c>
    </row>
    <row r="33" spans="2:14" ht="15.75" thickBot="1" x14ac:dyDescent="0.3">
      <c r="B33" s="298" t="s">
        <v>449</v>
      </c>
      <c r="C33" s="283" t="s">
        <v>446</v>
      </c>
      <c r="D33" s="398" t="s">
        <v>443</v>
      </c>
      <c r="E33" s="399"/>
      <c r="F33" s="399"/>
      <c r="G33" s="399"/>
      <c r="H33" s="399"/>
      <c r="I33" s="400"/>
      <c r="J33" s="298" t="s">
        <v>440</v>
      </c>
      <c r="K33" s="298" t="s">
        <v>453</v>
      </c>
      <c r="L33" s="298" t="s">
        <v>452</v>
      </c>
      <c r="M33" s="298" t="s">
        <v>451</v>
      </c>
      <c r="N33" s="298" t="s">
        <v>450</v>
      </c>
    </row>
    <row r="34" spans="2:14" s="275" customFormat="1" ht="28.5" customHeight="1" x14ac:dyDescent="0.25">
      <c r="B34" s="281" t="s">
        <v>449</v>
      </c>
      <c r="C34" s="280" t="s">
        <v>1055</v>
      </c>
      <c r="D34" s="389" t="s">
        <v>1054</v>
      </c>
      <c r="E34" s="390"/>
      <c r="F34" s="390"/>
      <c r="G34" s="390"/>
      <c r="H34" s="390"/>
      <c r="I34" s="391"/>
      <c r="J34" s="291">
        <v>1</v>
      </c>
      <c r="K34" s="279" t="s">
        <v>520</v>
      </c>
      <c r="L34" s="278">
        <v>1600</v>
      </c>
      <c r="M34" s="277">
        <f>L34*J34</f>
        <v>1600</v>
      </c>
      <c r="N34" s="276">
        <f>M34*22/122</f>
        <v>288.52459016393442</v>
      </c>
    </row>
    <row r="35" spans="2:14" s="275" customFormat="1" ht="15" customHeight="1" x14ac:dyDescent="0.25">
      <c r="B35" s="281" t="s">
        <v>446</v>
      </c>
      <c r="C35" s="292" t="s">
        <v>1053</v>
      </c>
      <c r="D35" s="389" t="s">
        <v>1052</v>
      </c>
      <c r="E35" s="390"/>
      <c r="F35" s="390"/>
      <c r="G35" s="390"/>
      <c r="H35" s="390"/>
      <c r="I35" s="391"/>
      <c r="J35" s="291">
        <v>1</v>
      </c>
      <c r="K35" s="279" t="s">
        <v>520</v>
      </c>
      <c r="L35" s="278">
        <v>600</v>
      </c>
      <c r="M35" s="277">
        <f>L35*J35</f>
        <v>600</v>
      </c>
      <c r="N35" s="276">
        <f>M35*22/122</f>
        <v>108.19672131147541</v>
      </c>
    </row>
    <row r="36" spans="2:14" s="275" customFormat="1" ht="24" customHeight="1" x14ac:dyDescent="0.25">
      <c r="B36" s="281" t="s">
        <v>443</v>
      </c>
      <c r="C36" s="280" t="s">
        <v>1051</v>
      </c>
      <c r="D36" s="389" t="s">
        <v>1050</v>
      </c>
      <c r="E36" s="390"/>
      <c r="F36" s="390"/>
      <c r="G36" s="390"/>
      <c r="H36" s="390"/>
      <c r="I36" s="391"/>
      <c r="J36" s="331" t="s">
        <v>449</v>
      </c>
      <c r="K36" s="279" t="s">
        <v>437</v>
      </c>
      <c r="L36" s="278">
        <v>7200</v>
      </c>
      <c r="M36" s="277">
        <f>L36*J36</f>
        <v>7200</v>
      </c>
      <c r="N36" s="276">
        <f>M36*22/122</f>
        <v>1298.360655737705</v>
      </c>
    </row>
    <row r="37" spans="2:14" x14ac:dyDescent="0.25">
      <c r="B37" s="396" t="s">
        <v>436</v>
      </c>
      <c r="C37" s="396"/>
      <c r="D37" s="396"/>
      <c r="E37" s="396"/>
      <c r="F37" s="396"/>
      <c r="G37" s="396"/>
      <c r="H37" s="396"/>
      <c r="I37" s="397"/>
      <c r="J37" s="297">
        <v>3</v>
      </c>
      <c r="K37" s="393" t="s">
        <v>435</v>
      </c>
      <c r="L37" s="395"/>
      <c r="M37" s="340">
        <f>M34+M35+M36</f>
        <v>9400</v>
      </c>
      <c r="N37" s="276">
        <f>M37*22/122</f>
        <v>1695.0819672131147</v>
      </c>
    </row>
    <row r="39" spans="2:14" ht="15" customHeight="1" x14ac:dyDescent="0.25">
      <c r="B39" s="392" t="s">
        <v>1049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</row>
    <row r="40" spans="2:14" ht="15.75" thickBot="1" x14ac:dyDescent="0.3"/>
    <row r="41" spans="2:14" ht="16.5" thickTop="1" thickBot="1" x14ac:dyDescent="0.3">
      <c r="B41" s="271"/>
      <c r="C41" s="271"/>
      <c r="D41" s="271"/>
      <c r="E41" s="271"/>
      <c r="F41" s="271"/>
      <c r="G41" s="271"/>
      <c r="H41" s="271"/>
      <c r="I41" s="271"/>
      <c r="J41" s="271"/>
      <c r="K41" s="270"/>
      <c r="L41" s="270" t="s">
        <v>433</v>
      </c>
      <c r="M41" s="269">
        <f>M26+M37</f>
        <v>13300</v>
      </c>
      <c r="N41" s="268">
        <f>M41*22/122</f>
        <v>2398.3606557377047</v>
      </c>
    </row>
    <row r="42" spans="2:14" ht="15.75" thickTop="1" x14ac:dyDescent="0.25"/>
    <row r="43" spans="2:14" ht="15" customHeight="1" x14ac:dyDescent="0.25">
      <c r="B43" s="388" t="s">
        <v>1048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</row>
    <row r="46" spans="2:14" ht="15" customHeight="1" x14ac:dyDescent="0.25">
      <c r="J46" s="266" t="s">
        <v>431</v>
      </c>
      <c r="K46" s="384" t="s">
        <v>430</v>
      </c>
      <c r="L46" s="384"/>
      <c r="M46" s="384"/>
      <c r="N46" s="384"/>
    </row>
    <row r="48" spans="2:14" ht="53.25" customHeight="1" x14ac:dyDescent="0.25">
      <c r="B48" s="267"/>
      <c r="C48" s="385" t="s">
        <v>429</v>
      </c>
      <c r="D48" s="385"/>
      <c r="E48" s="385"/>
      <c r="F48" s="385"/>
      <c r="G48" s="385"/>
      <c r="H48" s="385"/>
      <c r="I48" s="385"/>
      <c r="J48" s="385"/>
      <c r="K48" s="385"/>
      <c r="L48" s="385"/>
      <c r="M48" s="385"/>
    </row>
    <row r="52" spans="2:14" ht="24" customHeight="1" x14ac:dyDescent="0.25">
      <c r="B52" s="386" t="s">
        <v>950</v>
      </c>
      <c r="C52" s="386"/>
      <c r="J52" s="266" t="s">
        <v>427</v>
      </c>
      <c r="K52" s="384" t="s">
        <v>949</v>
      </c>
      <c r="L52" s="384"/>
      <c r="M52" s="384"/>
      <c r="N52" s="384"/>
    </row>
    <row r="54" spans="2:14" ht="26.25" customHeight="1" x14ac:dyDescent="0.25">
      <c r="J54" s="266" t="s">
        <v>426</v>
      </c>
      <c r="K54" s="384" t="s">
        <v>949</v>
      </c>
      <c r="L54" s="384"/>
      <c r="M54" s="384"/>
      <c r="N54" s="384"/>
    </row>
    <row r="56" spans="2:14" x14ac:dyDescent="0.25">
      <c r="B56" s="387" t="s">
        <v>424</v>
      </c>
      <c r="C56" s="387"/>
    </row>
    <row r="57" spans="2:14" x14ac:dyDescent="0.25">
      <c r="B57" s="381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3"/>
    </row>
  </sheetData>
  <mergeCells count="35">
    <mergeCell ref="D22:H22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B43:N43"/>
    <mergeCell ref="D35:I35"/>
    <mergeCell ref="D36:I36"/>
    <mergeCell ref="B39:N39"/>
    <mergeCell ref="D32:I32"/>
    <mergeCell ref="K37:L37"/>
    <mergeCell ref="B37:I37"/>
    <mergeCell ref="D24:H24"/>
    <mergeCell ref="D25:H25"/>
    <mergeCell ref="J26:L26"/>
    <mergeCell ref="B28:N28"/>
    <mergeCell ref="B26:H26"/>
    <mergeCell ref="D34:I34"/>
    <mergeCell ref="D33:I33"/>
    <mergeCell ref="B57:N57"/>
    <mergeCell ref="K46:N46"/>
    <mergeCell ref="C48:M48"/>
    <mergeCell ref="B52:C52"/>
    <mergeCell ref="K52:N52"/>
    <mergeCell ref="K54:N54"/>
    <mergeCell ref="B56:C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1ADC-6076-4E28-AB99-81A98B583E33}">
  <sheetPr codeName="Лист36">
    <pageSetUpPr fitToPage="1"/>
  </sheetPr>
  <dimension ref="B1:N53"/>
  <sheetViews>
    <sheetView workbookViewId="0">
      <selection activeCell="Q26" sqref="Q2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1072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1071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1070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509</v>
      </c>
      <c r="E21" s="414"/>
      <c r="F21" s="414"/>
      <c r="G21" s="414"/>
      <c r="H21" s="415"/>
      <c r="I21" s="291">
        <v>1</v>
      </c>
      <c r="J21" s="300">
        <v>800</v>
      </c>
      <c r="K21" s="289">
        <v>1</v>
      </c>
      <c r="L21" s="279" t="s">
        <v>11</v>
      </c>
      <c r="M21" s="277">
        <f>J21*I21</f>
        <v>800</v>
      </c>
      <c r="N21" s="276">
        <f>M21*22/122</f>
        <v>144.26229508196721</v>
      </c>
    </row>
    <row r="22" spans="2:14" s="275" customFormat="1" ht="15" customHeight="1" thickBot="1" x14ac:dyDescent="0.3">
      <c r="B22" s="281" t="s">
        <v>446</v>
      </c>
      <c r="C22" s="292"/>
      <c r="D22" s="413" t="s">
        <v>592</v>
      </c>
      <c r="E22" s="414"/>
      <c r="F22" s="414"/>
      <c r="G22" s="414"/>
      <c r="H22" s="415"/>
      <c r="I22" s="291">
        <v>1</v>
      </c>
      <c r="J22" s="300">
        <v>1200</v>
      </c>
      <c r="K22" s="289">
        <v>1</v>
      </c>
      <c r="L22" s="279" t="s">
        <v>11</v>
      </c>
      <c r="M22" s="277">
        <f>J22*I22</f>
        <v>1200</v>
      </c>
      <c r="N22" s="276">
        <f>M22*22/122</f>
        <v>216.39344262295083</v>
      </c>
    </row>
    <row r="23" spans="2:14" s="275" customFormat="1" ht="15" customHeight="1" thickBot="1" x14ac:dyDescent="0.3">
      <c r="B23" s="281" t="s">
        <v>443</v>
      </c>
      <c r="C23" s="292"/>
      <c r="D23" s="413" t="s">
        <v>563</v>
      </c>
      <c r="E23" s="414"/>
      <c r="F23" s="414"/>
      <c r="G23" s="414"/>
      <c r="H23" s="415"/>
      <c r="I23" s="291">
        <v>1</v>
      </c>
      <c r="J23" s="300">
        <v>4500</v>
      </c>
      <c r="K23" s="289">
        <v>1</v>
      </c>
      <c r="L23" s="279" t="s">
        <v>11</v>
      </c>
      <c r="M23" s="277">
        <f>J23*I23</f>
        <v>4500</v>
      </c>
      <c r="N23" s="276">
        <f>M23*22/122</f>
        <v>811.47540983606552</v>
      </c>
    </row>
    <row r="24" spans="2:14" x14ac:dyDescent="0.25">
      <c r="B24" s="396" t="s">
        <v>464</v>
      </c>
      <c r="C24" s="396"/>
      <c r="D24" s="396"/>
      <c r="E24" s="396"/>
      <c r="F24" s="396"/>
      <c r="G24" s="396"/>
      <c r="H24" s="397"/>
      <c r="I24" s="299">
        <v>3</v>
      </c>
      <c r="J24" s="393" t="s">
        <v>435</v>
      </c>
      <c r="K24" s="394"/>
      <c r="L24" s="395"/>
      <c r="M24" s="277">
        <f>M21+M22+M23</f>
        <v>6500</v>
      </c>
      <c r="N24" s="276">
        <f>M24*22/122</f>
        <v>1172.1311475409836</v>
      </c>
    </row>
    <row r="25" spans="2:14" ht="9" customHeight="1" x14ac:dyDescent="0.25"/>
    <row r="26" spans="2:14" ht="15" customHeight="1" x14ac:dyDescent="0.25">
      <c r="B26" s="392" t="s">
        <v>1069</v>
      </c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</row>
    <row r="27" spans="2:14" ht="7.5" customHeight="1" x14ac:dyDescent="0.25"/>
    <row r="28" spans="2:14" x14ac:dyDescent="0.25">
      <c r="C28" s="287" t="s">
        <v>1068</v>
      </c>
    </row>
    <row r="29" spans="2:14" ht="15.75" thickBot="1" x14ac:dyDescent="0.3">
      <c r="B29" s="286"/>
      <c r="C29" s="285"/>
      <c r="D29" s="285"/>
      <c r="H29" s="285"/>
      <c r="I29" s="285"/>
      <c r="M29" s="284"/>
      <c r="N29" s="284"/>
    </row>
    <row r="30" spans="2:14" ht="15.75" thickBot="1" x14ac:dyDescent="0.3">
      <c r="B30" s="298" t="s">
        <v>461</v>
      </c>
      <c r="C30" s="283" t="s">
        <v>460</v>
      </c>
      <c r="D30" s="398" t="s">
        <v>459</v>
      </c>
      <c r="E30" s="399"/>
      <c r="F30" s="399"/>
      <c r="G30" s="399"/>
      <c r="H30" s="399"/>
      <c r="I30" s="400"/>
      <c r="J30" s="298" t="s">
        <v>458</v>
      </c>
      <c r="K30" s="298" t="s">
        <v>457</v>
      </c>
      <c r="L30" s="298" t="s">
        <v>456</v>
      </c>
      <c r="M30" s="298" t="s">
        <v>455</v>
      </c>
      <c r="N30" s="298" t="s">
        <v>454</v>
      </c>
    </row>
    <row r="31" spans="2:14" ht="15.75" thickBot="1" x14ac:dyDescent="0.3">
      <c r="B31" s="298" t="s">
        <v>449</v>
      </c>
      <c r="C31" s="283" t="s">
        <v>446</v>
      </c>
      <c r="D31" s="398" t="s">
        <v>443</v>
      </c>
      <c r="E31" s="399"/>
      <c r="F31" s="399"/>
      <c r="G31" s="399"/>
      <c r="H31" s="399"/>
      <c r="I31" s="400"/>
      <c r="J31" s="298" t="s">
        <v>440</v>
      </c>
      <c r="K31" s="298" t="s">
        <v>453</v>
      </c>
      <c r="L31" s="298" t="s">
        <v>452</v>
      </c>
      <c r="M31" s="298" t="s">
        <v>451</v>
      </c>
      <c r="N31" s="298" t="s">
        <v>450</v>
      </c>
    </row>
    <row r="32" spans="2:14" s="275" customFormat="1" ht="23.25" customHeight="1" x14ac:dyDescent="0.25">
      <c r="B32" s="281" t="s">
        <v>449</v>
      </c>
      <c r="C32" s="341">
        <v>1987947833</v>
      </c>
      <c r="D32" s="389" t="s">
        <v>1067</v>
      </c>
      <c r="E32" s="390"/>
      <c r="F32" s="390"/>
      <c r="G32" s="390"/>
      <c r="H32" s="390"/>
      <c r="I32" s="391"/>
      <c r="J32" s="291">
        <v>1</v>
      </c>
      <c r="K32" s="279" t="s">
        <v>437</v>
      </c>
      <c r="L32" s="278">
        <v>1400</v>
      </c>
      <c r="M32" s="277">
        <f>L32*J32</f>
        <v>1400</v>
      </c>
      <c r="N32" s="276">
        <f>M32*22/122</f>
        <v>252.45901639344262</v>
      </c>
    </row>
    <row r="33" spans="2:14" x14ac:dyDescent="0.25">
      <c r="B33" s="396" t="s">
        <v>436</v>
      </c>
      <c r="C33" s="396"/>
      <c r="D33" s="396"/>
      <c r="E33" s="396"/>
      <c r="F33" s="396"/>
      <c r="G33" s="396"/>
      <c r="H33" s="396"/>
      <c r="I33" s="397"/>
      <c r="J33" s="297">
        <v>1</v>
      </c>
      <c r="K33" s="393" t="s">
        <v>435</v>
      </c>
      <c r="L33" s="395"/>
      <c r="M33" s="277">
        <f>M32</f>
        <v>1400</v>
      </c>
      <c r="N33" s="276">
        <f>M33*22/122</f>
        <v>252.45901639344262</v>
      </c>
    </row>
    <row r="35" spans="2:14" ht="15" customHeight="1" x14ac:dyDescent="0.25">
      <c r="B35" s="392" t="s">
        <v>1066</v>
      </c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</row>
    <row r="36" spans="2:14" ht="15.75" thickBot="1" x14ac:dyDescent="0.3"/>
    <row r="37" spans="2:14" ht="16.5" thickTop="1" thickBot="1" x14ac:dyDescent="0.3">
      <c r="B37" s="271"/>
      <c r="C37" s="271"/>
      <c r="D37" s="271"/>
      <c r="E37" s="271"/>
      <c r="F37" s="271"/>
      <c r="G37" s="271"/>
      <c r="H37" s="271"/>
      <c r="I37" s="271"/>
      <c r="J37" s="271"/>
      <c r="K37" s="270"/>
      <c r="L37" s="270" t="s">
        <v>433</v>
      </c>
      <c r="M37" s="269">
        <f>M24+M33</f>
        <v>7900</v>
      </c>
      <c r="N37" s="268">
        <f>M37*22/122</f>
        <v>1424.5901639344263</v>
      </c>
    </row>
    <row r="38" spans="2:14" ht="15.75" thickTop="1" x14ac:dyDescent="0.25"/>
    <row r="39" spans="2:14" ht="15" customHeight="1" x14ac:dyDescent="0.25">
      <c r="B39" s="388" t="s">
        <v>1065</v>
      </c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</row>
    <row r="42" spans="2:14" ht="15" customHeight="1" x14ac:dyDescent="0.25">
      <c r="J42" s="266" t="s">
        <v>431</v>
      </c>
      <c r="K42" s="384" t="s">
        <v>430</v>
      </c>
      <c r="L42" s="384"/>
      <c r="M42" s="384"/>
      <c r="N42" s="384"/>
    </row>
    <row r="44" spans="2:14" ht="53.25" customHeight="1" x14ac:dyDescent="0.25">
      <c r="B44" s="267"/>
      <c r="C44" s="385" t="s">
        <v>429</v>
      </c>
      <c r="D44" s="385"/>
      <c r="E44" s="385"/>
      <c r="F44" s="385"/>
      <c r="G44" s="385"/>
      <c r="H44" s="385"/>
      <c r="I44" s="385"/>
      <c r="J44" s="385"/>
      <c r="K44" s="385"/>
      <c r="L44" s="385"/>
      <c r="M44" s="385"/>
    </row>
    <row r="48" spans="2:14" ht="24" customHeight="1" x14ac:dyDescent="0.25">
      <c r="B48" s="386" t="s">
        <v>1064</v>
      </c>
      <c r="C48" s="386"/>
      <c r="J48" s="266" t="s">
        <v>427</v>
      </c>
      <c r="K48" s="384" t="s">
        <v>425</v>
      </c>
      <c r="L48" s="384"/>
      <c r="M48" s="384"/>
      <c r="N48" s="384"/>
    </row>
    <row r="50" spans="2:14" ht="26.25" customHeight="1" x14ac:dyDescent="0.25">
      <c r="J50" s="266" t="s">
        <v>426</v>
      </c>
      <c r="K50" s="384" t="s">
        <v>425</v>
      </c>
      <c r="L50" s="384"/>
      <c r="M50" s="384"/>
      <c r="N50" s="384"/>
    </row>
    <row r="52" spans="2:14" x14ac:dyDescent="0.25">
      <c r="B52" s="387" t="s">
        <v>424</v>
      </c>
      <c r="C52" s="387"/>
    </row>
    <row r="53" spans="2:14" x14ac:dyDescent="0.25">
      <c r="B53" s="381"/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3"/>
    </row>
  </sheetData>
  <mergeCells count="31"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  <mergeCell ref="D22:H22"/>
    <mergeCell ref="D32:I32"/>
    <mergeCell ref="B35:N35"/>
    <mergeCell ref="J24:L24"/>
    <mergeCell ref="B26:N26"/>
    <mergeCell ref="B24:H24"/>
    <mergeCell ref="D30:I30"/>
    <mergeCell ref="D31:I31"/>
    <mergeCell ref="K33:L33"/>
    <mergeCell ref="B33:I33"/>
    <mergeCell ref="B39:N39"/>
    <mergeCell ref="B53:N53"/>
    <mergeCell ref="K42:N42"/>
    <mergeCell ref="C44:M44"/>
    <mergeCell ref="B48:C48"/>
    <mergeCell ref="K48:N48"/>
    <mergeCell ref="K50:N50"/>
    <mergeCell ref="B52:C52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5B52-56D9-408F-9CA7-2371061B9340}">
  <sheetPr codeName="Лист38">
    <pageSetUpPr fitToPage="1"/>
  </sheetPr>
  <dimension ref="B1:N63"/>
  <sheetViews>
    <sheetView workbookViewId="0">
      <selection activeCell="P22" sqref="P22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1098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1097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1096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467</v>
      </c>
      <c r="E21" s="414"/>
      <c r="F21" s="414"/>
      <c r="G21" s="414"/>
      <c r="H21" s="415"/>
      <c r="I21" s="291">
        <v>1</v>
      </c>
      <c r="J21" s="300">
        <v>600</v>
      </c>
      <c r="K21" s="289">
        <v>1</v>
      </c>
      <c r="L21" s="279" t="s">
        <v>11</v>
      </c>
      <c r="M21" s="277">
        <f t="shared" ref="M21:M27" si="0">J21*I21</f>
        <v>600</v>
      </c>
      <c r="N21" s="276">
        <f t="shared" ref="N21:N28" si="1">M21*22/122</f>
        <v>108.19672131147541</v>
      </c>
    </row>
    <row r="22" spans="2:14" s="275" customFormat="1" ht="15" customHeight="1" thickBot="1" x14ac:dyDescent="0.3">
      <c r="B22" s="281" t="s">
        <v>446</v>
      </c>
      <c r="C22" s="292"/>
      <c r="D22" s="413" t="s">
        <v>561</v>
      </c>
      <c r="E22" s="414"/>
      <c r="F22" s="414"/>
      <c r="G22" s="414"/>
      <c r="H22" s="415"/>
      <c r="I22" s="291">
        <v>1</v>
      </c>
      <c r="J22" s="300">
        <v>200</v>
      </c>
      <c r="K22" s="289">
        <v>1</v>
      </c>
      <c r="L22" s="279" t="s">
        <v>11</v>
      </c>
      <c r="M22" s="277">
        <f t="shared" si="0"/>
        <v>200</v>
      </c>
      <c r="N22" s="276">
        <f t="shared" si="1"/>
        <v>36.065573770491802</v>
      </c>
    </row>
    <row r="23" spans="2:14" s="275" customFormat="1" ht="15" customHeight="1" thickBot="1" x14ac:dyDescent="0.3">
      <c r="B23" s="281" t="s">
        <v>443</v>
      </c>
      <c r="C23" s="292"/>
      <c r="D23" s="413" t="s">
        <v>465</v>
      </c>
      <c r="E23" s="414"/>
      <c r="F23" s="414"/>
      <c r="G23" s="414"/>
      <c r="H23" s="415"/>
      <c r="I23" s="291">
        <v>1</v>
      </c>
      <c r="J23" s="300">
        <v>300</v>
      </c>
      <c r="K23" s="289">
        <v>1</v>
      </c>
      <c r="L23" s="279" t="s">
        <v>11</v>
      </c>
      <c r="M23" s="277">
        <f t="shared" si="0"/>
        <v>300</v>
      </c>
      <c r="N23" s="276">
        <f t="shared" si="1"/>
        <v>54.098360655737707</v>
      </c>
    </row>
    <row r="24" spans="2:14" s="275" customFormat="1" ht="12" customHeight="1" x14ac:dyDescent="0.25">
      <c r="B24" s="281" t="s">
        <v>440</v>
      </c>
      <c r="C24" s="292"/>
      <c r="D24" s="389" t="s">
        <v>1095</v>
      </c>
      <c r="E24" s="390"/>
      <c r="F24" s="390"/>
      <c r="G24" s="390"/>
      <c r="H24" s="391"/>
      <c r="I24" s="291">
        <v>1</v>
      </c>
      <c r="J24" s="300">
        <v>300</v>
      </c>
      <c r="K24" s="289">
        <v>1</v>
      </c>
      <c r="L24" s="279" t="s">
        <v>11</v>
      </c>
      <c r="M24" s="277">
        <f t="shared" si="0"/>
        <v>300</v>
      </c>
      <c r="N24" s="276">
        <f t="shared" si="1"/>
        <v>54.098360655737707</v>
      </c>
    </row>
    <row r="25" spans="2:14" s="275" customFormat="1" ht="11.25" customHeight="1" x14ac:dyDescent="0.25">
      <c r="B25" s="281" t="s">
        <v>453</v>
      </c>
      <c r="C25" s="292"/>
      <c r="D25" s="389" t="s">
        <v>625</v>
      </c>
      <c r="E25" s="390"/>
      <c r="F25" s="390"/>
      <c r="G25" s="390"/>
      <c r="H25" s="391"/>
      <c r="I25" s="291">
        <v>1</v>
      </c>
      <c r="J25" s="300">
        <v>700</v>
      </c>
      <c r="K25" s="289">
        <v>1</v>
      </c>
      <c r="L25" s="279" t="s">
        <v>11</v>
      </c>
      <c r="M25" s="277">
        <f t="shared" si="0"/>
        <v>700</v>
      </c>
      <c r="N25" s="276">
        <f t="shared" si="1"/>
        <v>126.22950819672131</v>
      </c>
    </row>
    <row r="26" spans="2:14" s="275" customFormat="1" ht="12" customHeight="1" x14ac:dyDescent="0.25">
      <c r="B26" s="281" t="s">
        <v>452</v>
      </c>
      <c r="C26" s="292"/>
      <c r="D26" s="389" t="s">
        <v>795</v>
      </c>
      <c r="E26" s="390"/>
      <c r="F26" s="390"/>
      <c r="G26" s="390"/>
      <c r="H26" s="391"/>
      <c r="I26" s="291">
        <v>1</v>
      </c>
      <c r="J26" s="300">
        <v>1500</v>
      </c>
      <c r="K26" s="289">
        <v>1</v>
      </c>
      <c r="L26" s="279" t="s">
        <v>11</v>
      </c>
      <c r="M26" s="277">
        <f t="shared" si="0"/>
        <v>1500</v>
      </c>
      <c r="N26" s="276">
        <f t="shared" si="1"/>
        <v>270.49180327868851</v>
      </c>
    </row>
    <row r="27" spans="2:14" s="275" customFormat="1" ht="12.75" customHeight="1" x14ac:dyDescent="0.25">
      <c r="B27" s="281" t="s">
        <v>451</v>
      </c>
      <c r="C27" s="292"/>
      <c r="D27" s="389" t="s">
        <v>1094</v>
      </c>
      <c r="E27" s="390"/>
      <c r="F27" s="390"/>
      <c r="G27" s="390"/>
      <c r="H27" s="391"/>
      <c r="I27" s="291">
        <v>1</v>
      </c>
      <c r="J27" s="300">
        <v>300</v>
      </c>
      <c r="K27" s="289">
        <v>1</v>
      </c>
      <c r="L27" s="279" t="s">
        <v>11</v>
      </c>
      <c r="M27" s="277">
        <f t="shared" si="0"/>
        <v>300</v>
      </c>
      <c r="N27" s="276">
        <f t="shared" si="1"/>
        <v>54.098360655737707</v>
      </c>
    </row>
    <row r="28" spans="2:14" x14ac:dyDescent="0.25">
      <c r="B28" s="396" t="s">
        <v>464</v>
      </c>
      <c r="C28" s="396"/>
      <c r="D28" s="396"/>
      <c r="E28" s="396"/>
      <c r="F28" s="396"/>
      <c r="G28" s="396"/>
      <c r="H28" s="397"/>
      <c r="I28" s="299">
        <v>7</v>
      </c>
      <c r="J28" s="393" t="s">
        <v>435</v>
      </c>
      <c r="K28" s="394"/>
      <c r="L28" s="395"/>
      <c r="M28" s="277">
        <f>M21+M22+M23+M24+M25+M26+M27</f>
        <v>3900</v>
      </c>
      <c r="N28" s="276">
        <f t="shared" si="1"/>
        <v>703.27868852459017</v>
      </c>
    </row>
    <row r="29" spans="2:14" ht="9" customHeight="1" x14ac:dyDescent="0.25"/>
    <row r="30" spans="2:14" ht="15" customHeight="1" x14ac:dyDescent="0.25">
      <c r="B30" s="392" t="s">
        <v>1093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1" spans="2:14" ht="7.5" customHeight="1" x14ac:dyDescent="0.25"/>
    <row r="32" spans="2:14" x14ac:dyDescent="0.25">
      <c r="C32" s="287" t="s">
        <v>1092</v>
      </c>
    </row>
    <row r="33" spans="2:14" ht="15.75" thickBot="1" x14ac:dyDescent="0.3">
      <c r="B33" s="286"/>
      <c r="C33" s="285"/>
      <c r="D33" s="285"/>
      <c r="H33" s="285"/>
      <c r="I33" s="285"/>
      <c r="M33" s="284"/>
      <c r="N33" s="284"/>
    </row>
    <row r="34" spans="2:14" ht="15.75" thickBot="1" x14ac:dyDescent="0.3">
      <c r="B34" s="298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98" t="s">
        <v>458</v>
      </c>
      <c r="K34" s="298" t="s">
        <v>457</v>
      </c>
      <c r="L34" s="298" t="s">
        <v>456</v>
      </c>
      <c r="M34" s="298" t="s">
        <v>455</v>
      </c>
      <c r="N34" s="298" t="s">
        <v>454</v>
      </c>
    </row>
    <row r="35" spans="2:14" ht="15.75" thickBot="1" x14ac:dyDescent="0.3">
      <c r="B35" s="298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98" t="s">
        <v>440</v>
      </c>
      <c r="K35" s="298" t="s">
        <v>453</v>
      </c>
      <c r="L35" s="298" t="s">
        <v>452</v>
      </c>
      <c r="M35" s="298" t="s">
        <v>451</v>
      </c>
      <c r="N35" s="298" t="s">
        <v>450</v>
      </c>
    </row>
    <row r="36" spans="2:14" s="275" customFormat="1" ht="13.5" customHeight="1" x14ac:dyDescent="0.25">
      <c r="B36" s="281" t="s">
        <v>449</v>
      </c>
      <c r="C36" s="292" t="s">
        <v>537</v>
      </c>
      <c r="D36" s="389" t="s">
        <v>536</v>
      </c>
      <c r="E36" s="390"/>
      <c r="F36" s="390"/>
      <c r="G36" s="390"/>
      <c r="H36" s="390"/>
      <c r="I36" s="391"/>
      <c r="J36" s="291">
        <v>1</v>
      </c>
      <c r="K36" s="279" t="s">
        <v>437</v>
      </c>
      <c r="L36" s="278">
        <v>400</v>
      </c>
      <c r="M36" s="277">
        <f t="shared" ref="M36:M42" si="2">L36*J36</f>
        <v>400</v>
      </c>
      <c r="N36" s="276">
        <f t="shared" ref="N36:N43" si="3">M36*22/122</f>
        <v>72.131147540983605</v>
      </c>
    </row>
    <row r="37" spans="2:14" s="275" customFormat="1" ht="23.25" customHeight="1" x14ac:dyDescent="0.25">
      <c r="B37" s="281" t="s">
        <v>446</v>
      </c>
      <c r="C37" s="280" t="s">
        <v>534</v>
      </c>
      <c r="D37" s="389" t="s">
        <v>533</v>
      </c>
      <c r="E37" s="390"/>
      <c r="F37" s="390"/>
      <c r="G37" s="390"/>
      <c r="H37" s="390"/>
      <c r="I37" s="391"/>
      <c r="J37" s="291">
        <v>1</v>
      </c>
      <c r="K37" s="279" t="s">
        <v>437</v>
      </c>
      <c r="L37" s="278">
        <v>350</v>
      </c>
      <c r="M37" s="277">
        <f t="shared" si="2"/>
        <v>350</v>
      </c>
      <c r="N37" s="276">
        <f t="shared" si="3"/>
        <v>63.114754098360656</v>
      </c>
    </row>
    <row r="38" spans="2:14" s="275" customFormat="1" ht="24.75" customHeight="1" x14ac:dyDescent="0.25">
      <c r="B38" s="281" t="s">
        <v>443</v>
      </c>
      <c r="C38" s="280" t="s">
        <v>1091</v>
      </c>
      <c r="D38" s="389" t="s">
        <v>1090</v>
      </c>
      <c r="E38" s="390"/>
      <c r="F38" s="390"/>
      <c r="G38" s="390"/>
      <c r="H38" s="390"/>
      <c r="I38" s="391"/>
      <c r="J38" s="331" t="s">
        <v>449</v>
      </c>
      <c r="K38" s="279" t="s">
        <v>437</v>
      </c>
      <c r="L38" s="278">
        <v>350</v>
      </c>
      <c r="M38" s="277">
        <f t="shared" si="2"/>
        <v>350</v>
      </c>
      <c r="N38" s="276">
        <f t="shared" si="3"/>
        <v>63.114754098360656</v>
      </c>
    </row>
    <row r="39" spans="2:14" s="275" customFormat="1" ht="14.25" customHeight="1" x14ac:dyDescent="0.25">
      <c r="B39" s="281" t="s">
        <v>440</v>
      </c>
      <c r="C39" s="280" t="s">
        <v>531</v>
      </c>
      <c r="D39" s="389" t="s">
        <v>530</v>
      </c>
      <c r="E39" s="390"/>
      <c r="F39" s="390"/>
      <c r="G39" s="390"/>
      <c r="H39" s="390"/>
      <c r="I39" s="391"/>
      <c r="J39" s="291">
        <v>1</v>
      </c>
      <c r="K39" s="279" t="s">
        <v>437</v>
      </c>
      <c r="L39" s="278">
        <v>1150</v>
      </c>
      <c r="M39" s="277">
        <f t="shared" si="2"/>
        <v>1150</v>
      </c>
      <c r="N39" s="276">
        <f t="shared" si="3"/>
        <v>207.37704918032787</v>
      </c>
    </row>
    <row r="40" spans="2:14" s="275" customFormat="1" ht="25.5" customHeight="1" x14ac:dyDescent="0.25">
      <c r="B40" s="281" t="s">
        <v>453</v>
      </c>
      <c r="C40" s="280" t="s">
        <v>1089</v>
      </c>
      <c r="D40" s="389" t="s">
        <v>1088</v>
      </c>
      <c r="E40" s="390"/>
      <c r="F40" s="390"/>
      <c r="G40" s="390"/>
      <c r="H40" s="390"/>
      <c r="I40" s="391"/>
      <c r="J40" s="291">
        <v>1</v>
      </c>
      <c r="K40" s="279" t="s">
        <v>520</v>
      </c>
      <c r="L40" s="278">
        <v>800</v>
      </c>
      <c r="M40" s="277">
        <f t="shared" si="2"/>
        <v>800</v>
      </c>
      <c r="N40" s="276">
        <f t="shared" si="3"/>
        <v>144.26229508196721</v>
      </c>
    </row>
    <row r="41" spans="2:14" s="275" customFormat="1" ht="15" customHeight="1" x14ac:dyDescent="0.25">
      <c r="B41" s="281" t="s">
        <v>452</v>
      </c>
      <c r="C41" s="292" t="s">
        <v>1087</v>
      </c>
      <c r="D41" s="389" t="s">
        <v>1086</v>
      </c>
      <c r="E41" s="390"/>
      <c r="F41" s="390"/>
      <c r="G41" s="390"/>
      <c r="H41" s="390"/>
      <c r="I41" s="391"/>
      <c r="J41" s="291">
        <v>1</v>
      </c>
      <c r="K41" s="279" t="s">
        <v>520</v>
      </c>
      <c r="L41" s="278">
        <v>1000</v>
      </c>
      <c r="M41" s="277">
        <f t="shared" si="2"/>
        <v>1000</v>
      </c>
      <c r="N41" s="276">
        <f t="shared" si="3"/>
        <v>180.32786885245901</v>
      </c>
    </row>
    <row r="42" spans="2:14" s="275" customFormat="1" ht="13.5" customHeight="1" x14ac:dyDescent="0.25">
      <c r="B42" s="281" t="s">
        <v>451</v>
      </c>
      <c r="C42" s="292">
        <v>4008</v>
      </c>
      <c r="D42" s="389" t="s">
        <v>518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250</v>
      </c>
      <c r="M42" s="277">
        <f t="shared" si="2"/>
        <v>250</v>
      </c>
      <c r="N42" s="276">
        <f t="shared" si="3"/>
        <v>45.081967213114751</v>
      </c>
    </row>
    <row r="43" spans="2:14" x14ac:dyDescent="0.25">
      <c r="B43" s="396" t="s">
        <v>436</v>
      </c>
      <c r="C43" s="396"/>
      <c r="D43" s="396"/>
      <c r="E43" s="396"/>
      <c r="F43" s="396"/>
      <c r="G43" s="396"/>
      <c r="H43" s="396"/>
      <c r="I43" s="397"/>
      <c r="J43" s="297">
        <v>7</v>
      </c>
      <c r="K43" s="393" t="s">
        <v>435</v>
      </c>
      <c r="L43" s="395"/>
      <c r="M43" s="277">
        <f>M36+M37+M38+M39+M40+M41+M42</f>
        <v>4300</v>
      </c>
      <c r="N43" s="276">
        <f t="shared" si="3"/>
        <v>775.40983606557381</v>
      </c>
    </row>
    <row r="45" spans="2:14" ht="15" customHeight="1" x14ac:dyDescent="0.25">
      <c r="B45" s="392" t="s">
        <v>1085</v>
      </c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</row>
    <row r="46" spans="2:14" ht="15.75" thickBot="1" x14ac:dyDescent="0.3"/>
    <row r="47" spans="2:14" ht="16.5" thickTop="1" thickBot="1" x14ac:dyDescent="0.3">
      <c r="B47" s="271"/>
      <c r="C47" s="271"/>
      <c r="D47" s="271"/>
      <c r="E47" s="271"/>
      <c r="F47" s="271"/>
      <c r="G47" s="271"/>
      <c r="H47" s="271"/>
      <c r="I47" s="271"/>
      <c r="J47" s="271"/>
      <c r="K47" s="270"/>
      <c r="L47" s="270" t="s">
        <v>433</v>
      </c>
      <c r="M47" s="269">
        <f>M28+M43</f>
        <v>8200</v>
      </c>
      <c r="N47" s="268">
        <f>M47*22/122</f>
        <v>1478.688524590164</v>
      </c>
    </row>
    <row r="48" spans="2:14" ht="15.75" thickTop="1" x14ac:dyDescent="0.25"/>
    <row r="49" spans="2:14" ht="15" customHeight="1" x14ac:dyDescent="0.25">
      <c r="B49" s="388" t="s">
        <v>1084</v>
      </c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</row>
    <row r="52" spans="2:14" ht="15" customHeight="1" x14ac:dyDescent="0.25">
      <c r="J52" s="266" t="s">
        <v>431</v>
      </c>
      <c r="K52" s="384" t="s">
        <v>430</v>
      </c>
      <c r="L52" s="384"/>
      <c r="M52" s="384"/>
      <c r="N52" s="384"/>
    </row>
    <row r="54" spans="2:14" ht="53.25" customHeight="1" x14ac:dyDescent="0.25">
      <c r="B54" s="267"/>
      <c r="C54" s="385" t="s">
        <v>429</v>
      </c>
      <c r="D54" s="385"/>
      <c r="E54" s="385"/>
      <c r="F54" s="385"/>
      <c r="G54" s="385"/>
      <c r="H54" s="385"/>
      <c r="I54" s="385"/>
      <c r="J54" s="385"/>
      <c r="K54" s="385"/>
      <c r="L54" s="385"/>
      <c r="M54" s="385"/>
    </row>
    <row r="58" spans="2:14" ht="24" customHeight="1" x14ac:dyDescent="0.25">
      <c r="B58" s="386" t="s">
        <v>1064</v>
      </c>
      <c r="C58" s="386"/>
      <c r="J58" s="266" t="s">
        <v>427</v>
      </c>
      <c r="K58" s="384" t="s">
        <v>425</v>
      </c>
      <c r="L58" s="384"/>
      <c r="M58" s="384"/>
      <c r="N58" s="384"/>
    </row>
    <row r="60" spans="2:14" ht="26.25" customHeight="1" x14ac:dyDescent="0.25">
      <c r="J60" s="266" t="s">
        <v>426</v>
      </c>
      <c r="K60" s="384" t="s">
        <v>425</v>
      </c>
      <c r="L60" s="384"/>
      <c r="M60" s="384"/>
      <c r="N60" s="384"/>
    </row>
    <row r="62" spans="2:14" x14ac:dyDescent="0.25">
      <c r="B62" s="387" t="s">
        <v>424</v>
      </c>
      <c r="C62" s="387"/>
    </row>
    <row r="63" spans="2:14" x14ac:dyDescent="0.25">
      <c r="B63" s="381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3"/>
    </row>
  </sheetData>
  <mergeCells count="41">
    <mergeCell ref="B49:N49"/>
    <mergeCell ref="D41:I41"/>
    <mergeCell ref="B63:N63"/>
    <mergeCell ref="D42:I42"/>
    <mergeCell ref="K52:N52"/>
    <mergeCell ref="C54:M54"/>
    <mergeCell ref="B58:C58"/>
    <mergeCell ref="K58:N58"/>
    <mergeCell ref="K60:N60"/>
    <mergeCell ref="B62:C62"/>
    <mergeCell ref="B43:I43"/>
    <mergeCell ref="K43:L43"/>
    <mergeCell ref="B45:N45"/>
    <mergeCell ref="B30:N30"/>
    <mergeCell ref="D27:H27"/>
    <mergeCell ref="B28:H28"/>
    <mergeCell ref="D34:I34"/>
    <mergeCell ref="D35:I35"/>
    <mergeCell ref="D37:I37"/>
    <mergeCell ref="D38:I38"/>
    <mergeCell ref="D39:I39"/>
    <mergeCell ref="D40:I40"/>
    <mergeCell ref="B11:N11"/>
    <mergeCell ref="B12:N12"/>
    <mergeCell ref="D19:H19"/>
    <mergeCell ref="D20:H20"/>
    <mergeCell ref="D36:I36"/>
    <mergeCell ref="D24:H24"/>
    <mergeCell ref="D25:H25"/>
    <mergeCell ref="D26:H26"/>
    <mergeCell ref="J28:L28"/>
    <mergeCell ref="D22:H22"/>
    <mergeCell ref="D23:H23"/>
    <mergeCell ref="D21:H21"/>
    <mergeCell ref="B7:N7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94F-1DDD-4B77-8FA5-487E9474AD1D}">
  <sheetPr codeName="Лист39">
    <pageSetUpPr fitToPage="1"/>
  </sheetPr>
  <dimension ref="B1:Y57"/>
  <sheetViews>
    <sheetView topLeftCell="A16" workbookViewId="0">
      <selection activeCell="Y16" sqref="Y16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25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25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25" x14ac:dyDescent="0.25">
      <c r="M3" s="408"/>
      <c r="N3" s="408"/>
    </row>
    <row r="4" spans="2:25" ht="18" x14ac:dyDescent="0.25">
      <c r="B4" s="267"/>
      <c r="C4" s="409" t="s">
        <v>1106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25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25" ht="15" customHeight="1" x14ac:dyDescent="0.25">
      <c r="B7" s="402" t="s">
        <v>1105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25" x14ac:dyDescent="0.25">
      <c r="B9" s="295" t="s">
        <v>478</v>
      </c>
    </row>
    <row r="11" spans="2:25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25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25" x14ac:dyDescent="0.25">
      <c r="C13" s="267"/>
      <c r="D13" s="267"/>
      <c r="H13" s="267"/>
      <c r="J13" s="267"/>
      <c r="K13" s="267"/>
      <c r="M13" s="267"/>
      <c r="N13" s="267"/>
    </row>
    <row r="14" spans="2:25" x14ac:dyDescent="0.25">
      <c r="N14" s="294" t="s">
        <v>475</v>
      </c>
    </row>
    <row r="15" spans="2:25" x14ac:dyDescent="0.25">
      <c r="N15" s="293" t="s">
        <v>474</v>
      </c>
    </row>
    <row r="16" spans="2:25" x14ac:dyDescent="0.25">
      <c r="Y16" s="237">
        <v>3</v>
      </c>
    </row>
    <row r="17" spans="2:14" x14ac:dyDescent="0.25">
      <c r="C17" s="287" t="s">
        <v>1104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467</v>
      </c>
      <c r="E21" s="414"/>
      <c r="F21" s="414"/>
      <c r="G21" s="414"/>
      <c r="H21" s="415"/>
      <c r="I21" s="291">
        <v>1</v>
      </c>
      <c r="J21" s="300">
        <v>500</v>
      </c>
      <c r="K21" s="289">
        <v>1</v>
      </c>
      <c r="L21" s="279" t="s">
        <v>11</v>
      </c>
      <c r="M21" s="277">
        <f>J21*I21</f>
        <v>500</v>
      </c>
      <c r="N21" s="276">
        <f>M21*22/122</f>
        <v>90.163934426229503</v>
      </c>
    </row>
    <row r="22" spans="2:14" s="275" customFormat="1" ht="15" customHeight="1" thickBot="1" x14ac:dyDescent="0.3">
      <c r="B22" s="281" t="s">
        <v>446</v>
      </c>
      <c r="C22" s="292"/>
      <c r="D22" s="413" t="s">
        <v>465</v>
      </c>
      <c r="E22" s="414"/>
      <c r="F22" s="414"/>
      <c r="G22" s="414"/>
      <c r="H22" s="415"/>
      <c r="I22" s="291">
        <v>1</v>
      </c>
      <c r="J22" s="300">
        <v>150</v>
      </c>
      <c r="K22" s="289">
        <v>1</v>
      </c>
      <c r="L22" s="279" t="s">
        <v>11</v>
      </c>
      <c r="M22" s="277">
        <f>J22*I22</f>
        <v>150</v>
      </c>
      <c r="N22" s="276">
        <f>M22*22/122</f>
        <v>27.049180327868854</v>
      </c>
    </row>
    <row r="23" spans="2:14" s="275" customFormat="1" ht="15" customHeight="1" thickBot="1" x14ac:dyDescent="0.3">
      <c r="B23" s="281" t="s">
        <v>443</v>
      </c>
      <c r="C23" s="292"/>
      <c r="D23" s="413" t="s">
        <v>466</v>
      </c>
      <c r="E23" s="414"/>
      <c r="F23" s="414"/>
      <c r="G23" s="414"/>
      <c r="H23" s="415"/>
      <c r="I23" s="291">
        <v>1</v>
      </c>
      <c r="J23" s="300">
        <v>150</v>
      </c>
      <c r="K23" s="289">
        <v>1</v>
      </c>
      <c r="L23" s="279" t="s">
        <v>11</v>
      </c>
      <c r="M23" s="277">
        <f>J23*I23</f>
        <v>150</v>
      </c>
      <c r="N23" s="276">
        <f>M23*22/122</f>
        <v>27.049180327868854</v>
      </c>
    </row>
    <row r="24" spans="2:14" s="275" customFormat="1" ht="14.25" customHeight="1" x14ac:dyDescent="0.25">
      <c r="B24" s="281" t="s">
        <v>440</v>
      </c>
      <c r="C24" s="292"/>
      <c r="D24" s="389" t="s">
        <v>1103</v>
      </c>
      <c r="E24" s="390"/>
      <c r="F24" s="390"/>
      <c r="G24" s="390"/>
      <c r="H24" s="391"/>
      <c r="I24" s="291">
        <v>1</v>
      </c>
      <c r="J24" s="300">
        <v>1300</v>
      </c>
      <c r="K24" s="289">
        <v>1</v>
      </c>
      <c r="L24" s="279" t="s">
        <v>11</v>
      </c>
      <c r="M24" s="277">
        <f>J24*I24</f>
        <v>1300</v>
      </c>
      <c r="N24" s="276">
        <f>M24*22/122</f>
        <v>234.42622950819671</v>
      </c>
    </row>
    <row r="25" spans="2:14" x14ac:dyDescent="0.25">
      <c r="B25" s="396" t="s">
        <v>464</v>
      </c>
      <c r="C25" s="396"/>
      <c r="D25" s="396"/>
      <c r="E25" s="396"/>
      <c r="F25" s="396"/>
      <c r="G25" s="396"/>
      <c r="H25" s="397"/>
      <c r="I25" s="299">
        <v>4</v>
      </c>
      <c r="J25" s="393" t="s">
        <v>435</v>
      </c>
      <c r="K25" s="394"/>
      <c r="L25" s="395"/>
      <c r="M25" s="277">
        <f>M21+M22+M23+M24</f>
        <v>2100</v>
      </c>
      <c r="N25" s="276">
        <f>M25*22/122</f>
        <v>378.68852459016392</v>
      </c>
    </row>
    <row r="26" spans="2:14" ht="9" customHeight="1" x14ac:dyDescent="0.25"/>
    <row r="27" spans="2:14" ht="15" customHeight="1" x14ac:dyDescent="0.25">
      <c r="B27" s="392" t="s">
        <v>1102</v>
      </c>
      <c r="C27" s="392"/>
      <c r="D27" s="392"/>
      <c r="E27" s="392"/>
      <c r="F27" s="392"/>
      <c r="G27" s="392"/>
      <c r="H27" s="392"/>
      <c r="I27" s="392"/>
      <c r="J27" s="392"/>
      <c r="K27" s="392"/>
      <c r="L27" s="392"/>
      <c r="M27" s="392"/>
      <c r="N27" s="392"/>
    </row>
    <row r="28" spans="2:14" ht="7.5" customHeight="1" x14ac:dyDescent="0.25"/>
    <row r="29" spans="2:14" x14ac:dyDescent="0.25">
      <c r="C29" s="287" t="s">
        <v>1101</v>
      </c>
    </row>
    <row r="30" spans="2:14" ht="15.75" thickBot="1" x14ac:dyDescent="0.3">
      <c r="B30" s="286"/>
      <c r="C30" s="285"/>
      <c r="D30" s="285"/>
      <c r="H30" s="285"/>
      <c r="I30" s="285"/>
      <c r="M30" s="284"/>
      <c r="N30" s="284"/>
    </row>
    <row r="31" spans="2:14" ht="15.75" thickBot="1" x14ac:dyDescent="0.3">
      <c r="B31" s="298" t="s">
        <v>461</v>
      </c>
      <c r="C31" s="283" t="s">
        <v>460</v>
      </c>
      <c r="D31" s="398" t="s">
        <v>459</v>
      </c>
      <c r="E31" s="399"/>
      <c r="F31" s="399"/>
      <c r="G31" s="399"/>
      <c r="H31" s="399"/>
      <c r="I31" s="400"/>
      <c r="J31" s="298" t="s">
        <v>458</v>
      </c>
      <c r="K31" s="298" t="s">
        <v>457</v>
      </c>
      <c r="L31" s="298" t="s">
        <v>456</v>
      </c>
      <c r="M31" s="298" t="s">
        <v>455</v>
      </c>
      <c r="N31" s="298" t="s">
        <v>454</v>
      </c>
    </row>
    <row r="32" spans="2:14" ht="15.75" thickBot="1" x14ac:dyDescent="0.3">
      <c r="B32" s="298" t="s">
        <v>449</v>
      </c>
      <c r="C32" s="283" t="s">
        <v>446</v>
      </c>
      <c r="D32" s="398" t="s">
        <v>443</v>
      </c>
      <c r="E32" s="399"/>
      <c r="F32" s="399"/>
      <c r="G32" s="399"/>
      <c r="H32" s="399"/>
      <c r="I32" s="400"/>
      <c r="J32" s="298" t="s">
        <v>440</v>
      </c>
      <c r="K32" s="298" t="s">
        <v>453</v>
      </c>
      <c r="L32" s="298" t="s">
        <v>452</v>
      </c>
      <c r="M32" s="298" t="s">
        <v>451</v>
      </c>
      <c r="N32" s="298" t="s">
        <v>450</v>
      </c>
    </row>
    <row r="33" spans="2:14" s="275" customFormat="1" ht="14.25" customHeight="1" x14ac:dyDescent="0.25">
      <c r="B33" s="281" t="s">
        <v>449</v>
      </c>
      <c r="C33" s="292" t="s">
        <v>537</v>
      </c>
      <c r="D33" s="389" t="s">
        <v>536</v>
      </c>
      <c r="E33" s="390"/>
      <c r="F33" s="390"/>
      <c r="G33" s="390"/>
      <c r="H33" s="390"/>
      <c r="I33" s="391"/>
      <c r="J33" s="291">
        <v>1</v>
      </c>
      <c r="K33" s="279" t="s">
        <v>437</v>
      </c>
      <c r="L33" s="278">
        <v>400</v>
      </c>
      <c r="M33" s="277">
        <f>L33*J33</f>
        <v>400</v>
      </c>
      <c r="N33" s="276">
        <f>M33*22/122</f>
        <v>72.131147540983605</v>
      </c>
    </row>
    <row r="34" spans="2:14" s="275" customFormat="1" ht="26.25" customHeight="1" x14ac:dyDescent="0.25">
      <c r="B34" s="281" t="s">
        <v>446</v>
      </c>
      <c r="C34" s="292">
        <v>77143</v>
      </c>
      <c r="D34" s="389" t="s">
        <v>579</v>
      </c>
      <c r="E34" s="390"/>
      <c r="F34" s="390"/>
      <c r="G34" s="390"/>
      <c r="H34" s="390"/>
      <c r="I34" s="391"/>
      <c r="J34" s="291">
        <v>1</v>
      </c>
      <c r="K34" s="279" t="s">
        <v>437</v>
      </c>
      <c r="L34" s="278">
        <v>400</v>
      </c>
      <c r="M34" s="277">
        <f>L34*J34</f>
        <v>400</v>
      </c>
      <c r="N34" s="276">
        <f>M34*22/122</f>
        <v>72.131147540983605</v>
      </c>
    </row>
    <row r="35" spans="2:14" s="275" customFormat="1" ht="12" customHeight="1" x14ac:dyDescent="0.25">
      <c r="B35" s="281" t="s">
        <v>443</v>
      </c>
      <c r="C35" s="280" t="s">
        <v>578</v>
      </c>
      <c r="D35" s="389" t="s">
        <v>577</v>
      </c>
      <c r="E35" s="390"/>
      <c r="F35" s="390"/>
      <c r="G35" s="390"/>
      <c r="H35" s="390"/>
      <c r="I35" s="391"/>
      <c r="J35" s="331" t="s">
        <v>449</v>
      </c>
      <c r="K35" s="279" t="s">
        <v>437</v>
      </c>
      <c r="L35" s="278">
        <v>450</v>
      </c>
      <c r="M35" s="277">
        <f>L35*J35</f>
        <v>450</v>
      </c>
      <c r="N35" s="276">
        <f>M35*22/122</f>
        <v>81.147540983606561</v>
      </c>
    </row>
    <row r="36" spans="2:14" s="275" customFormat="1" ht="13.5" customHeight="1" x14ac:dyDescent="0.25">
      <c r="B36" s="281" t="s">
        <v>440</v>
      </c>
      <c r="C36" s="280" t="s">
        <v>531</v>
      </c>
      <c r="D36" s="389" t="s">
        <v>530</v>
      </c>
      <c r="E36" s="390"/>
      <c r="F36" s="390"/>
      <c r="G36" s="390"/>
      <c r="H36" s="390"/>
      <c r="I36" s="391"/>
      <c r="J36" s="291">
        <v>1</v>
      </c>
      <c r="K36" s="279" t="s">
        <v>437</v>
      </c>
      <c r="L36" s="278">
        <v>1600</v>
      </c>
      <c r="M36" s="277">
        <f>L36*J36</f>
        <v>1600</v>
      </c>
      <c r="N36" s="276">
        <f>M36*22/122</f>
        <v>288.52459016393442</v>
      </c>
    </row>
    <row r="37" spans="2:14" x14ac:dyDescent="0.25">
      <c r="B37" s="396" t="s">
        <v>436</v>
      </c>
      <c r="C37" s="396"/>
      <c r="D37" s="396"/>
      <c r="E37" s="396"/>
      <c r="F37" s="396"/>
      <c r="G37" s="396"/>
      <c r="H37" s="396"/>
      <c r="I37" s="397"/>
      <c r="J37" s="297">
        <v>4</v>
      </c>
      <c r="K37" s="393" t="s">
        <v>435</v>
      </c>
      <c r="L37" s="395"/>
      <c r="M37" s="340">
        <f>M33+M34+M35+M36</f>
        <v>2850</v>
      </c>
      <c r="N37" s="276">
        <f>M37*22/122</f>
        <v>513.93442622950818</v>
      </c>
    </row>
    <row r="39" spans="2:14" ht="15" customHeight="1" x14ac:dyDescent="0.25">
      <c r="B39" s="392" t="s">
        <v>1100</v>
      </c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</row>
    <row r="40" spans="2:14" ht="15.75" thickBot="1" x14ac:dyDescent="0.3"/>
    <row r="41" spans="2:14" ht="16.5" thickTop="1" thickBot="1" x14ac:dyDescent="0.3">
      <c r="B41" s="271"/>
      <c r="C41" s="271"/>
      <c r="D41" s="271"/>
      <c r="E41" s="271"/>
      <c r="F41" s="271"/>
      <c r="G41" s="271"/>
      <c r="H41" s="271"/>
      <c r="I41" s="271"/>
      <c r="J41" s="271"/>
      <c r="K41" s="270"/>
      <c r="L41" s="270" t="s">
        <v>433</v>
      </c>
      <c r="M41" s="269">
        <f>M25+M37</f>
        <v>4950</v>
      </c>
      <c r="N41" s="268">
        <f>M41*22/122</f>
        <v>892.62295081967216</v>
      </c>
    </row>
    <row r="42" spans="2:14" ht="15.75" thickTop="1" x14ac:dyDescent="0.25"/>
    <row r="43" spans="2:14" ht="15" customHeight="1" x14ac:dyDescent="0.25">
      <c r="B43" s="388" t="s">
        <v>1099</v>
      </c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</row>
    <row r="46" spans="2:14" ht="15" customHeight="1" x14ac:dyDescent="0.25">
      <c r="J46" s="266" t="s">
        <v>431</v>
      </c>
      <c r="K46" s="384" t="s">
        <v>430</v>
      </c>
      <c r="L46" s="384"/>
      <c r="M46" s="384"/>
      <c r="N46" s="384"/>
    </row>
    <row r="48" spans="2:14" ht="53.25" customHeight="1" x14ac:dyDescent="0.25">
      <c r="B48" s="267"/>
      <c r="C48" s="385" t="s">
        <v>429</v>
      </c>
      <c r="D48" s="385"/>
      <c r="E48" s="385"/>
      <c r="F48" s="385"/>
      <c r="G48" s="385"/>
      <c r="H48" s="385"/>
      <c r="I48" s="385"/>
      <c r="J48" s="385"/>
      <c r="K48" s="385"/>
      <c r="L48" s="385"/>
      <c r="M48" s="385"/>
    </row>
    <row r="52" spans="2:14" ht="24" customHeight="1" x14ac:dyDescent="0.25">
      <c r="B52" s="386" t="s">
        <v>1073</v>
      </c>
      <c r="C52" s="386"/>
      <c r="J52" s="266" t="s">
        <v>427</v>
      </c>
      <c r="K52" s="384" t="s">
        <v>949</v>
      </c>
      <c r="L52" s="384"/>
      <c r="M52" s="384"/>
      <c r="N52" s="384"/>
    </row>
    <row r="54" spans="2:14" ht="26.25" customHeight="1" x14ac:dyDescent="0.25">
      <c r="J54" s="266" t="s">
        <v>426</v>
      </c>
      <c r="K54" s="384" t="s">
        <v>949</v>
      </c>
      <c r="L54" s="384"/>
      <c r="M54" s="384"/>
      <c r="N54" s="384"/>
    </row>
    <row r="56" spans="2:14" x14ac:dyDescent="0.25">
      <c r="B56" s="387" t="s">
        <v>424</v>
      </c>
      <c r="C56" s="387"/>
    </row>
    <row r="57" spans="2:14" x14ac:dyDescent="0.25">
      <c r="B57" s="381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3"/>
    </row>
  </sheetData>
  <mergeCells count="35">
    <mergeCell ref="B1:J1"/>
    <mergeCell ref="B7:N7"/>
    <mergeCell ref="B11:N11"/>
    <mergeCell ref="D19:H19"/>
    <mergeCell ref="B12:N12"/>
    <mergeCell ref="M1:N3"/>
    <mergeCell ref="B2:J2"/>
    <mergeCell ref="C4:N4"/>
    <mergeCell ref="B6:G6"/>
    <mergeCell ref="H6:N6"/>
    <mergeCell ref="D24:H24"/>
    <mergeCell ref="J25:L25"/>
    <mergeCell ref="B27:N27"/>
    <mergeCell ref="B25:H25"/>
    <mergeCell ref="D20:H20"/>
    <mergeCell ref="D23:H23"/>
    <mergeCell ref="D22:H22"/>
    <mergeCell ref="D21:H21"/>
    <mergeCell ref="D31:I31"/>
    <mergeCell ref="B43:N43"/>
    <mergeCell ref="D34:I34"/>
    <mergeCell ref="D35:I35"/>
    <mergeCell ref="D36:I36"/>
    <mergeCell ref="D33:I33"/>
    <mergeCell ref="B39:N39"/>
    <mergeCell ref="D32:I32"/>
    <mergeCell ref="K37:L37"/>
    <mergeCell ref="B37:I37"/>
    <mergeCell ref="B57:N57"/>
    <mergeCell ref="K46:N46"/>
    <mergeCell ref="C48:M48"/>
    <mergeCell ref="B52:C52"/>
    <mergeCell ref="K52:N52"/>
    <mergeCell ref="K54:N54"/>
    <mergeCell ref="B56:C5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6815-7DA9-417A-A87F-183ED3F30CBB}">
  <sheetPr codeName="Лист41">
    <pageSetUpPr fitToPage="1"/>
  </sheetPr>
  <dimension ref="B1:N66"/>
  <sheetViews>
    <sheetView topLeftCell="A3" workbookViewId="0">
      <selection activeCell="S17" sqref="S1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1178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1177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1176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1175</v>
      </c>
      <c r="E21" s="414"/>
      <c r="F21" s="414"/>
      <c r="G21" s="414"/>
      <c r="H21" s="415"/>
      <c r="I21" s="291">
        <v>1</v>
      </c>
      <c r="J21" s="300">
        <v>400</v>
      </c>
      <c r="K21" s="289">
        <v>1</v>
      </c>
      <c r="L21" s="279" t="s">
        <v>11</v>
      </c>
      <c r="M21" s="277">
        <f t="shared" ref="M21:M29" si="0">J21*I21</f>
        <v>400</v>
      </c>
      <c r="N21" s="276">
        <f t="shared" ref="N21:N30" si="1">M21*22/122</f>
        <v>72.131147540983605</v>
      </c>
    </row>
    <row r="22" spans="2:14" s="275" customFormat="1" ht="15" customHeight="1" thickBot="1" x14ac:dyDescent="0.3">
      <c r="B22" s="281" t="s">
        <v>446</v>
      </c>
      <c r="C22" s="292"/>
      <c r="D22" s="413" t="s">
        <v>1174</v>
      </c>
      <c r="E22" s="414"/>
      <c r="F22" s="414"/>
      <c r="G22" s="414"/>
      <c r="H22" s="415"/>
      <c r="I22" s="291">
        <v>1</v>
      </c>
      <c r="J22" s="300">
        <v>1000</v>
      </c>
      <c r="K22" s="289">
        <v>1</v>
      </c>
      <c r="L22" s="279" t="s">
        <v>11</v>
      </c>
      <c r="M22" s="277">
        <f t="shared" si="0"/>
        <v>1000</v>
      </c>
      <c r="N22" s="276">
        <f t="shared" si="1"/>
        <v>180.32786885245901</v>
      </c>
    </row>
    <row r="23" spans="2:14" s="275" customFormat="1" ht="15" customHeight="1" thickBot="1" x14ac:dyDescent="0.3">
      <c r="B23" s="281" t="s">
        <v>443</v>
      </c>
      <c r="C23" s="292"/>
      <c r="D23" s="413" t="s">
        <v>466</v>
      </c>
      <c r="E23" s="414"/>
      <c r="F23" s="414"/>
      <c r="G23" s="414"/>
      <c r="H23" s="415"/>
      <c r="I23" s="291">
        <v>1</v>
      </c>
      <c r="J23" s="300">
        <v>200</v>
      </c>
      <c r="K23" s="289">
        <v>1</v>
      </c>
      <c r="L23" s="279" t="s">
        <v>11</v>
      </c>
      <c r="M23" s="277">
        <f t="shared" si="0"/>
        <v>200</v>
      </c>
      <c r="N23" s="276">
        <f t="shared" si="1"/>
        <v>36.065573770491802</v>
      </c>
    </row>
    <row r="24" spans="2:14" s="275" customFormat="1" ht="12.75" customHeight="1" thickBot="1" x14ac:dyDescent="0.3">
      <c r="B24" s="281" t="s">
        <v>440</v>
      </c>
      <c r="C24" s="292"/>
      <c r="D24" s="413" t="s">
        <v>467</v>
      </c>
      <c r="E24" s="414"/>
      <c r="F24" s="414"/>
      <c r="G24" s="414"/>
      <c r="H24" s="415"/>
      <c r="I24" s="291">
        <v>1</v>
      </c>
      <c r="J24" s="300">
        <v>700</v>
      </c>
      <c r="K24" s="289">
        <v>1</v>
      </c>
      <c r="L24" s="279" t="s">
        <v>11</v>
      </c>
      <c r="M24" s="277">
        <f t="shared" si="0"/>
        <v>700</v>
      </c>
      <c r="N24" s="276">
        <f t="shared" si="1"/>
        <v>126.22950819672131</v>
      </c>
    </row>
    <row r="25" spans="2:14" s="275" customFormat="1" ht="13.5" customHeight="1" thickBot="1" x14ac:dyDescent="0.3">
      <c r="B25" s="281" t="s">
        <v>453</v>
      </c>
      <c r="C25" s="292"/>
      <c r="D25" s="413" t="s">
        <v>561</v>
      </c>
      <c r="E25" s="414"/>
      <c r="F25" s="414"/>
      <c r="G25" s="414"/>
      <c r="H25" s="415"/>
      <c r="I25" s="291">
        <v>1</v>
      </c>
      <c r="J25" s="300">
        <v>400</v>
      </c>
      <c r="K25" s="289">
        <v>1</v>
      </c>
      <c r="L25" s="279" t="s">
        <v>11</v>
      </c>
      <c r="M25" s="277">
        <f t="shared" si="0"/>
        <v>400</v>
      </c>
      <c r="N25" s="276">
        <f t="shared" si="1"/>
        <v>72.131147540983605</v>
      </c>
    </row>
    <row r="26" spans="2:14" s="275" customFormat="1" ht="14.25" customHeight="1" thickBot="1" x14ac:dyDescent="0.3">
      <c r="B26" s="281" t="s">
        <v>452</v>
      </c>
      <c r="C26" s="292"/>
      <c r="D26" s="413" t="s">
        <v>465</v>
      </c>
      <c r="E26" s="414"/>
      <c r="F26" s="414"/>
      <c r="G26" s="414"/>
      <c r="H26" s="415"/>
      <c r="I26" s="291">
        <v>1</v>
      </c>
      <c r="J26" s="300">
        <v>400</v>
      </c>
      <c r="K26" s="289">
        <v>1</v>
      </c>
      <c r="L26" s="279" t="s">
        <v>11</v>
      </c>
      <c r="M26" s="277">
        <f t="shared" si="0"/>
        <v>400</v>
      </c>
      <c r="N26" s="276">
        <f t="shared" si="1"/>
        <v>72.131147540983605</v>
      </c>
    </row>
    <row r="27" spans="2:14" s="275" customFormat="1" ht="14.25" customHeight="1" x14ac:dyDescent="0.25">
      <c r="B27" s="281" t="s">
        <v>451</v>
      </c>
      <c r="C27" s="292"/>
      <c r="D27" s="389" t="s">
        <v>625</v>
      </c>
      <c r="E27" s="390"/>
      <c r="F27" s="390"/>
      <c r="G27" s="390"/>
      <c r="H27" s="391"/>
      <c r="I27" s="291">
        <v>1</v>
      </c>
      <c r="J27" s="300">
        <v>800</v>
      </c>
      <c r="K27" s="289">
        <v>1</v>
      </c>
      <c r="L27" s="279" t="s">
        <v>11</v>
      </c>
      <c r="M27" s="277">
        <f t="shared" si="0"/>
        <v>800</v>
      </c>
      <c r="N27" s="276">
        <f t="shared" si="1"/>
        <v>144.26229508196721</v>
      </c>
    </row>
    <row r="28" spans="2:14" s="275" customFormat="1" ht="14.25" customHeight="1" x14ac:dyDescent="0.25">
      <c r="B28" s="281" t="s">
        <v>450</v>
      </c>
      <c r="C28" s="292"/>
      <c r="D28" s="389" t="s">
        <v>742</v>
      </c>
      <c r="E28" s="390"/>
      <c r="F28" s="390"/>
      <c r="G28" s="390"/>
      <c r="H28" s="391"/>
      <c r="I28" s="291">
        <v>1</v>
      </c>
      <c r="J28" s="300">
        <v>500</v>
      </c>
      <c r="K28" s="289">
        <v>1</v>
      </c>
      <c r="L28" s="279" t="s">
        <v>11</v>
      </c>
      <c r="M28" s="277">
        <f t="shared" si="0"/>
        <v>500</v>
      </c>
      <c r="N28" s="276">
        <f t="shared" si="1"/>
        <v>90.163934426229503</v>
      </c>
    </row>
    <row r="29" spans="2:14" s="275" customFormat="1" ht="24.75" customHeight="1" x14ac:dyDescent="0.25">
      <c r="B29" s="281" t="s">
        <v>468</v>
      </c>
      <c r="C29" s="292"/>
      <c r="D29" s="389" t="s">
        <v>1173</v>
      </c>
      <c r="E29" s="390"/>
      <c r="F29" s="390"/>
      <c r="G29" s="390"/>
      <c r="H29" s="391"/>
      <c r="I29" s="291">
        <v>1</v>
      </c>
      <c r="J29" s="300">
        <v>600</v>
      </c>
      <c r="K29" s="289">
        <v>1</v>
      </c>
      <c r="L29" s="279" t="s">
        <v>11</v>
      </c>
      <c r="M29" s="277">
        <f t="shared" si="0"/>
        <v>600</v>
      </c>
      <c r="N29" s="276">
        <f t="shared" si="1"/>
        <v>108.19672131147541</v>
      </c>
    </row>
    <row r="30" spans="2:14" x14ac:dyDescent="0.25">
      <c r="B30" s="396" t="s">
        <v>464</v>
      </c>
      <c r="C30" s="396"/>
      <c r="D30" s="396"/>
      <c r="E30" s="396"/>
      <c r="F30" s="396"/>
      <c r="G30" s="396"/>
      <c r="H30" s="397"/>
      <c r="I30" s="299">
        <v>9</v>
      </c>
      <c r="J30" s="393" t="s">
        <v>435</v>
      </c>
      <c r="K30" s="394"/>
      <c r="L30" s="395"/>
      <c r="M30" s="277">
        <f>M21+M22+M23+M24+M25+M26+M27+M28+M29</f>
        <v>5000</v>
      </c>
      <c r="N30" s="276">
        <f t="shared" si="1"/>
        <v>901.63934426229503</v>
      </c>
    </row>
    <row r="31" spans="2:14" ht="9" customHeight="1" x14ac:dyDescent="0.25"/>
    <row r="32" spans="2:14" ht="15" customHeight="1" x14ac:dyDescent="0.25">
      <c r="B32" s="392" t="s">
        <v>1172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</row>
    <row r="33" spans="2:14" ht="7.5" customHeight="1" x14ac:dyDescent="0.25"/>
    <row r="34" spans="2:14" x14ac:dyDescent="0.25">
      <c r="C34" s="287" t="s">
        <v>1171</v>
      </c>
    </row>
    <row r="35" spans="2:14" ht="15.75" thickBot="1" x14ac:dyDescent="0.3">
      <c r="B35" s="286"/>
      <c r="C35" s="285"/>
      <c r="D35" s="285"/>
      <c r="H35" s="285"/>
      <c r="I35" s="285"/>
      <c r="M35" s="284"/>
      <c r="N35" s="284"/>
    </row>
    <row r="36" spans="2:14" ht="15.75" thickBot="1" x14ac:dyDescent="0.3">
      <c r="B36" s="298" t="s">
        <v>461</v>
      </c>
      <c r="C36" s="283" t="s">
        <v>460</v>
      </c>
      <c r="D36" s="398" t="s">
        <v>459</v>
      </c>
      <c r="E36" s="399"/>
      <c r="F36" s="399"/>
      <c r="G36" s="399"/>
      <c r="H36" s="399"/>
      <c r="I36" s="400"/>
      <c r="J36" s="298" t="s">
        <v>458</v>
      </c>
      <c r="K36" s="298" t="s">
        <v>457</v>
      </c>
      <c r="L36" s="298" t="s">
        <v>456</v>
      </c>
      <c r="M36" s="298" t="s">
        <v>455</v>
      </c>
      <c r="N36" s="298" t="s">
        <v>454</v>
      </c>
    </row>
    <row r="37" spans="2:14" ht="15.75" thickBot="1" x14ac:dyDescent="0.3">
      <c r="B37" s="298" t="s">
        <v>449</v>
      </c>
      <c r="C37" s="283" t="s">
        <v>446</v>
      </c>
      <c r="D37" s="398" t="s">
        <v>443</v>
      </c>
      <c r="E37" s="399"/>
      <c r="F37" s="399"/>
      <c r="G37" s="399"/>
      <c r="H37" s="399"/>
      <c r="I37" s="400"/>
      <c r="J37" s="298" t="s">
        <v>440</v>
      </c>
      <c r="K37" s="298" t="s">
        <v>453</v>
      </c>
      <c r="L37" s="298" t="s">
        <v>452</v>
      </c>
      <c r="M37" s="298" t="s">
        <v>451</v>
      </c>
      <c r="N37" s="298" t="s">
        <v>450</v>
      </c>
    </row>
    <row r="38" spans="2:14" s="275" customFormat="1" ht="27.75" customHeight="1" x14ac:dyDescent="0.25">
      <c r="B38" s="281" t="s">
        <v>449</v>
      </c>
      <c r="C38" s="292" t="s">
        <v>1170</v>
      </c>
      <c r="D38" s="389" t="s">
        <v>1169</v>
      </c>
      <c r="E38" s="390"/>
      <c r="F38" s="390"/>
      <c r="G38" s="390"/>
      <c r="H38" s="390"/>
      <c r="I38" s="391"/>
      <c r="J38" s="291">
        <v>1</v>
      </c>
      <c r="K38" s="279" t="s">
        <v>437</v>
      </c>
      <c r="L38" s="278">
        <v>6500</v>
      </c>
      <c r="M38" s="277">
        <f t="shared" ref="M38:M45" si="2">L38*J38</f>
        <v>6500</v>
      </c>
      <c r="N38" s="276">
        <f t="shared" ref="N38:N46" si="3">M38*22/122</f>
        <v>1172.1311475409836</v>
      </c>
    </row>
    <row r="39" spans="2:14" s="275" customFormat="1" ht="25.5" customHeight="1" x14ac:dyDescent="0.25">
      <c r="B39" s="281" t="s">
        <v>446</v>
      </c>
      <c r="C39" s="292" t="s">
        <v>985</v>
      </c>
      <c r="D39" s="389" t="s">
        <v>984</v>
      </c>
      <c r="E39" s="390"/>
      <c r="F39" s="390"/>
      <c r="G39" s="390"/>
      <c r="H39" s="390"/>
      <c r="I39" s="391"/>
      <c r="J39" s="291">
        <v>1</v>
      </c>
      <c r="K39" s="279" t="s">
        <v>437</v>
      </c>
      <c r="L39" s="278">
        <v>1260</v>
      </c>
      <c r="M39" s="277">
        <f t="shared" si="2"/>
        <v>1260</v>
      </c>
      <c r="N39" s="276">
        <f t="shared" si="3"/>
        <v>227.21311475409837</v>
      </c>
    </row>
    <row r="40" spans="2:14" s="275" customFormat="1" ht="11.25" customHeight="1" x14ac:dyDescent="0.25">
      <c r="B40" s="281" t="s">
        <v>443</v>
      </c>
      <c r="C40" s="280" t="s">
        <v>1168</v>
      </c>
      <c r="D40" s="389" t="s">
        <v>1167</v>
      </c>
      <c r="E40" s="390"/>
      <c r="F40" s="390"/>
      <c r="G40" s="390"/>
      <c r="H40" s="390"/>
      <c r="I40" s="391"/>
      <c r="J40" s="331" t="s">
        <v>449</v>
      </c>
      <c r="K40" s="279" t="s">
        <v>437</v>
      </c>
      <c r="L40" s="278">
        <v>400</v>
      </c>
      <c r="M40" s="277">
        <f t="shared" si="2"/>
        <v>400</v>
      </c>
      <c r="N40" s="276">
        <f t="shared" si="3"/>
        <v>72.131147540983605</v>
      </c>
    </row>
    <row r="41" spans="2:14" s="275" customFormat="1" ht="24.75" customHeight="1" x14ac:dyDescent="0.25">
      <c r="B41" s="281" t="s">
        <v>440</v>
      </c>
      <c r="C41" s="280" t="s">
        <v>1166</v>
      </c>
      <c r="D41" s="389" t="s">
        <v>730</v>
      </c>
      <c r="E41" s="390"/>
      <c r="F41" s="390"/>
      <c r="G41" s="390"/>
      <c r="H41" s="390"/>
      <c r="I41" s="391"/>
      <c r="J41" s="331" t="s">
        <v>1165</v>
      </c>
      <c r="K41" s="279" t="s">
        <v>437</v>
      </c>
      <c r="L41" s="278">
        <v>1700</v>
      </c>
      <c r="M41" s="277">
        <f t="shared" si="2"/>
        <v>2040</v>
      </c>
      <c r="N41" s="276">
        <f t="shared" si="3"/>
        <v>367.86885245901641</v>
      </c>
    </row>
    <row r="42" spans="2:14" s="275" customFormat="1" ht="25.5" customHeight="1" x14ac:dyDescent="0.25">
      <c r="B42" s="281" t="s">
        <v>453</v>
      </c>
      <c r="C42" s="280" t="s">
        <v>1164</v>
      </c>
      <c r="D42" s="389" t="s">
        <v>1163</v>
      </c>
      <c r="E42" s="390"/>
      <c r="F42" s="390"/>
      <c r="G42" s="390"/>
      <c r="H42" s="390"/>
      <c r="I42" s="391"/>
      <c r="J42" s="291">
        <v>1</v>
      </c>
      <c r="K42" s="279" t="s">
        <v>437</v>
      </c>
      <c r="L42" s="278">
        <v>250</v>
      </c>
      <c r="M42" s="277">
        <f t="shared" si="2"/>
        <v>250</v>
      </c>
      <c r="N42" s="276">
        <f t="shared" si="3"/>
        <v>45.081967213114751</v>
      </c>
    </row>
    <row r="43" spans="2:14" s="275" customFormat="1" ht="12.75" customHeight="1" x14ac:dyDescent="0.25">
      <c r="B43" s="281" t="s">
        <v>452</v>
      </c>
      <c r="C43" s="292" t="s">
        <v>1162</v>
      </c>
      <c r="D43" s="389" t="s">
        <v>1161</v>
      </c>
      <c r="E43" s="390"/>
      <c r="F43" s="390"/>
      <c r="G43" s="390"/>
      <c r="H43" s="390"/>
      <c r="I43" s="391"/>
      <c r="J43" s="291">
        <v>1</v>
      </c>
      <c r="K43" s="279" t="s">
        <v>437</v>
      </c>
      <c r="L43" s="278">
        <v>600</v>
      </c>
      <c r="M43" s="277">
        <f t="shared" si="2"/>
        <v>600</v>
      </c>
      <c r="N43" s="276">
        <f t="shared" si="3"/>
        <v>108.19672131147541</v>
      </c>
    </row>
    <row r="44" spans="2:14" s="275" customFormat="1" ht="27" customHeight="1" x14ac:dyDescent="0.25">
      <c r="B44" s="281" t="s">
        <v>451</v>
      </c>
      <c r="C44" s="292" t="s">
        <v>525</v>
      </c>
      <c r="D44" s="389" t="s">
        <v>524</v>
      </c>
      <c r="E44" s="390"/>
      <c r="F44" s="390"/>
      <c r="G44" s="390"/>
      <c r="H44" s="390"/>
      <c r="I44" s="391"/>
      <c r="J44" s="291">
        <v>1</v>
      </c>
      <c r="K44" s="279" t="s">
        <v>520</v>
      </c>
      <c r="L44" s="278">
        <v>600</v>
      </c>
      <c r="M44" s="277">
        <f t="shared" si="2"/>
        <v>600</v>
      </c>
      <c r="N44" s="276">
        <f t="shared" si="3"/>
        <v>108.19672131147541</v>
      </c>
    </row>
    <row r="45" spans="2:14" s="275" customFormat="1" ht="26.25" customHeight="1" x14ac:dyDescent="0.25">
      <c r="B45" s="281" t="s">
        <v>450</v>
      </c>
      <c r="C45" s="292">
        <v>614503</v>
      </c>
      <c r="D45" s="389" t="s">
        <v>1160</v>
      </c>
      <c r="E45" s="390"/>
      <c r="F45" s="390"/>
      <c r="G45" s="390"/>
      <c r="H45" s="390"/>
      <c r="I45" s="391"/>
      <c r="J45" s="291">
        <v>1</v>
      </c>
      <c r="K45" s="279" t="s">
        <v>437</v>
      </c>
      <c r="L45" s="278">
        <v>350</v>
      </c>
      <c r="M45" s="277">
        <f t="shared" si="2"/>
        <v>350</v>
      </c>
      <c r="N45" s="276">
        <f t="shared" si="3"/>
        <v>63.114754098360656</v>
      </c>
    </row>
    <row r="46" spans="2:14" x14ac:dyDescent="0.25">
      <c r="B46" s="396" t="s">
        <v>436</v>
      </c>
      <c r="C46" s="396"/>
      <c r="D46" s="396"/>
      <c r="E46" s="396"/>
      <c r="F46" s="396"/>
      <c r="G46" s="396"/>
      <c r="H46" s="396"/>
      <c r="I46" s="397"/>
      <c r="J46" s="297">
        <v>9</v>
      </c>
      <c r="K46" s="393" t="s">
        <v>435</v>
      </c>
      <c r="L46" s="395"/>
      <c r="M46" s="340">
        <f>M38+M39+M40+M41+M42+M43+M44+M45</f>
        <v>12000</v>
      </c>
      <c r="N46" s="276">
        <f t="shared" si="3"/>
        <v>2163.9344262295081</v>
      </c>
    </row>
    <row r="48" spans="2:14" ht="15" customHeight="1" x14ac:dyDescent="0.25">
      <c r="B48" s="392" t="s">
        <v>1159</v>
      </c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</row>
    <row r="49" spans="2:14" ht="15.75" thickBot="1" x14ac:dyDescent="0.3"/>
    <row r="50" spans="2:14" ht="16.5" thickTop="1" thickBot="1" x14ac:dyDescent="0.3">
      <c r="B50" s="271"/>
      <c r="C50" s="271"/>
      <c r="D50" s="271"/>
      <c r="E50" s="271"/>
      <c r="F50" s="271"/>
      <c r="G50" s="271"/>
      <c r="H50" s="271"/>
      <c r="I50" s="271"/>
      <c r="J50" s="271"/>
      <c r="K50" s="270"/>
      <c r="L50" s="270" t="s">
        <v>433</v>
      </c>
      <c r="M50" s="269">
        <f>M30+M46</f>
        <v>17000</v>
      </c>
      <c r="N50" s="268">
        <f>M50*22/122</f>
        <v>3065.5737704918033</v>
      </c>
    </row>
    <row r="51" spans="2:14" ht="15.75" thickTop="1" x14ac:dyDescent="0.25"/>
    <row r="52" spans="2:14" ht="15" customHeight="1" x14ac:dyDescent="0.25">
      <c r="B52" s="388" t="s">
        <v>1158</v>
      </c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</row>
    <row r="55" spans="2:14" ht="15" customHeight="1" x14ac:dyDescent="0.25">
      <c r="J55" s="266" t="s">
        <v>431</v>
      </c>
      <c r="K55" s="384" t="s">
        <v>430</v>
      </c>
      <c r="L55" s="384"/>
      <c r="M55" s="384"/>
      <c r="N55" s="384"/>
    </row>
    <row r="57" spans="2:14" ht="53.25" customHeight="1" x14ac:dyDescent="0.25">
      <c r="B57" s="267"/>
      <c r="C57" s="385" t="s">
        <v>429</v>
      </c>
      <c r="D57" s="385"/>
      <c r="E57" s="385"/>
      <c r="F57" s="385"/>
      <c r="G57" s="385"/>
      <c r="H57" s="385"/>
      <c r="I57" s="385"/>
      <c r="J57" s="385"/>
      <c r="K57" s="385"/>
      <c r="L57" s="385"/>
      <c r="M57" s="385"/>
    </row>
    <row r="61" spans="2:14" ht="24" customHeight="1" x14ac:dyDescent="0.25">
      <c r="B61" s="386" t="s">
        <v>950</v>
      </c>
      <c r="C61" s="386"/>
      <c r="J61" s="266" t="s">
        <v>427</v>
      </c>
      <c r="K61" s="384" t="s">
        <v>949</v>
      </c>
      <c r="L61" s="384"/>
      <c r="M61" s="384"/>
      <c r="N61" s="384"/>
    </row>
    <row r="63" spans="2:14" ht="26.25" customHeight="1" x14ac:dyDescent="0.25">
      <c r="J63" s="266" t="s">
        <v>426</v>
      </c>
      <c r="K63" s="384" t="s">
        <v>949</v>
      </c>
      <c r="L63" s="384"/>
      <c r="M63" s="384"/>
      <c r="N63" s="384"/>
    </row>
    <row r="65" spans="2:14" x14ac:dyDescent="0.25">
      <c r="B65" s="387" t="s">
        <v>424</v>
      </c>
      <c r="C65" s="387"/>
    </row>
    <row r="66" spans="2:14" x14ac:dyDescent="0.25">
      <c r="B66" s="381"/>
      <c r="C66" s="382"/>
      <c r="D66" s="382"/>
      <c r="E66" s="382"/>
      <c r="F66" s="382"/>
      <c r="G66" s="382"/>
      <c r="H66" s="382"/>
      <c r="I66" s="382"/>
      <c r="J66" s="382"/>
      <c r="K66" s="382"/>
      <c r="L66" s="382"/>
      <c r="M66" s="382"/>
      <c r="N66" s="383"/>
    </row>
  </sheetData>
  <mergeCells count="44">
    <mergeCell ref="B66:N66"/>
    <mergeCell ref="K55:N55"/>
    <mergeCell ref="C57:M57"/>
    <mergeCell ref="B61:C61"/>
    <mergeCell ref="K61:N61"/>
    <mergeCell ref="K63:N63"/>
    <mergeCell ref="B65:C65"/>
    <mergeCell ref="B46:I46"/>
    <mergeCell ref="D28:H28"/>
    <mergeCell ref="B52:N52"/>
    <mergeCell ref="D39:I39"/>
    <mergeCell ref="D40:I40"/>
    <mergeCell ref="D41:I41"/>
    <mergeCell ref="D42:I42"/>
    <mergeCell ref="B48:N48"/>
    <mergeCell ref="D36:I36"/>
    <mergeCell ref="D37:I37"/>
    <mergeCell ref="K46:L46"/>
    <mergeCell ref="D38:I38"/>
    <mergeCell ref="D43:I43"/>
    <mergeCell ref="D44:I44"/>
    <mergeCell ref="D45:I45"/>
    <mergeCell ref="D24:H24"/>
    <mergeCell ref="D25:H25"/>
    <mergeCell ref="D26:H26"/>
    <mergeCell ref="J30:L30"/>
    <mergeCell ref="B32:N32"/>
    <mergeCell ref="B30:H30"/>
    <mergeCell ref="D29:H29"/>
    <mergeCell ref="D27:H27"/>
    <mergeCell ref="D22:H22"/>
    <mergeCell ref="D23:H23"/>
    <mergeCell ref="D21:H21"/>
    <mergeCell ref="B1:J1"/>
    <mergeCell ref="M1:N3"/>
    <mergeCell ref="B2:J2"/>
    <mergeCell ref="C4:N4"/>
    <mergeCell ref="B6:G6"/>
    <mergeCell ref="H6:N6"/>
    <mergeCell ref="B7:N7"/>
    <mergeCell ref="B11:N11"/>
    <mergeCell ref="B12:N12"/>
    <mergeCell ref="D19:H19"/>
    <mergeCell ref="D20:H20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E128-3067-4F8D-8C85-6818D4F69BD9}">
  <sheetPr codeName="Лист42">
    <pageSetUpPr fitToPage="1"/>
  </sheetPr>
  <dimension ref="B1:N65"/>
  <sheetViews>
    <sheetView workbookViewId="0">
      <selection activeCell="V50" sqref="V50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1186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1156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1185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1020</v>
      </c>
      <c r="E21" s="414"/>
      <c r="F21" s="414"/>
      <c r="G21" s="414"/>
      <c r="H21" s="415"/>
      <c r="I21" s="291">
        <v>1</v>
      </c>
      <c r="J21" s="300">
        <v>500</v>
      </c>
      <c r="K21" s="289">
        <v>1</v>
      </c>
      <c r="L21" s="279" t="s">
        <v>11</v>
      </c>
      <c r="M21" s="277">
        <f t="shared" ref="M21:M27" si="0">J21*I21</f>
        <v>500</v>
      </c>
      <c r="N21" s="276">
        <f t="shared" ref="N21:N28" si="1">M21*22/122</f>
        <v>90.163934426229503</v>
      </c>
    </row>
    <row r="22" spans="2:14" s="275" customFormat="1" ht="15" customHeight="1" thickBot="1" x14ac:dyDescent="0.3">
      <c r="B22" s="281" t="s">
        <v>446</v>
      </c>
      <c r="C22" s="292"/>
      <c r="D22" s="413" t="s">
        <v>465</v>
      </c>
      <c r="E22" s="414"/>
      <c r="F22" s="414"/>
      <c r="G22" s="414"/>
      <c r="H22" s="415"/>
      <c r="I22" s="291">
        <v>1</v>
      </c>
      <c r="J22" s="300">
        <v>200</v>
      </c>
      <c r="K22" s="289">
        <v>1</v>
      </c>
      <c r="L22" s="279" t="s">
        <v>11</v>
      </c>
      <c r="M22" s="277">
        <f t="shared" si="0"/>
        <v>200</v>
      </c>
      <c r="N22" s="276">
        <f t="shared" si="1"/>
        <v>36.065573770491802</v>
      </c>
    </row>
    <row r="23" spans="2:14" s="275" customFormat="1" ht="15" customHeight="1" thickBot="1" x14ac:dyDescent="0.3">
      <c r="B23" s="281" t="s">
        <v>443</v>
      </c>
      <c r="C23" s="292"/>
      <c r="D23" s="413" t="s">
        <v>466</v>
      </c>
      <c r="E23" s="414"/>
      <c r="F23" s="414"/>
      <c r="G23" s="414"/>
      <c r="H23" s="415"/>
      <c r="I23" s="291">
        <v>1</v>
      </c>
      <c r="J23" s="300">
        <v>200</v>
      </c>
      <c r="K23" s="289">
        <v>1</v>
      </c>
      <c r="L23" s="279" t="s">
        <v>11</v>
      </c>
      <c r="M23" s="277">
        <f t="shared" si="0"/>
        <v>200</v>
      </c>
      <c r="N23" s="276">
        <f t="shared" si="1"/>
        <v>36.065573770491802</v>
      </c>
    </row>
    <row r="24" spans="2:14" s="275" customFormat="1" ht="26.25" customHeight="1" x14ac:dyDescent="0.25">
      <c r="B24" s="281" t="s">
        <v>440</v>
      </c>
      <c r="C24" s="292"/>
      <c r="D24" s="389" t="s">
        <v>564</v>
      </c>
      <c r="E24" s="390"/>
      <c r="F24" s="390"/>
      <c r="G24" s="390"/>
      <c r="H24" s="391"/>
      <c r="I24" s="291">
        <v>1</v>
      </c>
      <c r="J24" s="300">
        <v>1500</v>
      </c>
      <c r="K24" s="289">
        <v>1</v>
      </c>
      <c r="L24" s="279" t="s">
        <v>11</v>
      </c>
      <c r="M24" s="277">
        <f t="shared" si="0"/>
        <v>1500</v>
      </c>
      <c r="N24" s="276">
        <f t="shared" si="1"/>
        <v>270.49180327868851</v>
      </c>
    </row>
    <row r="25" spans="2:14" s="275" customFormat="1" ht="13.5" customHeight="1" x14ac:dyDescent="0.25">
      <c r="B25" s="281" t="s">
        <v>453</v>
      </c>
      <c r="C25" s="292"/>
      <c r="D25" s="389" t="s">
        <v>563</v>
      </c>
      <c r="E25" s="390"/>
      <c r="F25" s="390"/>
      <c r="G25" s="390"/>
      <c r="H25" s="391"/>
      <c r="I25" s="291">
        <v>1</v>
      </c>
      <c r="J25" s="300">
        <v>4500</v>
      </c>
      <c r="K25" s="289">
        <v>1</v>
      </c>
      <c r="L25" s="279" t="s">
        <v>11</v>
      </c>
      <c r="M25" s="277">
        <f t="shared" si="0"/>
        <v>4500</v>
      </c>
      <c r="N25" s="276">
        <f t="shared" si="1"/>
        <v>811.47540983606552</v>
      </c>
    </row>
    <row r="26" spans="2:14" s="275" customFormat="1" ht="14.25" customHeight="1" x14ac:dyDescent="0.25">
      <c r="B26" s="281" t="s">
        <v>452</v>
      </c>
      <c r="C26" s="292"/>
      <c r="D26" s="389" t="s">
        <v>570</v>
      </c>
      <c r="E26" s="390"/>
      <c r="F26" s="390"/>
      <c r="G26" s="390"/>
      <c r="H26" s="391"/>
      <c r="I26" s="291">
        <v>1</v>
      </c>
      <c r="J26" s="300">
        <v>4500</v>
      </c>
      <c r="K26" s="289">
        <v>1</v>
      </c>
      <c r="L26" s="279" t="s">
        <v>11</v>
      </c>
      <c r="M26" s="277">
        <f t="shared" si="0"/>
        <v>4500</v>
      </c>
      <c r="N26" s="276">
        <f t="shared" si="1"/>
        <v>811.47540983606552</v>
      </c>
    </row>
    <row r="27" spans="2:14" s="275" customFormat="1" ht="12.75" customHeight="1" x14ac:dyDescent="0.25">
      <c r="B27" s="281" t="s">
        <v>451</v>
      </c>
      <c r="C27" s="292"/>
      <c r="D27" s="389" t="s">
        <v>1018</v>
      </c>
      <c r="E27" s="390"/>
      <c r="F27" s="390"/>
      <c r="G27" s="390"/>
      <c r="H27" s="391"/>
      <c r="I27" s="291">
        <v>1</v>
      </c>
      <c r="J27" s="300">
        <v>2500</v>
      </c>
      <c r="K27" s="289">
        <v>1</v>
      </c>
      <c r="L27" s="279" t="s">
        <v>11</v>
      </c>
      <c r="M27" s="277">
        <f t="shared" si="0"/>
        <v>2500</v>
      </c>
      <c r="N27" s="276">
        <f t="shared" si="1"/>
        <v>450.81967213114751</v>
      </c>
    </row>
    <row r="28" spans="2:14" x14ac:dyDescent="0.25">
      <c r="B28" s="396" t="s">
        <v>464</v>
      </c>
      <c r="C28" s="396"/>
      <c r="D28" s="396"/>
      <c r="E28" s="396"/>
      <c r="F28" s="396"/>
      <c r="G28" s="396"/>
      <c r="H28" s="397"/>
      <c r="I28" s="299">
        <v>7</v>
      </c>
      <c r="J28" s="393" t="s">
        <v>435</v>
      </c>
      <c r="K28" s="394"/>
      <c r="L28" s="395"/>
      <c r="M28" s="277">
        <f>M21+M22+M23+M24+M25+M26+M27</f>
        <v>13900</v>
      </c>
      <c r="N28" s="276">
        <f t="shared" si="1"/>
        <v>2506.5573770491801</v>
      </c>
    </row>
    <row r="29" spans="2:14" ht="9" customHeight="1" x14ac:dyDescent="0.25"/>
    <row r="30" spans="2:14" ht="15" customHeight="1" x14ac:dyDescent="0.25">
      <c r="B30" s="392" t="s">
        <v>1184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</row>
    <row r="31" spans="2:14" ht="7.5" customHeight="1" x14ac:dyDescent="0.25"/>
    <row r="32" spans="2:14" x14ac:dyDescent="0.25">
      <c r="C32" s="287" t="s">
        <v>1183</v>
      </c>
    </row>
    <row r="33" spans="2:14" ht="15.75" thickBot="1" x14ac:dyDescent="0.3">
      <c r="B33" s="286"/>
      <c r="C33" s="285"/>
      <c r="D33" s="285"/>
      <c r="H33" s="285"/>
      <c r="I33" s="285"/>
      <c r="M33" s="284"/>
      <c r="N33" s="284"/>
    </row>
    <row r="34" spans="2:14" ht="15.75" thickBot="1" x14ac:dyDescent="0.3">
      <c r="B34" s="298" t="s">
        <v>461</v>
      </c>
      <c r="C34" s="283" t="s">
        <v>460</v>
      </c>
      <c r="D34" s="398" t="s">
        <v>459</v>
      </c>
      <c r="E34" s="399"/>
      <c r="F34" s="399"/>
      <c r="G34" s="399"/>
      <c r="H34" s="399"/>
      <c r="I34" s="400"/>
      <c r="J34" s="298" t="s">
        <v>458</v>
      </c>
      <c r="K34" s="298" t="s">
        <v>457</v>
      </c>
      <c r="L34" s="298" t="s">
        <v>456</v>
      </c>
      <c r="M34" s="298" t="s">
        <v>455</v>
      </c>
      <c r="N34" s="298" t="s">
        <v>454</v>
      </c>
    </row>
    <row r="35" spans="2:14" ht="15.75" thickBot="1" x14ac:dyDescent="0.3">
      <c r="B35" s="298" t="s">
        <v>449</v>
      </c>
      <c r="C35" s="283" t="s">
        <v>446</v>
      </c>
      <c r="D35" s="398" t="s">
        <v>443</v>
      </c>
      <c r="E35" s="399"/>
      <c r="F35" s="399"/>
      <c r="G35" s="399"/>
      <c r="H35" s="399"/>
      <c r="I35" s="400"/>
      <c r="J35" s="298" t="s">
        <v>440</v>
      </c>
      <c r="K35" s="298" t="s">
        <v>453</v>
      </c>
      <c r="L35" s="298" t="s">
        <v>452</v>
      </c>
      <c r="M35" s="298" t="s">
        <v>451</v>
      </c>
      <c r="N35" s="298" t="s">
        <v>450</v>
      </c>
    </row>
    <row r="36" spans="2:14" s="275" customFormat="1" ht="13.5" customHeight="1" x14ac:dyDescent="0.25">
      <c r="B36" s="281" t="s">
        <v>449</v>
      </c>
      <c r="C36" s="292" t="s">
        <v>537</v>
      </c>
      <c r="D36" s="389" t="s">
        <v>536</v>
      </c>
      <c r="E36" s="390"/>
      <c r="F36" s="390"/>
      <c r="G36" s="390"/>
      <c r="H36" s="390"/>
      <c r="I36" s="391"/>
      <c r="J36" s="291">
        <v>1</v>
      </c>
      <c r="K36" s="279" t="s">
        <v>437</v>
      </c>
      <c r="L36" s="278">
        <v>400</v>
      </c>
      <c r="M36" s="277">
        <f t="shared" ref="M36:M44" si="2">L36*J36</f>
        <v>400</v>
      </c>
      <c r="N36" s="276">
        <f t="shared" ref="N36:N45" si="3">M36*22/122</f>
        <v>72.131147540983605</v>
      </c>
    </row>
    <row r="37" spans="2:14" s="275" customFormat="1" ht="12.75" customHeight="1" x14ac:dyDescent="0.25">
      <c r="B37" s="281" t="s">
        <v>446</v>
      </c>
      <c r="C37" s="292">
        <v>3705304</v>
      </c>
      <c r="D37" s="389" t="s">
        <v>530</v>
      </c>
      <c r="E37" s="390"/>
      <c r="F37" s="390"/>
      <c r="G37" s="390"/>
      <c r="H37" s="390"/>
      <c r="I37" s="391"/>
      <c r="J37" s="291">
        <v>1</v>
      </c>
      <c r="K37" s="279" t="s">
        <v>437</v>
      </c>
      <c r="L37" s="278">
        <v>1150</v>
      </c>
      <c r="M37" s="277">
        <f t="shared" si="2"/>
        <v>1150</v>
      </c>
      <c r="N37" s="276">
        <f t="shared" si="3"/>
        <v>207.37704918032787</v>
      </c>
    </row>
    <row r="38" spans="2:14" s="275" customFormat="1" ht="11.25" customHeight="1" x14ac:dyDescent="0.25">
      <c r="B38" s="281" t="s">
        <v>443</v>
      </c>
      <c r="C38" s="280" t="s">
        <v>578</v>
      </c>
      <c r="D38" s="389" t="s">
        <v>577</v>
      </c>
      <c r="E38" s="390"/>
      <c r="F38" s="390"/>
      <c r="G38" s="390"/>
      <c r="H38" s="390"/>
      <c r="I38" s="391"/>
      <c r="J38" s="331" t="s">
        <v>449</v>
      </c>
      <c r="K38" s="279" t="s">
        <v>437</v>
      </c>
      <c r="L38" s="278">
        <v>450</v>
      </c>
      <c r="M38" s="277">
        <f t="shared" si="2"/>
        <v>450</v>
      </c>
      <c r="N38" s="276">
        <f t="shared" si="3"/>
        <v>81.147540983606561</v>
      </c>
    </row>
    <row r="39" spans="2:14" s="275" customFormat="1" ht="24.75" customHeight="1" x14ac:dyDescent="0.25">
      <c r="B39" s="281" t="s">
        <v>440</v>
      </c>
      <c r="C39" s="280" t="s">
        <v>580</v>
      </c>
      <c r="D39" s="389" t="s">
        <v>579</v>
      </c>
      <c r="E39" s="390"/>
      <c r="F39" s="390"/>
      <c r="G39" s="390"/>
      <c r="H39" s="390"/>
      <c r="I39" s="391"/>
      <c r="J39" s="291">
        <v>1</v>
      </c>
      <c r="K39" s="279" t="s">
        <v>437</v>
      </c>
      <c r="L39" s="278">
        <v>400</v>
      </c>
      <c r="M39" s="277">
        <f t="shared" si="2"/>
        <v>400</v>
      </c>
      <c r="N39" s="276">
        <f t="shared" si="3"/>
        <v>72.131147540983605</v>
      </c>
    </row>
    <row r="40" spans="2:14" s="275" customFormat="1" ht="25.5" customHeight="1" x14ac:dyDescent="0.25">
      <c r="B40" s="281" t="s">
        <v>453</v>
      </c>
      <c r="C40" s="280" t="s">
        <v>1182</v>
      </c>
      <c r="D40" s="389" t="s">
        <v>1181</v>
      </c>
      <c r="E40" s="390"/>
      <c r="F40" s="390"/>
      <c r="G40" s="390"/>
      <c r="H40" s="390"/>
      <c r="I40" s="391"/>
      <c r="J40" s="291">
        <v>1</v>
      </c>
      <c r="K40" s="279" t="s">
        <v>437</v>
      </c>
      <c r="L40" s="278">
        <v>3000</v>
      </c>
      <c r="M40" s="277">
        <f t="shared" si="2"/>
        <v>3000</v>
      </c>
      <c r="N40" s="276">
        <f t="shared" si="3"/>
        <v>540.98360655737702</v>
      </c>
    </row>
    <row r="41" spans="2:14" s="275" customFormat="1" ht="24" customHeight="1" x14ac:dyDescent="0.25">
      <c r="B41" s="281" t="s">
        <v>452</v>
      </c>
      <c r="C41" s="292" t="s">
        <v>1003</v>
      </c>
      <c r="D41" s="389" t="s">
        <v>1002</v>
      </c>
      <c r="E41" s="390"/>
      <c r="F41" s="390"/>
      <c r="G41" s="390"/>
      <c r="H41" s="390"/>
      <c r="I41" s="391"/>
      <c r="J41" s="291">
        <v>1</v>
      </c>
      <c r="K41" s="279" t="s">
        <v>437</v>
      </c>
      <c r="L41" s="278">
        <v>5600</v>
      </c>
      <c r="M41" s="277">
        <f t="shared" si="2"/>
        <v>5600</v>
      </c>
      <c r="N41" s="276">
        <f t="shared" si="3"/>
        <v>1009.8360655737705</v>
      </c>
    </row>
    <row r="42" spans="2:14" s="275" customFormat="1" ht="27" customHeight="1" x14ac:dyDescent="0.25">
      <c r="B42" s="281" t="s">
        <v>451</v>
      </c>
      <c r="C42" s="292" t="s">
        <v>1001</v>
      </c>
      <c r="D42" s="389" t="s">
        <v>1000</v>
      </c>
      <c r="E42" s="390"/>
      <c r="F42" s="390"/>
      <c r="G42" s="390"/>
      <c r="H42" s="390"/>
      <c r="I42" s="391"/>
      <c r="J42" s="291">
        <v>1</v>
      </c>
      <c r="K42" s="279" t="s">
        <v>520</v>
      </c>
      <c r="L42" s="278">
        <v>5500</v>
      </c>
      <c r="M42" s="277">
        <f t="shared" si="2"/>
        <v>5500</v>
      </c>
      <c r="N42" s="276">
        <f t="shared" si="3"/>
        <v>991.80327868852464</v>
      </c>
    </row>
    <row r="43" spans="2:14" s="275" customFormat="1" ht="15" customHeight="1" x14ac:dyDescent="0.25">
      <c r="B43" s="281" t="s">
        <v>450</v>
      </c>
      <c r="C43" s="292">
        <v>614503</v>
      </c>
      <c r="D43" s="389" t="s">
        <v>488</v>
      </c>
      <c r="E43" s="390"/>
      <c r="F43" s="390"/>
      <c r="G43" s="390"/>
      <c r="H43" s="390"/>
      <c r="I43" s="391"/>
      <c r="J43" s="291">
        <v>1</v>
      </c>
      <c r="K43" s="279" t="s">
        <v>520</v>
      </c>
      <c r="L43" s="278">
        <v>1000</v>
      </c>
      <c r="M43" s="277">
        <f t="shared" si="2"/>
        <v>1000</v>
      </c>
      <c r="N43" s="276">
        <f t="shared" si="3"/>
        <v>180.32786885245901</v>
      </c>
    </row>
    <row r="44" spans="2:14" s="275" customFormat="1" ht="13.5" customHeight="1" x14ac:dyDescent="0.25">
      <c r="B44" s="281" t="s">
        <v>468</v>
      </c>
      <c r="C44" s="292">
        <v>990550</v>
      </c>
      <c r="D44" s="389" t="s">
        <v>999</v>
      </c>
      <c r="E44" s="390"/>
      <c r="F44" s="390"/>
      <c r="G44" s="390"/>
      <c r="H44" s="390"/>
      <c r="I44" s="391"/>
      <c r="J44" s="291">
        <v>1</v>
      </c>
      <c r="K44" s="279" t="s">
        <v>437</v>
      </c>
      <c r="L44" s="278">
        <v>250</v>
      </c>
      <c r="M44" s="277">
        <f t="shared" si="2"/>
        <v>250</v>
      </c>
      <c r="N44" s="276">
        <f t="shared" si="3"/>
        <v>45.081967213114751</v>
      </c>
    </row>
    <row r="45" spans="2:14" x14ac:dyDescent="0.25">
      <c r="B45" s="396" t="s">
        <v>436</v>
      </c>
      <c r="C45" s="396"/>
      <c r="D45" s="396"/>
      <c r="E45" s="396"/>
      <c r="F45" s="396"/>
      <c r="G45" s="396"/>
      <c r="H45" s="396"/>
      <c r="I45" s="397"/>
      <c r="J45" s="297">
        <v>9</v>
      </c>
      <c r="K45" s="393" t="s">
        <v>435</v>
      </c>
      <c r="L45" s="395"/>
      <c r="M45" s="340">
        <f>M36+M37+M38+M39+M40+M41+M42+M43+M44</f>
        <v>17750</v>
      </c>
      <c r="N45" s="276">
        <f t="shared" si="3"/>
        <v>3200.8196721311474</v>
      </c>
    </row>
    <row r="47" spans="2:14" ht="15" customHeight="1" x14ac:dyDescent="0.25">
      <c r="B47" s="392" t="s">
        <v>1180</v>
      </c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</row>
    <row r="48" spans="2:14" ht="15.75" thickBot="1" x14ac:dyDescent="0.3"/>
    <row r="49" spans="2:14" ht="16.5" thickTop="1" thickBot="1" x14ac:dyDescent="0.3">
      <c r="B49" s="271"/>
      <c r="C49" s="271"/>
      <c r="D49" s="271"/>
      <c r="E49" s="271"/>
      <c r="F49" s="271"/>
      <c r="G49" s="271"/>
      <c r="H49" s="271"/>
      <c r="I49" s="271"/>
      <c r="J49" s="271"/>
      <c r="K49" s="270"/>
      <c r="L49" s="270" t="s">
        <v>433</v>
      </c>
      <c r="M49" s="269">
        <f>M28+M45</f>
        <v>31650</v>
      </c>
      <c r="N49" s="268">
        <f>M49*22/122</f>
        <v>5707.377049180328</v>
      </c>
    </row>
    <row r="50" spans="2:14" ht="15.75" thickTop="1" x14ac:dyDescent="0.25"/>
    <row r="51" spans="2:14" ht="15" customHeight="1" x14ac:dyDescent="0.25">
      <c r="B51" s="388" t="s">
        <v>1179</v>
      </c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</row>
    <row r="54" spans="2:14" ht="15" customHeight="1" x14ac:dyDescent="0.25">
      <c r="J54" s="266" t="s">
        <v>431</v>
      </c>
      <c r="K54" s="384" t="s">
        <v>430</v>
      </c>
      <c r="L54" s="384"/>
      <c r="M54" s="384"/>
      <c r="N54" s="384"/>
    </row>
    <row r="56" spans="2:14" ht="53.25" customHeight="1" x14ac:dyDescent="0.25">
      <c r="B56" s="267"/>
      <c r="C56" s="385" t="s">
        <v>429</v>
      </c>
      <c r="D56" s="385"/>
      <c r="E56" s="385"/>
      <c r="F56" s="385"/>
      <c r="G56" s="385"/>
      <c r="H56" s="385"/>
      <c r="I56" s="385"/>
      <c r="J56" s="385"/>
      <c r="K56" s="385"/>
      <c r="L56" s="385"/>
      <c r="M56" s="385"/>
    </row>
    <row r="60" spans="2:14" ht="24" customHeight="1" x14ac:dyDescent="0.25">
      <c r="B60" s="386" t="s">
        <v>1073</v>
      </c>
      <c r="C60" s="386"/>
      <c r="J60" s="266" t="s">
        <v>427</v>
      </c>
      <c r="K60" s="384" t="s">
        <v>425</v>
      </c>
      <c r="L60" s="384"/>
      <c r="M60" s="384"/>
      <c r="N60" s="384"/>
    </row>
    <row r="62" spans="2:14" ht="26.25" customHeight="1" x14ac:dyDescent="0.25">
      <c r="J62" s="266" t="s">
        <v>426</v>
      </c>
      <c r="K62" s="384" t="s">
        <v>425</v>
      </c>
      <c r="L62" s="384"/>
      <c r="M62" s="384"/>
      <c r="N62" s="384"/>
    </row>
    <row r="64" spans="2:14" x14ac:dyDescent="0.25">
      <c r="B64" s="387" t="s">
        <v>424</v>
      </c>
      <c r="C64" s="387"/>
    </row>
    <row r="65" spans="2:14" x14ac:dyDescent="0.25">
      <c r="B65" s="381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3"/>
    </row>
  </sheetData>
  <mergeCells count="43">
    <mergeCell ref="B65:N65"/>
    <mergeCell ref="K54:N54"/>
    <mergeCell ref="C56:M56"/>
    <mergeCell ref="B60:C60"/>
    <mergeCell ref="K60:N60"/>
    <mergeCell ref="K62:N62"/>
    <mergeCell ref="B64:C64"/>
    <mergeCell ref="D35:I35"/>
    <mergeCell ref="B51:N51"/>
    <mergeCell ref="D37:I37"/>
    <mergeCell ref="D38:I38"/>
    <mergeCell ref="D39:I39"/>
    <mergeCell ref="D40:I40"/>
    <mergeCell ref="D41:I41"/>
    <mergeCell ref="K45:L45"/>
    <mergeCell ref="D42:I42"/>
    <mergeCell ref="D43:I43"/>
    <mergeCell ref="D44:I44"/>
    <mergeCell ref="B45:I45"/>
    <mergeCell ref="B47:N47"/>
    <mergeCell ref="B11:N11"/>
    <mergeCell ref="B12:N12"/>
    <mergeCell ref="D19:H19"/>
    <mergeCell ref="D20:H20"/>
    <mergeCell ref="D36:I36"/>
    <mergeCell ref="D24:H24"/>
    <mergeCell ref="D25:H25"/>
    <mergeCell ref="D26:H26"/>
    <mergeCell ref="J28:L28"/>
    <mergeCell ref="D22:H22"/>
    <mergeCell ref="D23:H23"/>
    <mergeCell ref="D21:H21"/>
    <mergeCell ref="B30:N30"/>
    <mergeCell ref="D27:H27"/>
    <mergeCell ref="B28:H28"/>
    <mergeCell ref="D34:I34"/>
    <mergeCell ref="B7:N7"/>
    <mergeCell ref="B1:J1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1BE5-7C2E-46FE-9732-6CDDE8EB988C}">
  <sheetPr codeName="Лист43">
    <pageSetUpPr fitToPage="1"/>
  </sheetPr>
  <dimension ref="B1:N63"/>
  <sheetViews>
    <sheetView workbookViewId="0">
      <selection activeCell="S57" sqref="S57"/>
    </sheetView>
  </sheetViews>
  <sheetFormatPr defaultColWidth="8.85546875" defaultRowHeight="15" x14ac:dyDescent="0.25"/>
  <cols>
    <col min="1" max="1" width="1" style="237" customWidth="1"/>
    <col min="2" max="2" width="5" style="237" customWidth="1"/>
    <col min="3" max="3" width="16" style="237" customWidth="1"/>
    <col min="4" max="6" width="2" style="237" customWidth="1"/>
    <col min="7" max="7" width="14.85546875" style="237" customWidth="1"/>
    <col min="8" max="12" width="9.28515625" style="237" customWidth="1"/>
    <col min="13" max="13" width="13" style="237" customWidth="1"/>
    <col min="14" max="14" width="10" style="237" customWidth="1"/>
    <col min="15" max="256" width="8.85546875" style="237"/>
    <col min="257" max="257" width="1" style="237" customWidth="1"/>
    <col min="258" max="258" width="5" style="237" customWidth="1"/>
    <col min="259" max="259" width="13.5703125" style="237" customWidth="1"/>
    <col min="260" max="262" width="2" style="237" customWidth="1"/>
    <col min="263" max="263" width="14.85546875" style="237" customWidth="1"/>
    <col min="264" max="268" width="9.28515625" style="237" customWidth="1"/>
    <col min="269" max="269" width="13" style="237" customWidth="1"/>
    <col min="270" max="270" width="10" style="237" customWidth="1"/>
    <col min="271" max="512" width="8.85546875" style="237"/>
    <col min="513" max="513" width="1" style="237" customWidth="1"/>
    <col min="514" max="514" width="5" style="237" customWidth="1"/>
    <col min="515" max="515" width="13.5703125" style="237" customWidth="1"/>
    <col min="516" max="518" width="2" style="237" customWidth="1"/>
    <col min="519" max="519" width="14.85546875" style="237" customWidth="1"/>
    <col min="520" max="524" width="9.28515625" style="237" customWidth="1"/>
    <col min="525" max="525" width="13" style="237" customWidth="1"/>
    <col min="526" max="526" width="10" style="237" customWidth="1"/>
    <col min="527" max="768" width="8.85546875" style="237"/>
    <col min="769" max="769" width="1" style="237" customWidth="1"/>
    <col min="770" max="770" width="5" style="237" customWidth="1"/>
    <col min="771" max="771" width="13.5703125" style="237" customWidth="1"/>
    <col min="772" max="774" width="2" style="237" customWidth="1"/>
    <col min="775" max="775" width="14.85546875" style="237" customWidth="1"/>
    <col min="776" max="780" width="9.28515625" style="237" customWidth="1"/>
    <col min="781" max="781" width="13" style="237" customWidth="1"/>
    <col min="782" max="782" width="10" style="237" customWidth="1"/>
    <col min="783" max="1024" width="8.85546875" style="237"/>
    <col min="1025" max="1025" width="1" style="237" customWidth="1"/>
    <col min="1026" max="1026" width="5" style="237" customWidth="1"/>
    <col min="1027" max="1027" width="13.5703125" style="237" customWidth="1"/>
    <col min="1028" max="1030" width="2" style="237" customWidth="1"/>
    <col min="1031" max="1031" width="14.85546875" style="237" customWidth="1"/>
    <col min="1032" max="1036" width="9.28515625" style="237" customWidth="1"/>
    <col min="1037" max="1037" width="13" style="237" customWidth="1"/>
    <col min="1038" max="1038" width="10" style="237" customWidth="1"/>
    <col min="1039" max="1280" width="8.85546875" style="237"/>
    <col min="1281" max="1281" width="1" style="237" customWidth="1"/>
    <col min="1282" max="1282" width="5" style="237" customWidth="1"/>
    <col min="1283" max="1283" width="13.5703125" style="237" customWidth="1"/>
    <col min="1284" max="1286" width="2" style="237" customWidth="1"/>
    <col min="1287" max="1287" width="14.85546875" style="237" customWidth="1"/>
    <col min="1288" max="1292" width="9.28515625" style="237" customWidth="1"/>
    <col min="1293" max="1293" width="13" style="237" customWidth="1"/>
    <col min="1294" max="1294" width="10" style="237" customWidth="1"/>
    <col min="1295" max="1536" width="8.85546875" style="237"/>
    <col min="1537" max="1537" width="1" style="237" customWidth="1"/>
    <col min="1538" max="1538" width="5" style="237" customWidth="1"/>
    <col min="1539" max="1539" width="13.5703125" style="237" customWidth="1"/>
    <col min="1540" max="1542" width="2" style="237" customWidth="1"/>
    <col min="1543" max="1543" width="14.85546875" style="237" customWidth="1"/>
    <col min="1544" max="1548" width="9.28515625" style="237" customWidth="1"/>
    <col min="1549" max="1549" width="13" style="237" customWidth="1"/>
    <col min="1550" max="1550" width="10" style="237" customWidth="1"/>
    <col min="1551" max="1792" width="8.85546875" style="237"/>
    <col min="1793" max="1793" width="1" style="237" customWidth="1"/>
    <col min="1794" max="1794" width="5" style="237" customWidth="1"/>
    <col min="1795" max="1795" width="13.5703125" style="237" customWidth="1"/>
    <col min="1796" max="1798" width="2" style="237" customWidth="1"/>
    <col min="1799" max="1799" width="14.85546875" style="237" customWidth="1"/>
    <col min="1800" max="1804" width="9.28515625" style="237" customWidth="1"/>
    <col min="1805" max="1805" width="13" style="237" customWidth="1"/>
    <col min="1806" max="1806" width="10" style="237" customWidth="1"/>
    <col min="1807" max="2048" width="8.85546875" style="237"/>
    <col min="2049" max="2049" width="1" style="237" customWidth="1"/>
    <col min="2050" max="2050" width="5" style="237" customWidth="1"/>
    <col min="2051" max="2051" width="13.5703125" style="237" customWidth="1"/>
    <col min="2052" max="2054" width="2" style="237" customWidth="1"/>
    <col min="2055" max="2055" width="14.85546875" style="237" customWidth="1"/>
    <col min="2056" max="2060" width="9.28515625" style="237" customWidth="1"/>
    <col min="2061" max="2061" width="13" style="237" customWidth="1"/>
    <col min="2062" max="2062" width="10" style="237" customWidth="1"/>
    <col min="2063" max="2304" width="8.85546875" style="237"/>
    <col min="2305" max="2305" width="1" style="237" customWidth="1"/>
    <col min="2306" max="2306" width="5" style="237" customWidth="1"/>
    <col min="2307" max="2307" width="13.5703125" style="237" customWidth="1"/>
    <col min="2308" max="2310" width="2" style="237" customWidth="1"/>
    <col min="2311" max="2311" width="14.85546875" style="237" customWidth="1"/>
    <col min="2312" max="2316" width="9.28515625" style="237" customWidth="1"/>
    <col min="2317" max="2317" width="13" style="237" customWidth="1"/>
    <col min="2318" max="2318" width="10" style="237" customWidth="1"/>
    <col min="2319" max="2560" width="8.85546875" style="237"/>
    <col min="2561" max="2561" width="1" style="237" customWidth="1"/>
    <col min="2562" max="2562" width="5" style="237" customWidth="1"/>
    <col min="2563" max="2563" width="13.5703125" style="237" customWidth="1"/>
    <col min="2564" max="2566" width="2" style="237" customWidth="1"/>
    <col min="2567" max="2567" width="14.85546875" style="237" customWidth="1"/>
    <col min="2568" max="2572" width="9.28515625" style="237" customWidth="1"/>
    <col min="2573" max="2573" width="13" style="237" customWidth="1"/>
    <col min="2574" max="2574" width="10" style="237" customWidth="1"/>
    <col min="2575" max="2816" width="8.85546875" style="237"/>
    <col min="2817" max="2817" width="1" style="237" customWidth="1"/>
    <col min="2818" max="2818" width="5" style="237" customWidth="1"/>
    <col min="2819" max="2819" width="13.5703125" style="237" customWidth="1"/>
    <col min="2820" max="2822" width="2" style="237" customWidth="1"/>
    <col min="2823" max="2823" width="14.85546875" style="237" customWidth="1"/>
    <col min="2824" max="2828" width="9.28515625" style="237" customWidth="1"/>
    <col min="2829" max="2829" width="13" style="237" customWidth="1"/>
    <col min="2830" max="2830" width="10" style="237" customWidth="1"/>
    <col min="2831" max="3072" width="8.85546875" style="237"/>
    <col min="3073" max="3073" width="1" style="237" customWidth="1"/>
    <col min="3074" max="3074" width="5" style="237" customWidth="1"/>
    <col min="3075" max="3075" width="13.5703125" style="237" customWidth="1"/>
    <col min="3076" max="3078" width="2" style="237" customWidth="1"/>
    <col min="3079" max="3079" width="14.85546875" style="237" customWidth="1"/>
    <col min="3080" max="3084" width="9.28515625" style="237" customWidth="1"/>
    <col min="3085" max="3085" width="13" style="237" customWidth="1"/>
    <col min="3086" max="3086" width="10" style="237" customWidth="1"/>
    <col min="3087" max="3328" width="8.85546875" style="237"/>
    <col min="3329" max="3329" width="1" style="237" customWidth="1"/>
    <col min="3330" max="3330" width="5" style="237" customWidth="1"/>
    <col min="3331" max="3331" width="13.5703125" style="237" customWidth="1"/>
    <col min="3332" max="3334" width="2" style="237" customWidth="1"/>
    <col min="3335" max="3335" width="14.85546875" style="237" customWidth="1"/>
    <col min="3336" max="3340" width="9.28515625" style="237" customWidth="1"/>
    <col min="3341" max="3341" width="13" style="237" customWidth="1"/>
    <col min="3342" max="3342" width="10" style="237" customWidth="1"/>
    <col min="3343" max="3584" width="8.85546875" style="237"/>
    <col min="3585" max="3585" width="1" style="237" customWidth="1"/>
    <col min="3586" max="3586" width="5" style="237" customWidth="1"/>
    <col min="3587" max="3587" width="13.5703125" style="237" customWidth="1"/>
    <col min="3588" max="3590" width="2" style="237" customWidth="1"/>
    <col min="3591" max="3591" width="14.85546875" style="237" customWidth="1"/>
    <col min="3592" max="3596" width="9.28515625" style="237" customWidth="1"/>
    <col min="3597" max="3597" width="13" style="237" customWidth="1"/>
    <col min="3598" max="3598" width="10" style="237" customWidth="1"/>
    <col min="3599" max="3840" width="8.85546875" style="237"/>
    <col min="3841" max="3841" width="1" style="237" customWidth="1"/>
    <col min="3842" max="3842" width="5" style="237" customWidth="1"/>
    <col min="3843" max="3843" width="13.5703125" style="237" customWidth="1"/>
    <col min="3844" max="3846" width="2" style="237" customWidth="1"/>
    <col min="3847" max="3847" width="14.85546875" style="237" customWidth="1"/>
    <col min="3848" max="3852" width="9.28515625" style="237" customWidth="1"/>
    <col min="3853" max="3853" width="13" style="237" customWidth="1"/>
    <col min="3854" max="3854" width="10" style="237" customWidth="1"/>
    <col min="3855" max="4096" width="8.85546875" style="237"/>
    <col min="4097" max="4097" width="1" style="237" customWidth="1"/>
    <col min="4098" max="4098" width="5" style="237" customWidth="1"/>
    <col min="4099" max="4099" width="13.5703125" style="237" customWidth="1"/>
    <col min="4100" max="4102" width="2" style="237" customWidth="1"/>
    <col min="4103" max="4103" width="14.85546875" style="237" customWidth="1"/>
    <col min="4104" max="4108" width="9.28515625" style="237" customWidth="1"/>
    <col min="4109" max="4109" width="13" style="237" customWidth="1"/>
    <col min="4110" max="4110" width="10" style="237" customWidth="1"/>
    <col min="4111" max="4352" width="8.85546875" style="237"/>
    <col min="4353" max="4353" width="1" style="237" customWidth="1"/>
    <col min="4354" max="4354" width="5" style="237" customWidth="1"/>
    <col min="4355" max="4355" width="13.5703125" style="237" customWidth="1"/>
    <col min="4356" max="4358" width="2" style="237" customWidth="1"/>
    <col min="4359" max="4359" width="14.85546875" style="237" customWidth="1"/>
    <col min="4360" max="4364" width="9.28515625" style="237" customWidth="1"/>
    <col min="4365" max="4365" width="13" style="237" customWidth="1"/>
    <col min="4366" max="4366" width="10" style="237" customWidth="1"/>
    <col min="4367" max="4608" width="8.85546875" style="237"/>
    <col min="4609" max="4609" width="1" style="237" customWidth="1"/>
    <col min="4610" max="4610" width="5" style="237" customWidth="1"/>
    <col min="4611" max="4611" width="13.5703125" style="237" customWidth="1"/>
    <col min="4612" max="4614" width="2" style="237" customWidth="1"/>
    <col min="4615" max="4615" width="14.85546875" style="237" customWidth="1"/>
    <col min="4616" max="4620" width="9.28515625" style="237" customWidth="1"/>
    <col min="4621" max="4621" width="13" style="237" customWidth="1"/>
    <col min="4622" max="4622" width="10" style="237" customWidth="1"/>
    <col min="4623" max="4864" width="8.85546875" style="237"/>
    <col min="4865" max="4865" width="1" style="237" customWidth="1"/>
    <col min="4866" max="4866" width="5" style="237" customWidth="1"/>
    <col min="4867" max="4867" width="13.5703125" style="237" customWidth="1"/>
    <col min="4868" max="4870" width="2" style="237" customWidth="1"/>
    <col min="4871" max="4871" width="14.85546875" style="237" customWidth="1"/>
    <col min="4872" max="4876" width="9.28515625" style="237" customWidth="1"/>
    <col min="4877" max="4877" width="13" style="237" customWidth="1"/>
    <col min="4878" max="4878" width="10" style="237" customWidth="1"/>
    <col min="4879" max="5120" width="8.85546875" style="237"/>
    <col min="5121" max="5121" width="1" style="237" customWidth="1"/>
    <col min="5122" max="5122" width="5" style="237" customWidth="1"/>
    <col min="5123" max="5123" width="13.5703125" style="237" customWidth="1"/>
    <col min="5124" max="5126" width="2" style="237" customWidth="1"/>
    <col min="5127" max="5127" width="14.85546875" style="237" customWidth="1"/>
    <col min="5128" max="5132" width="9.28515625" style="237" customWidth="1"/>
    <col min="5133" max="5133" width="13" style="237" customWidth="1"/>
    <col min="5134" max="5134" width="10" style="237" customWidth="1"/>
    <col min="5135" max="5376" width="8.85546875" style="237"/>
    <col min="5377" max="5377" width="1" style="237" customWidth="1"/>
    <col min="5378" max="5378" width="5" style="237" customWidth="1"/>
    <col min="5379" max="5379" width="13.5703125" style="237" customWidth="1"/>
    <col min="5380" max="5382" width="2" style="237" customWidth="1"/>
    <col min="5383" max="5383" width="14.85546875" style="237" customWidth="1"/>
    <col min="5384" max="5388" width="9.28515625" style="237" customWidth="1"/>
    <col min="5389" max="5389" width="13" style="237" customWidth="1"/>
    <col min="5390" max="5390" width="10" style="237" customWidth="1"/>
    <col min="5391" max="5632" width="8.85546875" style="237"/>
    <col min="5633" max="5633" width="1" style="237" customWidth="1"/>
    <col min="5634" max="5634" width="5" style="237" customWidth="1"/>
    <col min="5635" max="5635" width="13.5703125" style="237" customWidth="1"/>
    <col min="5636" max="5638" width="2" style="237" customWidth="1"/>
    <col min="5639" max="5639" width="14.85546875" style="237" customWidth="1"/>
    <col min="5640" max="5644" width="9.28515625" style="237" customWidth="1"/>
    <col min="5645" max="5645" width="13" style="237" customWidth="1"/>
    <col min="5646" max="5646" width="10" style="237" customWidth="1"/>
    <col min="5647" max="5888" width="8.85546875" style="237"/>
    <col min="5889" max="5889" width="1" style="237" customWidth="1"/>
    <col min="5890" max="5890" width="5" style="237" customWidth="1"/>
    <col min="5891" max="5891" width="13.5703125" style="237" customWidth="1"/>
    <col min="5892" max="5894" width="2" style="237" customWidth="1"/>
    <col min="5895" max="5895" width="14.85546875" style="237" customWidth="1"/>
    <col min="5896" max="5900" width="9.28515625" style="237" customWidth="1"/>
    <col min="5901" max="5901" width="13" style="237" customWidth="1"/>
    <col min="5902" max="5902" width="10" style="237" customWidth="1"/>
    <col min="5903" max="6144" width="8.85546875" style="237"/>
    <col min="6145" max="6145" width="1" style="237" customWidth="1"/>
    <col min="6146" max="6146" width="5" style="237" customWidth="1"/>
    <col min="6147" max="6147" width="13.5703125" style="237" customWidth="1"/>
    <col min="6148" max="6150" width="2" style="237" customWidth="1"/>
    <col min="6151" max="6151" width="14.85546875" style="237" customWidth="1"/>
    <col min="6152" max="6156" width="9.28515625" style="237" customWidth="1"/>
    <col min="6157" max="6157" width="13" style="237" customWidth="1"/>
    <col min="6158" max="6158" width="10" style="237" customWidth="1"/>
    <col min="6159" max="6400" width="8.85546875" style="237"/>
    <col min="6401" max="6401" width="1" style="237" customWidth="1"/>
    <col min="6402" max="6402" width="5" style="237" customWidth="1"/>
    <col min="6403" max="6403" width="13.5703125" style="237" customWidth="1"/>
    <col min="6404" max="6406" width="2" style="237" customWidth="1"/>
    <col min="6407" max="6407" width="14.85546875" style="237" customWidth="1"/>
    <col min="6408" max="6412" width="9.28515625" style="237" customWidth="1"/>
    <col min="6413" max="6413" width="13" style="237" customWidth="1"/>
    <col min="6414" max="6414" width="10" style="237" customWidth="1"/>
    <col min="6415" max="6656" width="8.85546875" style="237"/>
    <col min="6657" max="6657" width="1" style="237" customWidth="1"/>
    <col min="6658" max="6658" width="5" style="237" customWidth="1"/>
    <col min="6659" max="6659" width="13.5703125" style="237" customWidth="1"/>
    <col min="6660" max="6662" width="2" style="237" customWidth="1"/>
    <col min="6663" max="6663" width="14.85546875" style="237" customWidth="1"/>
    <col min="6664" max="6668" width="9.28515625" style="237" customWidth="1"/>
    <col min="6669" max="6669" width="13" style="237" customWidth="1"/>
    <col min="6670" max="6670" width="10" style="237" customWidth="1"/>
    <col min="6671" max="6912" width="8.85546875" style="237"/>
    <col min="6913" max="6913" width="1" style="237" customWidth="1"/>
    <col min="6914" max="6914" width="5" style="237" customWidth="1"/>
    <col min="6915" max="6915" width="13.5703125" style="237" customWidth="1"/>
    <col min="6916" max="6918" width="2" style="237" customWidth="1"/>
    <col min="6919" max="6919" width="14.85546875" style="237" customWidth="1"/>
    <col min="6920" max="6924" width="9.28515625" style="237" customWidth="1"/>
    <col min="6925" max="6925" width="13" style="237" customWidth="1"/>
    <col min="6926" max="6926" width="10" style="237" customWidth="1"/>
    <col min="6927" max="7168" width="8.85546875" style="237"/>
    <col min="7169" max="7169" width="1" style="237" customWidth="1"/>
    <col min="7170" max="7170" width="5" style="237" customWidth="1"/>
    <col min="7171" max="7171" width="13.5703125" style="237" customWidth="1"/>
    <col min="7172" max="7174" width="2" style="237" customWidth="1"/>
    <col min="7175" max="7175" width="14.85546875" style="237" customWidth="1"/>
    <col min="7176" max="7180" width="9.28515625" style="237" customWidth="1"/>
    <col min="7181" max="7181" width="13" style="237" customWidth="1"/>
    <col min="7182" max="7182" width="10" style="237" customWidth="1"/>
    <col min="7183" max="7424" width="8.85546875" style="237"/>
    <col min="7425" max="7425" width="1" style="237" customWidth="1"/>
    <col min="7426" max="7426" width="5" style="237" customWidth="1"/>
    <col min="7427" max="7427" width="13.5703125" style="237" customWidth="1"/>
    <col min="7428" max="7430" width="2" style="237" customWidth="1"/>
    <col min="7431" max="7431" width="14.85546875" style="237" customWidth="1"/>
    <col min="7432" max="7436" width="9.28515625" style="237" customWidth="1"/>
    <col min="7437" max="7437" width="13" style="237" customWidth="1"/>
    <col min="7438" max="7438" width="10" style="237" customWidth="1"/>
    <col min="7439" max="7680" width="8.85546875" style="237"/>
    <col min="7681" max="7681" width="1" style="237" customWidth="1"/>
    <col min="7682" max="7682" width="5" style="237" customWidth="1"/>
    <col min="7683" max="7683" width="13.5703125" style="237" customWidth="1"/>
    <col min="7684" max="7686" width="2" style="237" customWidth="1"/>
    <col min="7687" max="7687" width="14.85546875" style="237" customWidth="1"/>
    <col min="7688" max="7692" width="9.28515625" style="237" customWidth="1"/>
    <col min="7693" max="7693" width="13" style="237" customWidth="1"/>
    <col min="7694" max="7694" width="10" style="237" customWidth="1"/>
    <col min="7695" max="7936" width="8.85546875" style="237"/>
    <col min="7937" max="7937" width="1" style="237" customWidth="1"/>
    <col min="7938" max="7938" width="5" style="237" customWidth="1"/>
    <col min="7939" max="7939" width="13.5703125" style="237" customWidth="1"/>
    <col min="7940" max="7942" width="2" style="237" customWidth="1"/>
    <col min="7943" max="7943" width="14.85546875" style="237" customWidth="1"/>
    <col min="7944" max="7948" width="9.28515625" style="237" customWidth="1"/>
    <col min="7949" max="7949" width="13" style="237" customWidth="1"/>
    <col min="7950" max="7950" width="10" style="237" customWidth="1"/>
    <col min="7951" max="8192" width="8.85546875" style="237"/>
    <col min="8193" max="8193" width="1" style="237" customWidth="1"/>
    <col min="8194" max="8194" width="5" style="237" customWidth="1"/>
    <col min="8195" max="8195" width="13.5703125" style="237" customWidth="1"/>
    <col min="8196" max="8198" width="2" style="237" customWidth="1"/>
    <col min="8199" max="8199" width="14.85546875" style="237" customWidth="1"/>
    <col min="8200" max="8204" width="9.28515625" style="237" customWidth="1"/>
    <col min="8205" max="8205" width="13" style="237" customWidth="1"/>
    <col min="8206" max="8206" width="10" style="237" customWidth="1"/>
    <col min="8207" max="8448" width="8.85546875" style="237"/>
    <col min="8449" max="8449" width="1" style="237" customWidth="1"/>
    <col min="8450" max="8450" width="5" style="237" customWidth="1"/>
    <col min="8451" max="8451" width="13.5703125" style="237" customWidth="1"/>
    <col min="8452" max="8454" width="2" style="237" customWidth="1"/>
    <col min="8455" max="8455" width="14.85546875" style="237" customWidth="1"/>
    <col min="8456" max="8460" width="9.28515625" style="237" customWidth="1"/>
    <col min="8461" max="8461" width="13" style="237" customWidth="1"/>
    <col min="8462" max="8462" width="10" style="237" customWidth="1"/>
    <col min="8463" max="8704" width="8.85546875" style="237"/>
    <col min="8705" max="8705" width="1" style="237" customWidth="1"/>
    <col min="8706" max="8706" width="5" style="237" customWidth="1"/>
    <col min="8707" max="8707" width="13.5703125" style="237" customWidth="1"/>
    <col min="8708" max="8710" width="2" style="237" customWidth="1"/>
    <col min="8711" max="8711" width="14.85546875" style="237" customWidth="1"/>
    <col min="8712" max="8716" width="9.28515625" style="237" customWidth="1"/>
    <col min="8717" max="8717" width="13" style="237" customWidth="1"/>
    <col min="8718" max="8718" width="10" style="237" customWidth="1"/>
    <col min="8719" max="8960" width="8.85546875" style="237"/>
    <col min="8961" max="8961" width="1" style="237" customWidth="1"/>
    <col min="8962" max="8962" width="5" style="237" customWidth="1"/>
    <col min="8963" max="8963" width="13.5703125" style="237" customWidth="1"/>
    <col min="8964" max="8966" width="2" style="237" customWidth="1"/>
    <col min="8967" max="8967" width="14.85546875" style="237" customWidth="1"/>
    <col min="8968" max="8972" width="9.28515625" style="237" customWidth="1"/>
    <col min="8973" max="8973" width="13" style="237" customWidth="1"/>
    <col min="8974" max="8974" width="10" style="237" customWidth="1"/>
    <col min="8975" max="9216" width="8.85546875" style="237"/>
    <col min="9217" max="9217" width="1" style="237" customWidth="1"/>
    <col min="9218" max="9218" width="5" style="237" customWidth="1"/>
    <col min="9219" max="9219" width="13.5703125" style="237" customWidth="1"/>
    <col min="9220" max="9222" width="2" style="237" customWidth="1"/>
    <col min="9223" max="9223" width="14.85546875" style="237" customWidth="1"/>
    <col min="9224" max="9228" width="9.28515625" style="237" customWidth="1"/>
    <col min="9229" max="9229" width="13" style="237" customWidth="1"/>
    <col min="9230" max="9230" width="10" style="237" customWidth="1"/>
    <col min="9231" max="9472" width="8.85546875" style="237"/>
    <col min="9473" max="9473" width="1" style="237" customWidth="1"/>
    <col min="9474" max="9474" width="5" style="237" customWidth="1"/>
    <col min="9475" max="9475" width="13.5703125" style="237" customWidth="1"/>
    <col min="9476" max="9478" width="2" style="237" customWidth="1"/>
    <col min="9479" max="9479" width="14.85546875" style="237" customWidth="1"/>
    <col min="9480" max="9484" width="9.28515625" style="237" customWidth="1"/>
    <col min="9485" max="9485" width="13" style="237" customWidth="1"/>
    <col min="9486" max="9486" width="10" style="237" customWidth="1"/>
    <col min="9487" max="9728" width="8.85546875" style="237"/>
    <col min="9729" max="9729" width="1" style="237" customWidth="1"/>
    <col min="9730" max="9730" width="5" style="237" customWidth="1"/>
    <col min="9731" max="9731" width="13.5703125" style="237" customWidth="1"/>
    <col min="9732" max="9734" width="2" style="237" customWidth="1"/>
    <col min="9735" max="9735" width="14.85546875" style="237" customWidth="1"/>
    <col min="9736" max="9740" width="9.28515625" style="237" customWidth="1"/>
    <col min="9741" max="9741" width="13" style="237" customWidth="1"/>
    <col min="9742" max="9742" width="10" style="237" customWidth="1"/>
    <col min="9743" max="9984" width="8.85546875" style="237"/>
    <col min="9985" max="9985" width="1" style="237" customWidth="1"/>
    <col min="9986" max="9986" width="5" style="237" customWidth="1"/>
    <col min="9987" max="9987" width="13.5703125" style="237" customWidth="1"/>
    <col min="9988" max="9990" width="2" style="237" customWidth="1"/>
    <col min="9991" max="9991" width="14.85546875" style="237" customWidth="1"/>
    <col min="9992" max="9996" width="9.28515625" style="237" customWidth="1"/>
    <col min="9997" max="9997" width="13" style="237" customWidth="1"/>
    <col min="9998" max="9998" width="10" style="237" customWidth="1"/>
    <col min="9999" max="10240" width="8.85546875" style="237"/>
    <col min="10241" max="10241" width="1" style="237" customWidth="1"/>
    <col min="10242" max="10242" width="5" style="237" customWidth="1"/>
    <col min="10243" max="10243" width="13.5703125" style="237" customWidth="1"/>
    <col min="10244" max="10246" width="2" style="237" customWidth="1"/>
    <col min="10247" max="10247" width="14.85546875" style="237" customWidth="1"/>
    <col min="10248" max="10252" width="9.28515625" style="237" customWidth="1"/>
    <col min="10253" max="10253" width="13" style="237" customWidth="1"/>
    <col min="10254" max="10254" width="10" style="237" customWidth="1"/>
    <col min="10255" max="10496" width="8.85546875" style="237"/>
    <col min="10497" max="10497" width="1" style="237" customWidth="1"/>
    <col min="10498" max="10498" width="5" style="237" customWidth="1"/>
    <col min="10499" max="10499" width="13.5703125" style="237" customWidth="1"/>
    <col min="10500" max="10502" width="2" style="237" customWidth="1"/>
    <col min="10503" max="10503" width="14.85546875" style="237" customWidth="1"/>
    <col min="10504" max="10508" width="9.28515625" style="237" customWidth="1"/>
    <col min="10509" max="10509" width="13" style="237" customWidth="1"/>
    <col min="10510" max="10510" width="10" style="237" customWidth="1"/>
    <col min="10511" max="10752" width="8.85546875" style="237"/>
    <col min="10753" max="10753" width="1" style="237" customWidth="1"/>
    <col min="10754" max="10754" width="5" style="237" customWidth="1"/>
    <col min="10755" max="10755" width="13.5703125" style="237" customWidth="1"/>
    <col min="10756" max="10758" width="2" style="237" customWidth="1"/>
    <col min="10759" max="10759" width="14.85546875" style="237" customWidth="1"/>
    <col min="10760" max="10764" width="9.28515625" style="237" customWidth="1"/>
    <col min="10765" max="10765" width="13" style="237" customWidth="1"/>
    <col min="10766" max="10766" width="10" style="237" customWidth="1"/>
    <col min="10767" max="11008" width="8.85546875" style="237"/>
    <col min="11009" max="11009" width="1" style="237" customWidth="1"/>
    <col min="11010" max="11010" width="5" style="237" customWidth="1"/>
    <col min="11011" max="11011" width="13.5703125" style="237" customWidth="1"/>
    <col min="11012" max="11014" width="2" style="237" customWidth="1"/>
    <col min="11015" max="11015" width="14.85546875" style="237" customWidth="1"/>
    <col min="11016" max="11020" width="9.28515625" style="237" customWidth="1"/>
    <col min="11021" max="11021" width="13" style="237" customWidth="1"/>
    <col min="11022" max="11022" width="10" style="237" customWidth="1"/>
    <col min="11023" max="11264" width="8.85546875" style="237"/>
    <col min="11265" max="11265" width="1" style="237" customWidth="1"/>
    <col min="11266" max="11266" width="5" style="237" customWidth="1"/>
    <col min="11267" max="11267" width="13.5703125" style="237" customWidth="1"/>
    <col min="11268" max="11270" width="2" style="237" customWidth="1"/>
    <col min="11271" max="11271" width="14.85546875" style="237" customWidth="1"/>
    <col min="11272" max="11276" width="9.28515625" style="237" customWidth="1"/>
    <col min="11277" max="11277" width="13" style="237" customWidth="1"/>
    <col min="11278" max="11278" width="10" style="237" customWidth="1"/>
    <col min="11279" max="11520" width="8.85546875" style="237"/>
    <col min="11521" max="11521" width="1" style="237" customWidth="1"/>
    <col min="11522" max="11522" width="5" style="237" customWidth="1"/>
    <col min="11523" max="11523" width="13.5703125" style="237" customWidth="1"/>
    <col min="11524" max="11526" width="2" style="237" customWidth="1"/>
    <col min="11527" max="11527" width="14.85546875" style="237" customWidth="1"/>
    <col min="11528" max="11532" width="9.28515625" style="237" customWidth="1"/>
    <col min="11533" max="11533" width="13" style="237" customWidth="1"/>
    <col min="11534" max="11534" width="10" style="237" customWidth="1"/>
    <col min="11535" max="11776" width="8.85546875" style="237"/>
    <col min="11777" max="11777" width="1" style="237" customWidth="1"/>
    <col min="11778" max="11778" width="5" style="237" customWidth="1"/>
    <col min="11779" max="11779" width="13.5703125" style="237" customWidth="1"/>
    <col min="11780" max="11782" width="2" style="237" customWidth="1"/>
    <col min="11783" max="11783" width="14.85546875" style="237" customWidth="1"/>
    <col min="11784" max="11788" width="9.28515625" style="237" customWidth="1"/>
    <col min="11789" max="11789" width="13" style="237" customWidth="1"/>
    <col min="11790" max="11790" width="10" style="237" customWidth="1"/>
    <col min="11791" max="12032" width="8.85546875" style="237"/>
    <col min="12033" max="12033" width="1" style="237" customWidth="1"/>
    <col min="12034" max="12034" width="5" style="237" customWidth="1"/>
    <col min="12035" max="12035" width="13.5703125" style="237" customWidth="1"/>
    <col min="12036" max="12038" width="2" style="237" customWidth="1"/>
    <col min="12039" max="12039" width="14.85546875" style="237" customWidth="1"/>
    <col min="12040" max="12044" width="9.28515625" style="237" customWidth="1"/>
    <col min="12045" max="12045" width="13" style="237" customWidth="1"/>
    <col min="12046" max="12046" width="10" style="237" customWidth="1"/>
    <col min="12047" max="12288" width="8.85546875" style="237"/>
    <col min="12289" max="12289" width="1" style="237" customWidth="1"/>
    <col min="12290" max="12290" width="5" style="237" customWidth="1"/>
    <col min="12291" max="12291" width="13.5703125" style="237" customWidth="1"/>
    <col min="12292" max="12294" width="2" style="237" customWidth="1"/>
    <col min="12295" max="12295" width="14.85546875" style="237" customWidth="1"/>
    <col min="12296" max="12300" width="9.28515625" style="237" customWidth="1"/>
    <col min="12301" max="12301" width="13" style="237" customWidth="1"/>
    <col min="12302" max="12302" width="10" style="237" customWidth="1"/>
    <col min="12303" max="12544" width="8.85546875" style="237"/>
    <col min="12545" max="12545" width="1" style="237" customWidth="1"/>
    <col min="12546" max="12546" width="5" style="237" customWidth="1"/>
    <col min="12547" max="12547" width="13.5703125" style="237" customWidth="1"/>
    <col min="12548" max="12550" width="2" style="237" customWidth="1"/>
    <col min="12551" max="12551" width="14.85546875" style="237" customWidth="1"/>
    <col min="12552" max="12556" width="9.28515625" style="237" customWidth="1"/>
    <col min="12557" max="12557" width="13" style="237" customWidth="1"/>
    <col min="12558" max="12558" width="10" style="237" customWidth="1"/>
    <col min="12559" max="12800" width="8.85546875" style="237"/>
    <col min="12801" max="12801" width="1" style="237" customWidth="1"/>
    <col min="12802" max="12802" width="5" style="237" customWidth="1"/>
    <col min="12803" max="12803" width="13.5703125" style="237" customWidth="1"/>
    <col min="12804" max="12806" width="2" style="237" customWidth="1"/>
    <col min="12807" max="12807" width="14.85546875" style="237" customWidth="1"/>
    <col min="12808" max="12812" width="9.28515625" style="237" customWidth="1"/>
    <col min="12813" max="12813" width="13" style="237" customWidth="1"/>
    <col min="12814" max="12814" width="10" style="237" customWidth="1"/>
    <col min="12815" max="13056" width="8.85546875" style="237"/>
    <col min="13057" max="13057" width="1" style="237" customWidth="1"/>
    <col min="13058" max="13058" width="5" style="237" customWidth="1"/>
    <col min="13059" max="13059" width="13.5703125" style="237" customWidth="1"/>
    <col min="13060" max="13062" width="2" style="237" customWidth="1"/>
    <col min="13063" max="13063" width="14.85546875" style="237" customWidth="1"/>
    <col min="13064" max="13068" width="9.28515625" style="237" customWidth="1"/>
    <col min="13069" max="13069" width="13" style="237" customWidth="1"/>
    <col min="13070" max="13070" width="10" style="237" customWidth="1"/>
    <col min="13071" max="13312" width="8.85546875" style="237"/>
    <col min="13313" max="13313" width="1" style="237" customWidth="1"/>
    <col min="13314" max="13314" width="5" style="237" customWidth="1"/>
    <col min="13315" max="13315" width="13.5703125" style="237" customWidth="1"/>
    <col min="13316" max="13318" width="2" style="237" customWidth="1"/>
    <col min="13319" max="13319" width="14.85546875" style="237" customWidth="1"/>
    <col min="13320" max="13324" width="9.28515625" style="237" customWidth="1"/>
    <col min="13325" max="13325" width="13" style="237" customWidth="1"/>
    <col min="13326" max="13326" width="10" style="237" customWidth="1"/>
    <col min="13327" max="13568" width="8.85546875" style="237"/>
    <col min="13569" max="13569" width="1" style="237" customWidth="1"/>
    <col min="13570" max="13570" width="5" style="237" customWidth="1"/>
    <col min="13571" max="13571" width="13.5703125" style="237" customWidth="1"/>
    <col min="13572" max="13574" width="2" style="237" customWidth="1"/>
    <col min="13575" max="13575" width="14.85546875" style="237" customWidth="1"/>
    <col min="13576" max="13580" width="9.28515625" style="237" customWidth="1"/>
    <col min="13581" max="13581" width="13" style="237" customWidth="1"/>
    <col min="13582" max="13582" width="10" style="237" customWidth="1"/>
    <col min="13583" max="13824" width="8.85546875" style="237"/>
    <col min="13825" max="13825" width="1" style="237" customWidth="1"/>
    <col min="13826" max="13826" width="5" style="237" customWidth="1"/>
    <col min="13827" max="13827" width="13.5703125" style="237" customWidth="1"/>
    <col min="13828" max="13830" width="2" style="237" customWidth="1"/>
    <col min="13831" max="13831" width="14.85546875" style="237" customWidth="1"/>
    <col min="13832" max="13836" width="9.28515625" style="237" customWidth="1"/>
    <col min="13837" max="13837" width="13" style="237" customWidth="1"/>
    <col min="13838" max="13838" width="10" style="237" customWidth="1"/>
    <col min="13839" max="14080" width="8.85546875" style="237"/>
    <col min="14081" max="14081" width="1" style="237" customWidth="1"/>
    <col min="14082" max="14082" width="5" style="237" customWidth="1"/>
    <col min="14083" max="14083" width="13.5703125" style="237" customWidth="1"/>
    <col min="14084" max="14086" width="2" style="237" customWidth="1"/>
    <col min="14087" max="14087" width="14.85546875" style="237" customWidth="1"/>
    <col min="14088" max="14092" width="9.28515625" style="237" customWidth="1"/>
    <col min="14093" max="14093" width="13" style="237" customWidth="1"/>
    <col min="14094" max="14094" width="10" style="237" customWidth="1"/>
    <col min="14095" max="14336" width="8.85546875" style="237"/>
    <col min="14337" max="14337" width="1" style="237" customWidth="1"/>
    <col min="14338" max="14338" width="5" style="237" customWidth="1"/>
    <col min="14339" max="14339" width="13.5703125" style="237" customWidth="1"/>
    <col min="14340" max="14342" width="2" style="237" customWidth="1"/>
    <col min="14343" max="14343" width="14.85546875" style="237" customWidth="1"/>
    <col min="14344" max="14348" width="9.28515625" style="237" customWidth="1"/>
    <col min="14349" max="14349" width="13" style="237" customWidth="1"/>
    <col min="14350" max="14350" width="10" style="237" customWidth="1"/>
    <col min="14351" max="14592" width="8.85546875" style="237"/>
    <col min="14593" max="14593" width="1" style="237" customWidth="1"/>
    <col min="14594" max="14594" width="5" style="237" customWidth="1"/>
    <col min="14595" max="14595" width="13.5703125" style="237" customWidth="1"/>
    <col min="14596" max="14598" width="2" style="237" customWidth="1"/>
    <col min="14599" max="14599" width="14.85546875" style="237" customWidth="1"/>
    <col min="14600" max="14604" width="9.28515625" style="237" customWidth="1"/>
    <col min="14605" max="14605" width="13" style="237" customWidth="1"/>
    <col min="14606" max="14606" width="10" style="237" customWidth="1"/>
    <col min="14607" max="14848" width="8.85546875" style="237"/>
    <col min="14849" max="14849" width="1" style="237" customWidth="1"/>
    <col min="14850" max="14850" width="5" style="237" customWidth="1"/>
    <col min="14851" max="14851" width="13.5703125" style="237" customWidth="1"/>
    <col min="14852" max="14854" width="2" style="237" customWidth="1"/>
    <col min="14855" max="14855" width="14.85546875" style="237" customWidth="1"/>
    <col min="14856" max="14860" width="9.28515625" style="237" customWidth="1"/>
    <col min="14861" max="14861" width="13" style="237" customWidth="1"/>
    <col min="14862" max="14862" width="10" style="237" customWidth="1"/>
    <col min="14863" max="15104" width="8.85546875" style="237"/>
    <col min="15105" max="15105" width="1" style="237" customWidth="1"/>
    <col min="15106" max="15106" width="5" style="237" customWidth="1"/>
    <col min="15107" max="15107" width="13.5703125" style="237" customWidth="1"/>
    <col min="15108" max="15110" width="2" style="237" customWidth="1"/>
    <col min="15111" max="15111" width="14.85546875" style="237" customWidth="1"/>
    <col min="15112" max="15116" width="9.28515625" style="237" customWidth="1"/>
    <col min="15117" max="15117" width="13" style="237" customWidth="1"/>
    <col min="15118" max="15118" width="10" style="237" customWidth="1"/>
    <col min="15119" max="15360" width="8.85546875" style="237"/>
    <col min="15361" max="15361" width="1" style="237" customWidth="1"/>
    <col min="15362" max="15362" width="5" style="237" customWidth="1"/>
    <col min="15363" max="15363" width="13.5703125" style="237" customWidth="1"/>
    <col min="15364" max="15366" width="2" style="237" customWidth="1"/>
    <col min="15367" max="15367" width="14.85546875" style="237" customWidth="1"/>
    <col min="15368" max="15372" width="9.28515625" style="237" customWidth="1"/>
    <col min="15373" max="15373" width="13" style="237" customWidth="1"/>
    <col min="15374" max="15374" width="10" style="237" customWidth="1"/>
    <col min="15375" max="15616" width="8.85546875" style="237"/>
    <col min="15617" max="15617" width="1" style="237" customWidth="1"/>
    <col min="15618" max="15618" width="5" style="237" customWidth="1"/>
    <col min="15619" max="15619" width="13.5703125" style="237" customWidth="1"/>
    <col min="15620" max="15622" width="2" style="237" customWidth="1"/>
    <col min="15623" max="15623" width="14.85546875" style="237" customWidth="1"/>
    <col min="15624" max="15628" width="9.28515625" style="237" customWidth="1"/>
    <col min="15629" max="15629" width="13" style="237" customWidth="1"/>
    <col min="15630" max="15630" width="10" style="237" customWidth="1"/>
    <col min="15631" max="15872" width="8.85546875" style="237"/>
    <col min="15873" max="15873" width="1" style="237" customWidth="1"/>
    <col min="15874" max="15874" width="5" style="237" customWidth="1"/>
    <col min="15875" max="15875" width="13.5703125" style="237" customWidth="1"/>
    <col min="15876" max="15878" width="2" style="237" customWidth="1"/>
    <col min="15879" max="15879" width="14.85546875" style="237" customWidth="1"/>
    <col min="15880" max="15884" width="9.28515625" style="237" customWidth="1"/>
    <col min="15885" max="15885" width="13" style="237" customWidth="1"/>
    <col min="15886" max="15886" width="10" style="237" customWidth="1"/>
    <col min="15887" max="16128" width="8.85546875" style="237"/>
    <col min="16129" max="16129" width="1" style="237" customWidth="1"/>
    <col min="16130" max="16130" width="5" style="237" customWidth="1"/>
    <col min="16131" max="16131" width="13.5703125" style="237" customWidth="1"/>
    <col min="16132" max="16134" width="2" style="237" customWidth="1"/>
    <col min="16135" max="16135" width="14.85546875" style="237" customWidth="1"/>
    <col min="16136" max="16140" width="9.28515625" style="237" customWidth="1"/>
    <col min="16141" max="16141" width="13" style="237" customWidth="1"/>
    <col min="16142" max="16142" width="10" style="237" customWidth="1"/>
    <col min="16143" max="16384" width="8.85546875" style="237"/>
  </cols>
  <sheetData>
    <row r="1" spans="2:14" ht="15" customHeight="1" x14ac:dyDescent="0.25">
      <c r="B1" s="401" t="s">
        <v>484</v>
      </c>
      <c r="C1" s="401"/>
      <c r="D1" s="401"/>
      <c r="E1" s="401"/>
      <c r="F1" s="401"/>
      <c r="G1" s="401"/>
      <c r="H1" s="401"/>
      <c r="I1" s="401"/>
      <c r="J1" s="401"/>
      <c r="K1" s="296"/>
      <c r="M1" s="408"/>
      <c r="N1" s="408"/>
    </row>
    <row r="2" spans="2:14" ht="15" customHeight="1" x14ac:dyDescent="0.25">
      <c r="B2" s="385" t="s">
        <v>483</v>
      </c>
      <c r="C2" s="385"/>
      <c r="D2" s="385"/>
      <c r="E2" s="385"/>
      <c r="F2" s="385"/>
      <c r="G2" s="385"/>
      <c r="H2" s="385"/>
      <c r="I2" s="385"/>
      <c r="J2" s="385"/>
      <c r="K2" s="285"/>
      <c r="M2" s="408"/>
      <c r="N2" s="408"/>
    </row>
    <row r="3" spans="2:14" x14ac:dyDescent="0.25">
      <c r="M3" s="408"/>
      <c r="N3" s="408"/>
    </row>
    <row r="4" spans="2:14" ht="18" x14ac:dyDescent="0.25">
      <c r="B4" s="267"/>
      <c r="C4" s="409" t="s">
        <v>1205</v>
      </c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</row>
    <row r="6" spans="2:14" ht="25.5" customHeight="1" x14ac:dyDescent="0.25">
      <c r="B6" s="405" t="s">
        <v>481</v>
      </c>
      <c r="C6" s="406"/>
      <c r="D6" s="406"/>
      <c r="E6" s="406"/>
      <c r="F6" s="406"/>
      <c r="G6" s="407"/>
      <c r="H6" s="410" t="s">
        <v>480</v>
      </c>
      <c r="I6" s="411"/>
      <c r="J6" s="411"/>
      <c r="K6" s="411"/>
      <c r="L6" s="411"/>
      <c r="M6" s="411"/>
      <c r="N6" s="412"/>
    </row>
    <row r="7" spans="2:14" ht="15" customHeight="1" x14ac:dyDescent="0.25">
      <c r="B7" s="402" t="s">
        <v>1204</v>
      </c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4"/>
    </row>
    <row r="9" spans="2:14" x14ac:dyDescent="0.25">
      <c r="B9" s="295" t="s">
        <v>478</v>
      </c>
    </row>
    <row r="11" spans="2:14" ht="15" customHeight="1" x14ac:dyDescent="0.25">
      <c r="B11" s="405" t="s">
        <v>477</v>
      </c>
      <c r="C11" s="406"/>
      <c r="D11" s="406"/>
      <c r="E11" s="406"/>
      <c r="F11" s="406"/>
      <c r="G11" s="406"/>
      <c r="H11" s="406"/>
      <c r="I11" s="406"/>
      <c r="J11" s="406"/>
      <c r="K11" s="406"/>
      <c r="L11" s="406"/>
      <c r="M11" s="406"/>
      <c r="N11" s="407"/>
    </row>
    <row r="12" spans="2:14" ht="15" customHeight="1" x14ac:dyDescent="0.25">
      <c r="B12" s="405" t="s">
        <v>476</v>
      </c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7"/>
    </row>
    <row r="13" spans="2:14" x14ac:dyDescent="0.25">
      <c r="C13" s="267"/>
      <c r="D13" s="267"/>
      <c r="H13" s="267"/>
      <c r="J13" s="267"/>
      <c r="K13" s="267"/>
      <c r="M13" s="267"/>
      <c r="N13" s="267"/>
    </row>
    <row r="14" spans="2:14" x14ac:dyDescent="0.25">
      <c r="N14" s="294" t="s">
        <v>475</v>
      </c>
    </row>
    <row r="15" spans="2:14" x14ac:dyDescent="0.25">
      <c r="N15" s="293" t="s">
        <v>474</v>
      </c>
    </row>
    <row r="17" spans="2:14" x14ac:dyDescent="0.25">
      <c r="C17" s="287" t="s">
        <v>1203</v>
      </c>
    </row>
    <row r="18" spans="2:14" ht="15.75" thickBot="1" x14ac:dyDescent="0.3">
      <c r="B18" s="286"/>
      <c r="M18" s="284"/>
    </row>
    <row r="19" spans="2:14" ht="15.75" thickBot="1" x14ac:dyDescent="0.3">
      <c r="B19" s="298" t="s">
        <v>461</v>
      </c>
      <c r="C19" s="283" t="s">
        <v>460</v>
      </c>
      <c r="D19" s="398" t="s">
        <v>459</v>
      </c>
      <c r="E19" s="399"/>
      <c r="F19" s="399"/>
      <c r="G19" s="399"/>
      <c r="H19" s="400"/>
      <c r="I19" s="298" t="s">
        <v>472</v>
      </c>
      <c r="J19" s="298" t="s">
        <v>471</v>
      </c>
      <c r="K19" s="298" t="s">
        <v>470</v>
      </c>
      <c r="L19" s="298" t="s">
        <v>469</v>
      </c>
      <c r="M19" s="298" t="s">
        <v>455</v>
      </c>
      <c r="N19" s="298" t="s">
        <v>454</v>
      </c>
    </row>
    <row r="20" spans="2:14" ht="15.75" thickBot="1" x14ac:dyDescent="0.3">
      <c r="B20" s="298" t="s">
        <v>449</v>
      </c>
      <c r="C20" s="283" t="s">
        <v>446</v>
      </c>
      <c r="D20" s="398" t="s">
        <v>443</v>
      </c>
      <c r="E20" s="399"/>
      <c r="F20" s="399"/>
      <c r="G20" s="399"/>
      <c r="H20" s="400"/>
      <c r="I20" s="298" t="s">
        <v>440</v>
      </c>
      <c r="J20" s="298" t="s">
        <v>453</v>
      </c>
      <c r="K20" s="298" t="s">
        <v>452</v>
      </c>
      <c r="L20" s="298" t="s">
        <v>451</v>
      </c>
      <c r="M20" s="298" t="s">
        <v>450</v>
      </c>
      <c r="N20" s="298" t="s">
        <v>468</v>
      </c>
    </row>
    <row r="21" spans="2:14" s="275" customFormat="1" ht="15" customHeight="1" thickBot="1" x14ac:dyDescent="0.3">
      <c r="B21" s="281" t="s">
        <v>449</v>
      </c>
      <c r="C21" s="292"/>
      <c r="D21" s="413" t="s">
        <v>510</v>
      </c>
      <c r="E21" s="414"/>
      <c r="F21" s="414"/>
      <c r="G21" s="414"/>
      <c r="H21" s="415"/>
      <c r="I21" s="291">
        <v>1</v>
      </c>
      <c r="J21" s="300">
        <v>300</v>
      </c>
      <c r="K21" s="289">
        <v>1</v>
      </c>
      <c r="L21" s="279" t="s">
        <v>11</v>
      </c>
      <c r="M21" s="277">
        <f t="shared" ref="M21:M29" si="0">J21*I21</f>
        <v>300</v>
      </c>
      <c r="N21" s="276">
        <f t="shared" ref="N21:N30" si="1">M21*22/122</f>
        <v>54.098360655737707</v>
      </c>
    </row>
    <row r="22" spans="2:14" s="275" customFormat="1" ht="15" customHeight="1" thickBot="1" x14ac:dyDescent="0.3">
      <c r="B22" s="281" t="s">
        <v>446</v>
      </c>
      <c r="C22" s="292"/>
      <c r="D22" s="413" t="s">
        <v>622</v>
      </c>
      <c r="E22" s="414"/>
      <c r="F22" s="414"/>
      <c r="G22" s="414"/>
      <c r="H22" s="415"/>
      <c r="I22" s="291">
        <v>2</v>
      </c>
      <c r="J22" s="300">
        <v>500</v>
      </c>
      <c r="K22" s="289">
        <v>1</v>
      </c>
      <c r="L22" s="279" t="s">
        <v>11</v>
      </c>
      <c r="M22" s="277">
        <f t="shared" si="0"/>
        <v>1000</v>
      </c>
      <c r="N22" s="276">
        <f t="shared" si="1"/>
        <v>180.32786885245901</v>
      </c>
    </row>
    <row r="23" spans="2:14" s="275" customFormat="1" ht="15" customHeight="1" thickBot="1" x14ac:dyDescent="0.3">
      <c r="B23" s="281" t="s">
        <v>443</v>
      </c>
      <c r="C23" s="292"/>
      <c r="D23" s="413" t="s">
        <v>494</v>
      </c>
      <c r="E23" s="414"/>
      <c r="F23" s="414"/>
      <c r="G23" s="414"/>
      <c r="H23" s="415"/>
      <c r="I23" s="291">
        <v>1</v>
      </c>
      <c r="J23" s="300">
        <v>1000</v>
      </c>
      <c r="K23" s="289">
        <v>1</v>
      </c>
      <c r="L23" s="279" t="s">
        <v>11</v>
      </c>
      <c r="M23" s="277">
        <f t="shared" si="0"/>
        <v>1000</v>
      </c>
      <c r="N23" s="276">
        <f t="shared" si="1"/>
        <v>180.32786885245901</v>
      </c>
    </row>
    <row r="24" spans="2:14" s="275" customFormat="1" ht="14.25" customHeight="1" x14ac:dyDescent="0.25">
      <c r="B24" s="281" t="s">
        <v>440</v>
      </c>
      <c r="C24" s="292"/>
      <c r="D24" s="389" t="s">
        <v>1202</v>
      </c>
      <c r="E24" s="390"/>
      <c r="F24" s="390"/>
      <c r="G24" s="390"/>
      <c r="H24" s="391"/>
      <c r="I24" s="291">
        <v>1</v>
      </c>
      <c r="J24" s="300">
        <v>500</v>
      </c>
      <c r="K24" s="289">
        <v>1</v>
      </c>
      <c r="L24" s="279" t="s">
        <v>11</v>
      </c>
      <c r="M24" s="277">
        <f t="shared" si="0"/>
        <v>500</v>
      </c>
      <c r="N24" s="276">
        <f t="shared" si="1"/>
        <v>90.163934426229503</v>
      </c>
    </row>
    <row r="25" spans="2:14" s="275" customFormat="1" ht="13.5" customHeight="1" x14ac:dyDescent="0.25">
      <c r="B25" s="281" t="s">
        <v>453</v>
      </c>
      <c r="C25" s="292"/>
      <c r="D25" s="389" t="s">
        <v>1201</v>
      </c>
      <c r="E25" s="390"/>
      <c r="F25" s="390"/>
      <c r="G25" s="390"/>
      <c r="H25" s="391"/>
      <c r="I25" s="291">
        <v>2</v>
      </c>
      <c r="J25" s="300">
        <v>125</v>
      </c>
      <c r="K25" s="289">
        <v>1</v>
      </c>
      <c r="L25" s="279" t="s">
        <v>11</v>
      </c>
      <c r="M25" s="277">
        <f t="shared" si="0"/>
        <v>250</v>
      </c>
      <c r="N25" s="276">
        <f t="shared" si="1"/>
        <v>45.081967213114751</v>
      </c>
    </row>
    <row r="26" spans="2:14" s="275" customFormat="1" ht="14.25" customHeight="1" x14ac:dyDescent="0.25">
      <c r="B26" s="281" t="s">
        <v>452</v>
      </c>
      <c r="C26" s="292"/>
      <c r="D26" s="389" t="s">
        <v>592</v>
      </c>
      <c r="E26" s="390"/>
      <c r="F26" s="390"/>
      <c r="G26" s="390"/>
      <c r="H26" s="391"/>
      <c r="I26" s="291">
        <v>1</v>
      </c>
      <c r="J26" s="300">
        <v>700</v>
      </c>
      <c r="K26" s="289">
        <v>1</v>
      </c>
      <c r="L26" s="279" t="s">
        <v>11</v>
      </c>
      <c r="M26" s="277">
        <f t="shared" si="0"/>
        <v>700</v>
      </c>
      <c r="N26" s="276">
        <f t="shared" si="1"/>
        <v>126.22950819672131</v>
      </c>
    </row>
    <row r="27" spans="2:14" s="275" customFormat="1" ht="26.25" customHeight="1" x14ac:dyDescent="0.25">
      <c r="B27" s="281" t="s">
        <v>451</v>
      </c>
      <c r="C27" s="292"/>
      <c r="D27" s="389" t="s">
        <v>564</v>
      </c>
      <c r="E27" s="390"/>
      <c r="F27" s="390"/>
      <c r="G27" s="390"/>
      <c r="H27" s="391"/>
      <c r="I27" s="291">
        <v>1</v>
      </c>
      <c r="J27" s="300">
        <v>1250</v>
      </c>
      <c r="K27" s="289">
        <v>1</v>
      </c>
      <c r="L27" s="279" t="s">
        <v>11</v>
      </c>
      <c r="M27" s="277">
        <f t="shared" si="0"/>
        <v>1250</v>
      </c>
      <c r="N27" s="276">
        <f t="shared" si="1"/>
        <v>225.40983606557376</v>
      </c>
    </row>
    <row r="28" spans="2:14" s="275" customFormat="1" ht="14.25" customHeight="1" x14ac:dyDescent="0.25">
      <c r="B28" s="281" t="s">
        <v>450</v>
      </c>
      <c r="C28" s="292"/>
      <c r="D28" s="389" t="s">
        <v>1200</v>
      </c>
      <c r="E28" s="390"/>
      <c r="F28" s="390"/>
      <c r="G28" s="390"/>
      <c r="H28" s="391"/>
      <c r="I28" s="291">
        <v>2</v>
      </c>
      <c r="J28" s="300">
        <v>1800</v>
      </c>
      <c r="K28" s="289">
        <v>1</v>
      </c>
      <c r="L28" s="279" t="s">
        <v>11</v>
      </c>
      <c r="M28" s="277">
        <f t="shared" si="0"/>
        <v>3600</v>
      </c>
      <c r="N28" s="276">
        <f t="shared" si="1"/>
        <v>649.18032786885249</v>
      </c>
    </row>
    <row r="29" spans="2:14" s="275" customFormat="1" ht="12.75" customHeight="1" x14ac:dyDescent="0.25">
      <c r="B29" s="281" t="s">
        <v>468</v>
      </c>
      <c r="C29" s="292"/>
      <c r="D29" s="389" t="s">
        <v>1199</v>
      </c>
      <c r="E29" s="390"/>
      <c r="F29" s="390"/>
      <c r="G29" s="390"/>
      <c r="H29" s="391"/>
      <c r="I29" s="291">
        <v>1</v>
      </c>
      <c r="J29" s="300">
        <v>500</v>
      </c>
      <c r="K29" s="289">
        <v>1</v>
      </c>
      <c r="L29" s="279" t="s">
        <v>11</v>
      </c>
      <c r="M29" s="277">
        <f t="shared" si="0"/>
        <v>500</v>
      </c>
      <c r="N29" s="276">
        <f t="shared" si="1"/>
        <v>90.163934426229503</v>
      </c>
    </row>
    <row r="30" spans="2:14" x14ac:dyDescent="0.25">
      <c r="B30" s="396" t="s">
        <v>464</v>
      </c>
      <c r="C30" s="396"/>
      <c r="D30" s="396"/>
      <c r="E30" s="396"/>
      <c r="F30" s="396"/>
      <c r="G30" s="396"/>
      <c r="H30" s="397"/>
      <c r="I30" s="299">
        <v>12</v>
      </c>
      <c r="J30" s="393" t="s">
        <v>435</v>
      </c>
      <c r="K30" s="394"/>
      <c r="L30" s="395"/>
      <c r="M30" s="277">
        <f>M21+M22+M23+M24+M25+M26+M27+M28+M29</f>
        <v>9100</v>
      </c>
      <c r="N30" s="276">
        <f t="shared" si="1"/>
        <v>1640.983606557377</v>
      </c>
    </row>
    <row r="31" spans="2:14" ht="9" customHeight="1" x14ac:dyDescent="0.25"/>
    <row r="32" spans="2:14" ht="15" customHeight="1" x14ac:dyDescent="0.25">
      <c r="B32" s="392" t="s">
        <v>1198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</row>
    <row r="33" spans="2:14" ht="7.5" customHeight="1" x14ac:dyDescent="0.25"/>
    <row r="34" spans="2:14" x14ac:dyDescent="0.25">
      <c r="C34" s="287" t="s">
        <v>1197</v>
      </c>
    </row>
    <row r="35" spans="2:14" ht="15.75" thickBot="1" x14ac:dyDescent="0.3">
      <c r="B35" s="286"/>
      <c r="C35" s="285"/>
      <c r="D35" s="285"/>
      <c r="H35" s="285"/>
      <c r="I35" s="285"/>
      <c r="M35" s="284"/>
      <c r="N35" s="284"/>
    </row>
    <row r="36" spans="2:14" ht="15.75" thickBot="1" x14ac:dyDescent="0.3">
      <c r="B36" s="298" t="s">
        <v>461</v>
      </c>
      <c r="C36" s="283" t="s">
        <v>460</v>
      </c>
      <c r="D36" s="398" t="s">
        <v>459</v>
      </c>
      <c r="E36" s="399"/>
      <c r="F36" s="399"/>
      <c r="G36" s="399"/>
      <c r="H36" s="399"/>
      <c r="I36" s="400"/>
      <c r="J36" s="298" t="s">
        <v>458</v>
      </c>
      <c r="K36" s="298" t="s">
        <v>457</v>
      </c>
      <c r="L36" s="298" t="s">
        <v>456</v>
      </c>
      <c r="M36" s="298" t="s">
        <v>455</v>
      </c>
      <c r="N36" s="298" t="s">
        <v>454</v>
      </c>
    </row>
    <row r="37" spans="2:14" ht="15.75" thickBot="1" x14ac:dyDescent="0.3">
      <c r="B37" s="298" t="s">
        <v>449</v>
      </c>
      <c r="C37" s="283" t="s">
        <v>446</v>
      </c>
      <c r="D37" s="398" t="s">
        <v>443</v>
      </c>
      <c r="E37" s="399"/>
      <c r="F37" s="399"/>
      <c r="G37" s="399"/>
      <c r="H37" s="399"/>
      <c r="I37" s="400"/>
      <c r="J37" s="298" t="s">
        <v>440</v>
      </c>
      <c r="K37" s="298" t="s">
        <v>453</v>
      </c>
      <c r="L37" s="298" t="s">
        <v>452</v>
      </c>
      <c r="M37" s="298" t="s">
        <v>451</v>
      </c>
      <c r="N37" s="298" t="s">
        <v>450</v>
      </c>
    </row>
    <row r="38" spans="2:14" s="275" customFormat="1" ht="25.5" customHeight="1" x14ac:dyDescent="0.25">
      <c r="B38" s="281" t="s">
        <v>449</v>
      </c>
      <c r="C38" s="292" t="s">
        <v>1007</v>
      </c>
      <c r="D38" s="389" t="s">
        <v>1006</v>
      </c>
      <c r="E38" s="390"/>
      <c r="F38" s="390"/>
      <c r="G38" s="390"/>
      <c r="H38" s="390"/>
      <c r="I38" s="391"/>
      <c r="J38" s="291">
        <v>2</v>
      </c>
      <c r="K38" s="279" t="s">
        <v>437</v>
      </c>
      <c r="L38" s="278">
        <v>900</v>
      </c>
      <c r="M38" s="277">
        <f>L38*J38</f>
        <v>1800</v>
      </c>
      <c r="N38" s="276">
        <f t="shared" ref="N38:N43" si="2">M38*22/122</f>
        <v>324.59016393442624</v>
      </c>
    </row>
    <row r="39" spans="2:14" s="275" customFormat="1" ht="26.25" customHeight="1" x14ac:dyDescent="0.25">
      <c r="B39" s="281" t="s">
        <v>446</v>
      </c>
      <c r="C39" s="292" t="s">
        <v>1196</v>
      </c>
      <c r="D39" s="389" t="s">
        <v>1195</v>
      </c>
      <c r="E39" s="390"/>
      <c r="F39" s="390"/>
      <c r="G39" s="390"/>
      <c r="H39" s="390"/>
      <c r="I39" s="391"/>
      <c r="J39" s="291">
        <v>1</v>
      </c>
      <c r="K39" s="279" t="s">
        <v>437</v>
      </c>
      <c r="L39" s="278">
        <v>700</v>
      </c>
      <c r="M39" s="277">
        <f>L39*J39</f>
        <v>700</v>
      </c>
      <c r="N39" s="276">
        <f t="shared" si="2"/>
        <v>126.22950819672131</v>
      </c>
    </row>
    <row r="40" spans="2:14" s="275" customFormat="1" ht="24" customHeight="1" x14ac:dyDescent="0.25">
      <c r="B40" s="281" t="s">
        <v>443</v>
      </c>
      <c r="C40" s="280" t="s">
        <v>1194</v>
      </c>
      <c r="D40" s="389" t="s">
        <v>1193</v>
      </c>
      <c r="E40" s="390"/>
      <c r="F40" s="390"/>
      <c r="G40" s="390"/>
      <c r="H40" s="390"/>
      <c r="I40" s="391"/>
      <c r="J40" s="331" t="s">
        <v>446</v>
      </c>
      <c r="K40" s="279" t="s">
        <v>437</v>
      </c>
      <c r="L40" s="278">
        <v>30</v>
      </c>
      <c r="M40" s="277">
        <f>L40*J40</f>
        <v>60</v>
      </c>
      <c r="N40" s="276">
        <f t="shared" si="2"/>
        <v>10.819672131147541</v>
      </c>
    </row>
    <row r="41" spans="2:14" s="275" customFormat="1" ht="13.5" customHeight="1" x14ac:dyDescent="0.25">
      <c r="B41" s="281" t="s">
        <v>440</v>
      </c>
      <c r="C41" s="280" t="s">
        <v>1192</v>
      </c>
      <c r="D41" s="389" t="s">
        <v>1191</v>
      </c>
      <c r="E41" s="390"/>
      <c r="F41" s="390"/>
      <c r="G41" s="390"/>
      <c r="H41" s="390"/>
      <c r="I41" s="391"/>
      <c r="J41" s="291">
        <v>1</v>
      </c>
      <c r="K41" s="279" t="s">
        <v>437</v>
      </c>
      <c r="L41" s="278">
        <v>1200</v>
      </c>
      <c r="M41" s="277">
        <f>L41*J41</f>
        <v>1200</v>
      </c>
      <c r="N41" s="276">
        <f t="shared" si="2"/>
        <v>216.39344262295083</v>
      </c>
    </row>
    <row r="42" spans="2:14" s="275" customFormat="1" ht="15" customHeight="1" x14ac:dyDescent="0.25">
      <c r="B42" s="281" t="s">
        <v>453</v>
      </c>
      <c r="C42" s="280" t="s">
        <v>1190</v>
      </c>
      <c r="D42" s="389" t="s">
        <v>1189</v>
      </c>
      <c r="E42" s="390"/>
      <c r="F42" s="390"/>
      <c r="G42" s="390"/>
      <c r="H42" s="390"/>
      <c r="I42" s="391"/>
      <c r="J42" s="291">
        <v>2</v>
      </c>
      <c r="K42" s="279" t="s">
        <v>437</v>
      </c>
      <c r="L42" s="278">
        <v>570</v>
      </c>
      <c r="M42" s="277">
        <f>L42*J42</f>
        <v>1140</v>
      </c>
      <c r="N42" s="276">
        <f t="shared" si="2"/>
        <v>205.57377049180329</v>
      </c>
    </row>
    <row r="43" spans="2:14" x14ac:dyDescent="0.25">
      <c r="B43" s="396" t="s">
        <v>436</v>
      </c>
      <c r="C43" s="396"/>
      <c r="D43" s="396"/>
      <c r="E43" s="396"/>
      <c r="F43" s="396"/>
      <c r="G43" s="396"/>
      <c r="H43" s="396"/>
      <c r="I43" s="397"/>
      <c r="J43" s="297">
        <v>8</v>
      </c>
      <c r="K43" s="393" t="s">
        <v>435</v>
      </c>
      <c r="L43" s="395"/>
      <c r="M43" s="340">
        <f>M38+M39+M40+M41+M42</f>
        <v>4900</v>
      </c>
      <c r="N43" s="276">
        <f t="shared" si="2"/>
        <v>883.60655737704917</v>
      </c>
    </row>
    <row r="45" spans="2:14" ht="15" customHeight="1" x14ac:dyDescent="0.25">
      <c r="B45" s="392" t="s">
        <v>1188</v>
      </c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</row>
    <row r="46" spans="2:14" ht="15.75" thickBot="1" x14ac:dyDescent="0.3"/>
    <row r="47" spans="2:14" ht="16.5" thickTop="1" thickBot="1" x14ac:dyDescent="0.3">
      <c r="B47" s="271"/>
      <c r="C47" s="271"/>
      <c r="D47" s="271"/>
      <c r="E47" s="271"/>
      <c r="F47" s="271"/>
      <c r="G47" s="271"/>
      <c r="H47" s="271"/>
      <c r="I47" s="271"/>
      <c r="J47" s="271"/>
      <c r="K47" s="270"/>
      <c r="L47" s="270" t="s">
        <v>433</v>
      </c>
      <c r="M47" s="269">
        <f>M30+M43</f>
        <v>14000</v>
      </c>
      <c r="N47" s="268">
        <f>M47*22/122</f>
        <v>2524.5901639344261</v>
      </c>
    </row>
    <row r="48" spans="2:14" ht="15.75" thickTop="1" x14ac:dyDescent="0.25"/>
    <row r="49" spans="2:14" ht="15" customHeight="1" x14ac:dyDescent="0.25">
      <c r="B49" s="388" t="s">
        <v>1187</v>
      </c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</row>
    <row r="52" spans="2:14" ht="15" customHeight="1" x14ac:dyDescent="0.25">
      <c r="J52" s="266" t="s">
        <v>431</v>
      </c>
      <c r="K52" s="384" t="s">
        <v>430</v>
      </c>
      <c r="L52" s="384"/>
      <c r="M52" s="384"/>
      <c r="N52" s="384"/>
    </row>
    <row r="54" spans="2:14" ht="53.25" customHeight="1" x14ac:dyDescent="0.25">
      <c r="B54" s="267"/>
      <c r="C54" s="385" t="s">
        <v>429</v>
      </c>
      <c r="D54" s="385"/>
      <c r="E54" s="385"/>
      <c r="F54" s="385"/>
      <c r="G54" s="385"/>
      <c r="H54" s="385"/>
      <c r="I54" s="385"/>
      <c r="J54" s="385"/>
      <c r="K54" s="385"/>
      <c r="L54" s="385"/>
      <c r="M54" s="385"/>
    </row>
    <row r="58" spans="2:14" ht="24" customHeight="1" x14ac:dyDescent="0.25">
      <c r="B58" s="386" t="s">
        <v>1073</v>
      </c>
      <c r="C58" s="386"/>
      <c r="J58" s="266" t="s">
        <v>427</v>
      </c>
      <c r="K58" s="384" t="s">
        <v>949</v>
      </c>
      <c r="L58" s="384"/>
      <c r="M58" s="384"/>
      <c r="N58" s="384"/>
    </row>
    <row r="60" spans="2:14" ht="26.25" customHeight="1" x14ac:dyDescent="0.25">
      <c r="J60" s="266" t="s">
        <v>426</v>
      </c>
      <c r="K60" s="384" t="s">
        <v>949</v>
      </c>
      <c r="L60" s="384"/>
      <c r="M60" s="384"/>
      <c r="N60" s="384"/>
    </row>
    <row r="62" spans="2:14" x14ac:dyDescent="0.25">
      <c r="B62" s="387" t="s">
        <v>424</v>
      </c>
      <c r="C62" s="387"/>
    </row>
    <row r="63" spans="2:14" x14ac:dyDescent="0.25">
      <c r="B63" s="381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3"/>
    </row>
  </sheetData>
  <mergeCells count="41">
    <mergeCell ref="B63:N63"/>
    <mergeCell ref="K52:N52"/>
    <mergeCell ref="C54:M54"/>
    <mergeCell ref="B58:C58"/>
    <mergeCell ref="K58:N58"/>
    <mergeCell ref="K60:N60"/>
    <mergeCell ref="B62:C62"/>
    <mergeCell ref="B43:I43"/>
    <mergeCell ref="D28:H28"/>
    <mergeCell ref="B49:N49"/>
    <mergeCell ref="D39:I39"/>
    <mergeCell ref="D40:I40"/>
    <mergeCell ref="D41:I41"/>
    <mergeCell ref="D42:I42"/>
    <mergeCell ref="B32:N32"/>
    <mergeCell ref="D29:H29"/>
    <mergeCell ref="B30:H30"/>
    <mergeCell ref="D36:I36"/>
    <mergeCell ref="D37:I37"/>
    <mergeCell ref="K43:L43"/>
    <mergeCell ref="B45:N45"/>
    <mergeCell ref="D22:H22"/>
    <mergeCell ref="D23:H23"/>
    <mergeCell ref="D21:H21"/>
    <mergeCell ref="D20:H20"/>
    <mergeCell ref="D27:H27"/>
    <mergeCell ref="D38:I38"/>
    <mergeCell ref="D24:H24"/>
    <mergeCell ref="D25:H25"/>
    <mergeCell ref="D26:H26"/>
    <mergeCell ref="J30:L30"/>
    <mergeCell ref="B1:J1"/>
    <mergeCell ref="B7:N7"/>
    <mergeCell ref="B11:N11"/>
    <mergeCell ref="B12:N12"/>
    <mergeCell ref="D19:H19"/>
    <mergeCell ref="M1:N3"/>
    <mergeCell ref="B2:J2"/>
    <mergeCell ref="C4:N4"/>
    <mergeCell ref="B6:G6"/>
    <mergeCell ref="H6:N6"/>
  </mergeCells>
  <pageMargins left="0.7" right="0.7" top="0.75" bottom="0.75" header="0.3" footer="0.3"/>
  <pageSetup paperSize="9" scale="10" orientation="portrait" horizontalDpi="203" verticalDpi="20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8301FF-E703-4633-9DF7-3BF8B228DC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46</vt:i4>
      </vt:variant>
      <vt:variant>
        <vt:lpstr>Именованные диапазоны</vt:lpstr>
      </vt:variant>
      <vt:variant>
        <vt:i4>1</vt:i4>
      </vt:variant>
    </vt:vector>
  </HeadingPairs>
  <TitlesOfParts>
    <vt:vector size="47" baseType="lpstr">
      <vt:lpstr>1M</vt:lpstr>
      <vt:lpstr>001</vt:lpstr>
      <vt:lpstr>2M</vt:lpstr>
      <vt:lpstr>report</vt:lpstr>
      <vt:lpstr>spisok</vt:lpstr>
      <vt:lpstr>645</vt:lpstr>
      <vt:lpstr>158</vt:lpstr>
      <vt:lpstr>TANK M083277</vt:lpstr>
      <vt:lpstr>62</vt:lpstr>
      <vt:lpstr>516</vt:lpstr>
      <vt:lpstr>333</vt:lpstr>
      <vt:lpstr>312</vt:lpstr>
      <vt:lpstr>782</vt:lpstr>
      <vt:lpstr>72</vt:lpstr>
      <vt:lpstr>459</vt:lpstr>
      <vt:lpstr>778</vt:lpstr>
      <vt:lpstr>0629</vt:lpstr>
      <vt:lpstr>0774</vt:lpstr>
      <vt:lpstr>153</vt:lpstr>
      <vt:lpstr>228</vt:lpstr>
      <vt:lpstr>0629 (2)</vt:lpstr>
      <vt:lpstr>531</vt:lpstr>
      <vt:lpstr>678</vt:lpstr>
      <vt:lpstr>261</vt:lpstr>
      <vt:lpstr>419</vt:lpstr>
      <vt:lpstr>546</vt:lpstr>
      <vt:lpstr>506</vt:lpstr>
      <vt:lpstr>956</vt:lpstr>
      <vt:lpstr>091</vt:lpstr>
      <vt:lpstr>273</vt:lpstr>
      <vt:lpstr>301</vt:lpstr>
      <vt:lpstr>488</vt:lpstr>
      <vt:lpstr>560</vt:lpstr>
      <vt:lpstr>778 (2)</vt:lpstr>
      <vt:lpstr>488 (2)</vt:lpstr>
      <vt:lpstr>301 (2)</vt:lpstr>
      <vt:lpstr>787</vt:lpstr>
      <vt:lpstr>725</vt:lpstr>
      <vt:lpstr>722</vt:lpstr>
      <vt:lpstr>678 (2)</vt:lpstr>
      <vt:lpstr>723</vt:lpstr>
      <vt:lpstr>0708</vt:lpstr>
      <vt:lpstr>154</vt:lpstr>
      <vt:lpstr>312 (2)</vt:lpstr>
      <vt:lpstr>833 (2)</vt:lpstr>
      <vt:lpstr>211</vt:lpstr>
      <vt:lpstr>'001'!Область_печати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Максимов</dc:creator>
  <cp:lastModifiedBy>Дмитрий Максимов</cp:lastModifiedBy>
  <dcterms:created xsi:type="dcterms:W3CDTF">2025-01-27T17:33:48Z</dcterms:created>
  <dcterms:modified xsi:type="dcterms:W3CDTF">2026-07-09T10:22:40Z</dcterms:modified>
</cp:coreProperties>
</file>