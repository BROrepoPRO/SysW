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L:\PROject\SysW\base\templates\"/>
    </mc:Choice>
  </mc:AlternateContent>
  <xr:revisionPtr revIDLastSave="0" documentId="8_{CB05CD94-BF64-431B-AC23-7D3E06A5B658}" xr6:coauthVersionLast="47" xr6:coauthVersionMax="47" xr10:uidLastSave="{00000000-0000-0000-0000-000000000000}"/>
  <bookViews>
    <workbookView xWindow="1950" yWindow="1950" windowWidth="16200" windowHeight="9810" activeTab="1" xr2:uid="{304A0B70-8F37-4818-B982-EDFB4415AC9F}"/>
  </bookViews>
  <sheets>
    <sheet name="report" sheetId="2" r:id="rId1"/>
    <sheet name="spisok" sheetId="3" r:id="rId2"/>
  </sheets>
  <externalReferences>
    <externalReference r:id="rId3"/>
  </externalReferences>
  <definedNames>
    <definedName name="округл" localSheetId="1">#REF!</definedName>
    <definedName name="округл">#REF!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9" i="2" l="1"/>
  <c r="O168" i="2"/>
  <c r="N168" i="2"/>
  <c r="N169" i="2" s="1"/>
  <c r="M168" i="2"/>
  <c r="O165" i="2"/>
  <c r="N165" i="2"/>
  <c r="O161" i="2"/>
  <c r="N161" i="2"/>
  <c r="O156" i="2"/>
  <c r="O155" i="2"/>
  <c r="N155" i="2"/>
  <c r="N156" i="2" s="1"/>
  <c r="M155" i="2"/>
  <c r="O152" i="2"/>
  <c r="N152" i="2"/>
  <c r="O148" i="2"/>
  <c r="N148" i="2"/>
  <c r="N142" i="2"/>
  <c r="N143" i="2" s="1"/>
  <c r="M142" i="2"/>
  <c r="N139" i="2"/>
  <c r="N135" i="2"/>
  <c r="R127" i="2"/>
  <c r="V127" i="2" s="1"/>
  <c r="W127" i="2" s="1"/>
  <c r="Q127" i="2"/>
  <c r="O127" i="2"/>
  <c r="N126" i="2"/>
  <c r="N127" i="2" s="1"/>
  <c r="K119" i="2"/>
  <c r="K118" i="2"/>
  <c r="P117" i="2"/>
  <c r="X117" i="2" s="1"/>
  <c r="Y117" i="2" s="1"/>
  <c r="K117" i="2"/>
  <c r="K116" i="2"/>
  <c r="P115" i="2"/>
  <c r="X115" i="2" s="1"/>
  <c r="Y115" i="2" s="1"/>
  <c r="K115" i="2"/>
  <c r="X114" i="2"/>
  <c r="Y114" i="2" s="1"/>
  <c r="P114" i="2"/>
  <c r="K114" i="2"/>
  <c r="X113" i="2"/>
  <c r="Y113" i="2" s="1"/>
  <c r="P113" i="2"/>
  <c r="K113" i="2"/>
  <c r="X112" i="2"/>
  <c r="Y112" i="2" s="1"/>
  <c r="P112" i="2"/>
  <c r="K112" i="2"/>
  <c r="X111" i="2"/>
  <c r="Y111" i="2" s="1"/>
  <c r="P111" i="2"/>
  <c r="K111" i="2"/>
  <c r="X110" i="2"/>
  <c r="Y110" i="2" s="1"/>
  <c r="P110" i="2"/>
  <c r="K110" i="2"/>
  <c r="X109" i="2"/>
  <c r="Y109" i="2" s="1"/>
  <c r="P109" i="2"/>
  <c r="K109" i="2"/>
  <c r="X108" i="2"/>
  <c r="Y108" i="2" s="1"/>
  <c r="P108" i="2"/>
  <c r="K108" i="2"/>
  <c r="X107" i="2"/>
  <c r="Y107" i="2" s="1"/>
  <c r="P107" i="2"/>
  <c r="K107" i="2"/>
  <c r="X106" i="2"/>
  <c r="Y106" i="2" s="1"/>
  <c r="P106" i="2"/>
  <c r="K106" i="2"/>
  <c r="X105" i="2"/>
  <c r="Y105" i="2" s="1"/>
  <c r="P105" i="2"/>
  <c r="K105" i="2"/>
  <c r="X104" i="2"/>
  <c r="Y104" i="2" s="1"/>
  <c r="P104" i="2"/>
  <c r="K104" i="2"/>
  <c r="X103" i="2"/>
  <c r="Y103" i="2" s="1"/>
  <c r="P103" i="2"/>
  <c r="K103" i="2"/>
  <c r="X102" i="2"/>
  <c r="Y102" i="2" s="1"/>
  <c r="P102" i="2"/>
  <c r="K102" i="2"/>
  <c r="X101" i="2"/>
  <c r="Y101" i="2" s="1"/>
  <c r="P101" i="2"/>
  <c r="K101" i="2"/>
  <c r="X100" i="2"/>
  <c r="Y100" i="2" s="1"/>
  <c r="P100" i="2"/>
  <c r="K100" i="2"/>
  <c r="X99" i="2"/>
  <c r="Y99" i="2" s="1"/>
  <c r="P99" i="2"/>
  <c r="K99" i="2"/>
  <c r="X98" i="2"/>
  <c r="Y98" i="2" s="1"/>
  <c r="P98" i="2"/>
  <c r="K98" i="2"/>
  <c r="X97" i="2"/>
  <c r="Y97" i="2" s="1"/>
  <c r="P97" i="2"/>
  <c r="K97" i="2"/>
  <c r="X96" i="2"/>
  <c r="Y96" i="2" s="1"/>
  <c r="P96" i="2"/>
  <c r="K96" i="2"/>
  <c r="X95" i="2"/>
  <c r="Y95" i="2" s="1"/>
  <c r="P95" i="2"/>
  <c r="K95" i="2"/>
  <c r="X94" i="2"/>
  <c r="Y94" i="2" s="1"/>
  <c r="P94" i="2"/>
  <c r="K94" i="2"/>
  <c r="X93" i="2"/>
  <c r="Y93" i="2" s="1"/>
  <c r="P93" i="2"/>
  <c r="K93" i="2"/>
  <c r="X92" i="2"/>
  <c r="K92" i="2"/>
  <c r="X91" i="2"/>
  <c r="Y91" i="2" s="1"/>
  <c r="P91" i="2"/>
  <c r="K91" i="2"/>
  <c r="X90" i="2"/>
  <c r="Y90" i="2" s="1"/>
  <c r="P90" i="2"/>
  <c r="K90" i="2"/>
  <c r="X89" i="2"/>
  <c r="Y89" i="2" s="1"/>
  <c r="P89" i="2"/>
  <c r="K89" i="2"/>
  <c r="X88" i="2"/>
  <c r="Y88" i="2" s="1"/>
  <c r="P88" i="2"/>
  <c r="K88" i="2"/>
  <c r="X87" i="2"/>
  <c r="Y87" i="2" s="1"/>
  <c r="P87" i="2"/>
  <c r="K87" i="2"/>
  <c r="X86" i="2"/>
  <c r="Y86" i="2" s="1"/>
  <c r="P86" i="2"/>
  <c r="K86" i="2"/>
  <c r="X85" i="2"/>
  <c r="Y85" i="2" s="1"/>
  <c r="P85" i="2"/>
  <c r="K85" i="2"/>
  <c r="X84" i="2"/>
  <c r="Y84" i="2" s="1"/>
  <c r="P84" i="2"/>
  <c r="K84" i="2"/>
  <c r="X83" i="2"/>
  <c r="Y83" i="2" s="1"/>
  <c r="P83" i="2"/>
  <c r="K83" i="2"/>
  <c r="X82" i="2"/>
  <c r="Y82" i="2" s="1"/>
  <c r="P82" i="2"/>
  <c r="K82" i="2"/>
  <c r="X81" i="2"/>
  <c r="Y81" i="2" s="1"/>
  <c r="P81" i="2"/>
  <c r="K81" i="2"/>
  <c r="X80" i="2"/>
  <c r="Y80" i="2" s="1"/>
  <c r="P80" i="2"/>
  <c r="K80" i="2"/>
  <c r="X79" i="2"/>
  <c r="Y79" i="2" s="1"/>
  <c r="P79" i="2"/>
  <c r="K79" i="2"/>
  <c r="X78" i="2"/>
  <c r="Y78" i="2" s="1"/>
  <c r="P78" i="2"/>
  <c r="K78" i="2"/>
  <c r="X77" i="2"/>
  <c r="Y77" i="2" s="1"/>
  <c r="P77" i="2"/>
  <c r="K77" i="2"/>
  <c r="X76" i="2"/>
  <c r="Y76" i="2" s="1"/>
  <c r="P76" i="2"/>
  <c r="K76" i="2"/>
  <c r="X75" i="2"/>
  <c r="Y75" i="2" s="1"/>
  <c r="P75" i="2"/>
  <c r="K75" i="2"/>
  <c r="X74" i="2"/>
  <c r="Y74" i="2" s="1"/>
  <c r="P74" i="2"/>
  <c r="K74" i="2"/>
  <c r="X73" i="2"/>
  <c r="Y73" i="2" s="1"/>
  <c r="P73" i="2"/>
  <c r="K73" i="2"/>
  <c r="X72" i="2"/>
  <c r="Y72" i="2" s="1"/>
  <c r="P72" i="2"/>
  <c r="K72" i="2"/>
  <c r="X71" i="2"/>
  <c r="Y71" i="2" s="1"/>
  <c r="P71" i="2"/>
  <c r="K71" i="2"/>
  <c r="X70" i="2"/>
  <c r="Y70" i="2" s="1"/>
  <c r="P70" i="2"/>
  <c r="K70" i="2"/>
  <c r="X69" i="2"/>
  <c r="Y69" i="2" s="1"/>
  <c r="P69" i="2"/>
  <c r="K69" i="2"/>
  <c r="X68" i="2"/>
  <c r="Y68" i="2" s="1"/>
  <c r="P68" i="2"/>
  <c r="K68" i="2"/>
  <c r="X67" i="2"/>
  <c r="Y67" i="2" s="1"/>
  <c r="P67" i="2"/>
  <c r="K67" i="2"/>
  <c r="X66" i="2"/>
  <c r="Y66" i="2" s="1"/>
  <c r="P66" i="2"/>
  <c r="K66" i="2"/>
  <c r="X65" i="2"/>
  <c r="Y65" i="2" s="1"/>
  <c r="P65" i="2"/>
  <c r="K65" i="2"/>
  <c r="X64" i="2"/>
  <c r="Y64" i="2" s="1"/>
  <c r="P64" i="2"/>
  <c r="K64" i="2"/>
  <c r="X63" i="2"/>
  <c r="Y63" i="2" s="1"/>
  <c r="P63" i="2"/>
  <c r="K63" i="2"/>
  <c r="X62" i="2"/>
  <c r="Y62" i="2" s="1"/>
  <c r="P62" i="2"/>
  <c r="K62" i="2"/>
  <c r="X61" i="2"/>
  <c r="Y61" i="2" s="1"/>
  <c r="P61" i="2"/>
  <c r="K61" i="2"/>
  <c r="X60" i="2"/>
  <c r="Y60" i="2" s="1"/>
  <c r="P60" i="2"/>
  <c r="K60" i="2"/>
  <c r="X59" i="2"/>
  <c r="Y59" i="2" s="1"/>
  <c r="P59" i="2"/>
  <c r="K59" i="2"/>
  <c r="X58" i="2"/>
  <c r="Y58" i="2" s="1"/>
  <c r="P58" i="2"/>
  <c r="K58" i="2"/>
  <c r="X57" i="2"/>
  <c r="Y57" i="2" s="1"/>
  <c r="P57" i="2"/>
  <c r="K57" i="2"/>
  <c r="X56" i="2"/>
  <c r="Y56" i="2" s="1"/>
  <c r="P56" i="2"/>
  <c r="K56" i="2"/>
  <c r="X55" i="2"/>
  <c r="Y55" i="2" s="1"/>
  <c r="P55" i="2"/>
  <c r="K55" i="2"/>
  <c r="X54" i="2"/>
  <c r="Y54" i="2" s="1"/>
  <c r="P54" i="2"/>
  <c r="K54" i="2"/>
  <c r="X53" i="2"/>
  <c r="Y53" i="2" s="1"/>
  <c r="P53" i="2"/>
  <c r="K53" i="2"/>
  <c r="X52" i="2"/>
  <c r="Y52" i="2" s="1"/>
  <c r="P52" i="2"/>
  <c r="K52" i="2"/>
  <c r="X51" i="2"/>
  <c r="Y51" i="2" s="1"/>
  <c r="P51" i="2"/>
  <c r="K51" i="2"/>
  <c r="X50" i="2"/>
  <c r="Y50" i="2" s="1"/>
  <c r="P50" i="2"/>
  <c r="K50" i="2"/>
  <c r="X49" i="2"/>
  <c r="Y49" i="2" s="1"/>
  <c r="P49" i="2"/>
  <c r="K49" i="2"/>
  <c r="X48" i="2"/>
  <c r="Y48" i="2" s="1"/>
  <c r="P48" i="2"/>
  <c r="K48" i="2"/>
  <c r="X47" i="2"/>
  <c r="Y47" i="2" s="1"/>
  <c r="P47" i="2"/>
  <c r="K47" i="2"/>
  <c r="X46" i="2"/>
  <c r="Y46" i="2" s="1"/>
  <c r="P46" i="2"/>
  <c r="K46" i="2"/>
  <c r="X45" i="2"/>
  <c r="Y45" i="2" s="1"/>
  <c r="P45" i="2"/>
  <c r="K45" i="2"/>
  <c r="X44" i="2"/>
  <c r="Y44" i="2" s="1"/>
  <c r="P44" i="2"/>
  <c r="K44" i="2"/>
  <c r="X43" i="2"/>
  <c r="Y43" i="2" s="1"/>
  <c r="P43" i="2"/>
  <c r="K43" i="2"/>
  <c r="X42" i="2"/>
  <c r="Y42" i="2" s="1"/>
  <c r="P42" i="2"/>
  <c r="K42" i="2"/>
  <c r="X41" i="2"/>
  <c r="Y41" i="2" s="1"/>
  <c r="P41" i="2"/>
  <c r="K41" i="2"/>
  <c r="X40" i="2"/>
  <c r="Y40" i="2" s="1"/>
  <c r="P40" i="2"/>
  <c r="K40" i="2"/>
  <c r="X39" i="2"/>
  <c r="Y39" i="2" s="1"/>
  <c r="P39" i="2"/>
  <c r="K39" i="2"/>
  <c r="X38" i="2"/>
  <c r="Y38" i="2" s="1"/>
  <c r="P38" i="2"/>
  <c r="K38" i="2"/>
  <c r="X37" i="2"/>
  <c r="Y37" i="2" s="1"/>
  <c r="P37" i="2"/>
  <c r="K37" i="2"/>
  <c r="X36" i="2"/>
  <c r="Y36" i="2" s="1"/>
  <c r="P36" i="2"/>
  <c r="K36" i="2"/>
  <c r="X35" i="2"/>
  <c r="Y35" i="2" s="1"/>
  <c r="P35" i="2"/>
  <c r="K35" i="2"/>
  <c r="X34" i="2"/>
  <c r="Y34" i="2" s="1"/>
  <c r="P34" i="2"/>
  <c r="K34" i="2"/>
  <c r="I34" i="2"/>
  <c r="H34" i="2"/>
  <c r="G34" i="2"/>
  <c r="F34" i="2"/>
  <c r="E34" i="2"/>
  <c r="D34" i="2"/>
  <c r="C34" i="2"/>
  <c r="P33" i="2"/>
  <c r="X33" i="2" s="1"/>
  <c r="Y33" i="2" s="1"/>
  <c r="K33" i="2"/>
  <c r="I33" i="2"/>
  <c r="H33" i="2"/>
  <c r="G33" i="2"/>
  <c r="F33" i="2"/>
  <c r="E33" i="2"/>
  <c r="D33" i="2"/>
  <c r="C33" i="2"/>
  <c r="K32" i="2"/>
  <c r="I32" i="2"/>
  <c r="H32" i="2"/>
  <c r="G32" i="2"/>
  <c r="F32" i="2"/>
  <c r="E32" i="2"/>
  <c r="D32" i="2"/>
  <c r="C32" i="2"/>
  <c r="X31" i="2"/>
  <c r="Y31" i="2" s="1"/>
  <c r="P31" i="2"/>
  <c r="K31" i="2"/>
  <c r="I31" i="2"/>
  <c r="H31" i="2"/>
  <c r="G31" i="2"/>
  <c r="F31" i="2"/>
  <c r="E31" i="2"/>
  <c r="D31" i="2"/>
  <c r="C31" i="2"/>
  <c r="P30" i="2"/>
  <c r="X30" i="2" s="1"/>
  <c r="Y30" i="2" s="1"/>
  <c r="K30" i="2"/>
  <c r="I30" i="2"/>
  <c r="H30" i="2"/>
  <c r="G30" i="2"/>
  <c r="F30" i="2"/>
  <c r="E30" i="2"/>
  <c r="D30" i="2"/>
  <c r="C30" i="2"/>
  <c r="X29" i="2"/>
  <c r="Y29" i="2" s="1"/>
  <c r="P29" i="2"/>
  <c r="K29" i="2"/>
  <c r="I29" i="2"/>
  <c r="H29" i="2"/>
  <c r="G29" i="2"/>
  <c r="F29" i="2"/>
  <c r="E29" i="2"/>
  <c r="D29" i="2"/>
  <c r="C29" i="2"/>
  <c r="P28" i="2"/>
  <c r="X28" i="2" s="1"/>
  <c r="Y28" i="2" s="1"/>
  <c r="K28" i="2"/>
  <c r="I28" i="2"/>
  <c r="H28" i="2"/>
  <c r="G28" i="2"/>
  <c r="F28" i="2"/>
  <c r="E28" i="2"/>
  <c r="D28" i="2"/>
  <c r="C28" i="2"/>
  <c r="X27" i="2"/>
  <c r="Y27" i="2" s="1"/>
  <c r="P27" i="2"/>
  <c r="K27" i="2"/>
  <c r="I27" i="2"/>
  <c r="H27" i="2"/>
  <c r="G27" i="2"/>
  <c r="F27" i="2"/>
  <c r="E27" i="2"/>
  <c r="D27" i="2"/>
  <c r="C27" i="2"/>
  <c r="P26" i="2"/>
  <c r="X26" i="2" s="1"/>
  <c r="Y26" i="2" s="1"/>
  <c r="K26" i="2"/>
  <c r="I26" i="2"/>
  <c r="H26" i="2"/>
  <c r="G26" i="2"/>
  <c r="F26" i="2"/>
  <c r="E26" i="2"/>
  <c r="D26" i="2"/>
  <c r="C26" i="2"/>
  <c r="X25" i="2"/>
  <c r="Y25" i="2" s="1"/>
  <c r="P25" i="2"/>
  <c r="K25" i="2"/>
  <c r="I25" i="2"/>
  <c r="H25" i="2"/>
  <c r="G25" i="2"/>
  <c r="F25" i="2"/>
  <c r="E25" i="2"/>
  <c r="D25" i="2"/>
  <c r="C25" i="2"/>
  <c r="P24" i="2"/>
  <c r="X24" i="2" s="1"/>
  <c r="Y24" i="2" s="1"/>
  <c r="K24" i="2"/>
  <c r="I24" i="2"/>
  <c r="H24" i="2"/>
  <c r="G24" i="2"/>
  <c r="F24" i="2"/>
  <c r="E24" i="2"/>
  <c r="D24" i="2"/>
  <c r="C24" i="2"/>
  <c r="X23" i="2"/>
  <c r="Y23" i="2" s="1"/>
  <c r="P23" i="2"/>
  <c r="K23" i="2"/>
  <c r="I23" i="2"/>
  <c r="H23" i="2"/>
  <c r="G23" i="2"/>
  <c r="F23" i="2"/>
  <c r="E23" i="2"/>
  <c r="D23" i="2"/>
  <c r="C23" i="2"/>
  <c r="P22" i="2"/>
  <c r="X22" i="2" s="1"/>
  <c r="Y22" i="2" s="1"/>
  <c r="K22" i="2"/>
  <c r="I22" i="2"/>
  <c r="H22" i="2"/>
  <c r="G22" i="2"/>
  <c r="F22" i="2"/>
  <c r="E22" i="2"/>
  <c r="D22" i="2"/>
  <c r="C22" i="2"/>
  <c r="X21" i="2"/>
  <c r="Y21" i="2" s="1"/>
  <c r="P21" i="2"/>
  <c r="K21" i="2"/>
  <c r="I21" i="2"/>
  <c r="H21" i="2"/>
  <c r="G21" i="2"/>
  <c r="F21" i="2"/>
  <c r="E21" i="2"/>
  <c r="D21" i="2"/>
  <c r="C21" i="2"/>
  <c r="P20" i="2"/>
  <c r="X20" i="2" s="1"/>
  <c r="Y20" i="2" s="1"/>
  <c r="K20" i="2"/>
  <c r="I20" i="2"/>
  <c r="H20" i="2"/>
  <c r="G20" i="2"/>
  <c r="F20" i="2"/>
  <c r="E20" i="2"/>
  <c r="D20" i="2"/>
  <c r="C20" i="2"/>
  <c r="X19" i="2"/>
  <c r="Y19" i="2" s="1"/>
  <c r="P19" i="2"/>
  <c r="K19" i="2"/>
  <c r="I19" i="2"/>
  <c r="H19" i="2"/>
  <c r="G19" i="2"/>
  <c r="F19" i="2"/>
  <c r="E19" i="2"/>
  <c r="D19" i="2"/>
  <c r="C19" i="2"/>
  <c r="P18" i="2"/>
  <c r="X18" i="2" s="1"/>
  <c r="Y18" i="2" s="1"/>
  <c r="K18" i="2"/>
  <c r="I18" i="2"/>
  <c r="H18" i="2"/>
  <c r="G18" i="2"/>
  <c r="F18" i="2"/>
  <c r="E18" i="2"/>
  <c r="D18" i="2"/>
  <c r="C18" i="2"/>
  <c r="X17" i="2"/>
  <c r="Y17" i="2" s="1"/>
  <c r="P17" i="2"/>
  <c r="K17" i="2"/>
  <c r="I17" i="2"/>
  <c r="H17" i="2"/>
  <c r="G17" i="2"/>
  <c r="F17" i="2"/>
  <c r="E17" i="2"/>
  <c r="D17" i="2"/>
  <c r="C17" i="2"/>
  <c r="P16" i="2"/>
  <c r="X16" i="2" s="1"/>
  <c r="Y16" i="2" s="1"/>
  <c r="K16" i="2"/>
  <c r="I16" i="2"/>
  <c r="H16" i="2"/>
  <c r="G16" i="2"/>
  <c r="F16" i="2"/>
  <c r="E16" i="2"/>
  <c r="D16" i="2"/>
  <c r="C16" i="2"/>
  <c r="X15" i="2"/>
  <c r="Y15" i="2" s="1"/>
  <c r="P15" i="2"/>
  <c r="K15" i="2"/>
  <c r="I15" i="2"/>
  <c r="H15" i="2"/>
  <c r="G15" i="2"/>
  <c r="F15" i="2"/>
  <c r="E15" i="2"/>
  <c r="D15" i="2"/>
  <c r="C15" i="2"/>
  <c r="P14" i="2"/>
  <c r="X14" i="2" s="1"/>
  <c r="Y14" i="2" s="1"/>
  <c r="K14" i="2"/>
  <c r="I14" i="2"/>
  <c r="H14" i="2"/>
  <c r="G14" i="2"/>
  <c r="F14" i="2"/>
  <c r="E14" i="2"/>
  <c r="D14" i="2"/>
  <c r="C14" i="2"/>
  <c r="X13" i="2"/>
  <c r="Y13" i="2" s="1"/>
  <c r="P13" i="2"/>
  <c r="K13" i="2"/>
  <c r="I13" i="2"/>
  <c r="H13" i="2"/>
  <c r="G13" i="2"/>
  <c r="F13" i="2"/>
  <c r="E13" i="2"/>
  <c r="D13" i="2"/>
  <c r="C13" i="2"/>
  <c r="P12" i="2"/>
  <c r="X12" i="2" s="1"/>
  <c r="Y12" i="2" s="1"/>
  <c r="K12" i="2"/>
  <c r="I12" i="2"/>
  <c r="H12" i="2"/>
  <c r="G12" i="2"/>
  <c r="F12" i="2"/>
  <c r="E12" i="2"/>
  <c r="D12" i="2"/>
  <c r="C12" i="2"/>
  <c r="X11" i="2"/>
  <c r="Y11" i="2" s="1"/>
  <c r="P11" i="2"/>
  <c r="K11" i="2"/>
  <c r="I11" i="2"/>
  <c r="H11" i="2"/>
  <c r="G11" i="2"/>
  <c r="F11" i="2"/>
  <c r="E11" i="2"/>
  <c r="D11" i="2"/>
  <c r="C11" i="2"/>
  <c r="P10" i="2"/>
  <c r="X10" i="2" s="1"/>
  <c r="Y10" i="2" s="1"/>
  <c r="K10" i="2"/>
  <c r="I10" i="2"/>
  <c r="H10" i="2"/>
  <c r="G10" i="2"/>
  <c r="F10" i="2"/>
  <c r="E10" i="2"/>
  <c r="D10" i="2"/>
  <c r="C10" i="2"/>
  <c r="X9" i="2"/>
  <c r="Y9" i="2" s="1"/>
  <c r="P9" i="2"/>
  <c r="K9" i="2"/>
  <c r="I9" i="2"/>
  <c r="H9" i="2"/>
  <c r="G9" i="2"/>
  <c r="F9" i="2"/>
  <c r="E9" i="2"/>
  <c r="D9" i="2"/>
  <c r="C9" i="2"/>
  <c r="P8" i="2"/>
  <c r="X8" i="2" s="1"/>
  <c r="Y8" i="2" s="1"/>
  <c r="K8" i="2"/>
  <c r="I8" i="2"/>
  <c r="H8" i="2"/>
  <c r="G8" i="2"/>
  <c r="F8" i="2"/>
  <c r="E8" i="2"/>
  <c r="D8" i="2"/>
  <c r="C8" i="2"/>
  <c r="X7" i="2"/>
  <c r="Y7" i="2" s="1"/>
  <c r="P7" i="2"/>
  <c r="K7" i="2"/>
  <c r="I7" i="2"/>
  <c r="H7" i="2"/>
  <c r="G7" i="2"/>
  <c r="F7" i="2"/>
  <c r="E7" i="2"/>
  <c r="D7" i="2"/>
  <c r="C7" i="2"/>
  <c r="P6" i="2"/>
  <c r="X6" i="2" s="1"/>
  <c r="Y6" i="2" s="1"/>
  <c r="K6" i="2"/>
  <c r="I6" i="2"/>
  <c r="H6" i="2"/>
  <c r="G6" i="2"/>
  <c r="F6" i="2"/>
  <c r="E6" i="2"/>
  <c r="D6" i="2"/>
  <c r="C6" i="2"/>
  <c r="X5" i="2"/>
  <c r="Y5" i="2" s="1"/>
  <c r="P5" i="2"/>
  <c r="K5" i="2"/>
  <c r="I5" i="2"/>
  <c r="H5" i="2"/>
  <c r="G5" i="2"/>
  <c r="F5" i="2"/>
  <c r="E5" i="2"/>
  <c r="D5" i="2"/>
  <c r="C5" i="2"/>
  <c r="P4" i="2"/>
  <c r="X4" i="2" s="1"/>
  <c r="Y4" i="2" s="1"/>
  <c r="K4" i="2"/>
  <c r="I4" i="2"/>
  <c r="H4" i="2"/>
  <c r="G4" i="2"/>
  <c r="F4" i="2"/>
  <c r="E4" i="2"/>
  <c r="D4" i="2"/>
  <c r="C4" i="2"/>
  <c r="X3" i="2"/>
  <c r="Y3" i="2" s="1"/>
  <c r="P3" i="2"/>
  <c r="I3" i="2"/>
  <c r="H3" i="2"/>
  <c r="G3" i="2"/>
  <c r="F3" i="2"/>
  <c r="E3" i="2"/>
  <c r="D3" i="2"/>
  <c r="C3" i="2"/>
  <c r="V2" i="2"/>
  <c r="W2" i="2" s="1"/>
  <c r="T2" i="2"/>
  <c r="U2" i="2" s="1"/>
  <c r="S2" i="2"/>
  <c r="P2" i="2"/>
  <c r="X2" i="2" s="1"/>
  <c r="Y2" i="2" s="1"/>
  <c r="I2" i="2"/>
  <c r="H2" i="2"/>
  <c r="G2" i="2"/>
  <c r="F2" i="2"/>
  <c r="E2" i="2"/>
  <c r="D2" i="2"/>
  <c r="C2" i="2"/>
  <c r="S127" i="2" l="1"/>
  <c r="S122" i="2"/>
  <c r="T127" i="2"/>
  <c r="U127" i="2" s="1"/>
  <c r="P126" i="2"/>
  <c r="P127" i="2" s="1"/>
  <c r="P122" i="2" l="1"/>
  <c r="X122" i="2" s="1"/>
  <c r="Y122" i="2" s="1"/>
  <c r="X127" i="2"/>
  <c r="Y127" i="2" s="1"/>
</calcChain>
</file>

<file path=xl/sharedStrings.xml><?xml version="1.0" encoding="utf-8"?>
<sst xmlns="http://schemas.openxmlformats.org/spreadsheetml/2006/main" count="426" uniqueCount="273">
  <si>
    <t>Номер п/п</t>
  </si>
  <si>
    <t>Цена н/ч</t>
  </si>
  <si>
    <t>Марка/Модель</t>
  </si>
  <si>
    <t>ГЗН</t>
  </si>
  <si>
    <t>VIN</t>
  </si>
  <si>
    <t>Пробег</t>
  </si>
  <si>
    <t>Год вып.</t>
  </si>
  <si>
    <t>Дата</t>
  </si>
  <si>
    <t>Гараж. Номер</t>
  </si>
  <si>
    <t>Номер/месяц</t>
  </si>
  <si>
    <t>Номер ЗН</t>
  </si>
  <si>
    <t>Номер/год</t>
  </si>
  <si>
    <t>Номер ММ</t>
  </si>
  <si>
    <t>РАБОТЫ</t>
  </si>
  <si>
    <t>З/Ч</t>
  </si>
  <si>
    <t>ИТОГО РАСХОД</t>
  </si>
  <si>
    <t>ИТОГО ВЫРУЧКА</t>
  </si>
  <si>
    <t>Рубль</t>
  </si>
  <si>
    <t>%</t>
  </si>
  <si>
    <t>ВАЛОВАЯ ПРИБЫЛЬ</t>
  </si>
  <si>
    <t xml:space="preserve">% </t>
  </si>
  <si>
    <t>001-10</t>
  </si>
  <si>
    <t>002-10</t>
  </si>
  <si>
    <t xml:space="preserve"> TANK</t>
  </si>
  <si>
    <t>M083277</t>
  </si>
  <si>
    <t>ТРЕБУЕТ ВНИМАНИЯ</t>
  </si>
  <si>
    <t>ЗАГРУЖЕНО</t>
  </si>
  <si>
    <t>ПОДПИСАНО</t>
  </si>
  <si>
    <t>ОПЛАЧЕНО</t>
  </si>
  <si>
    <t>сделано вне списка</t>
  </si>
  <si>
    <t>10 ГК</t>
  </si>
  <si>
    <t>СДЕЛАНО</t>
  </si>
  <si>
    <t>ВЫГРУЖЕНО</t>
  </si>
  <si>
    <t>ЯНВ-ФЕВ</t>
  </si>
  <si>
    <t>НА 10.03.26</t>
  </si>
  <si>
    <t>08 ГК</t>
  </si>
  <si>
    <t>08+10 ГК</t>
  </si>
  <si>
    <t>24+74</t>
  </si>
  <si>
    <t>24+71</t>
  </si>
  <si>
    <t>22+58</t>
  </si>
  <si>
    <t>ЯНВ-МАРТ</t>
  </si>
  <si>
    <t>НА 17.03.26</t>
  </si>
  <si>
    <t>29+93</t>
  </si>
  <si>
    <t>73+29</t>
  </si>
  <si>
    <t>71+24</t>
  </si>
  <si>
    <t>39+13</t>
  </si>
  <si>
    <t>НА 26.03.26</t>
  </si>
  <si>
    <t>32+102</t>
  </si>
  <si>
    <t>29+96</t>
  </si>
  <si>
    <t>29+78</t>
  </si>
  <si>
    <t>№ п/п</t>
  </si>
  <si>
    <t>Модель</t>
  </si>
  <si>
    <t>ГРЗ</t>
  </si>
  <si>
    <t>гараж. №</t>
  </si>
  <si>
    <t>год вып.</t>
  </si>
  <si>
    <t>пробег</t>
  </si>
  <si>
    <t>дата</t>
  </si>
  <si>
    <t>№ акта ЕИС</t>
  </si>
  <si>
    <t>сумма</t>
  </si>
  <si>
    <t>УАЗ UAZ PATRIOT 3163</t>
  </si>
  <si>
    <t>О201МК126</t>
  </si>
  <si>
    <t>XTT316300R1000091</t>
  </si>
  <si>
    <t>106-81</t>
  </si>
  <si>
    <t>LADA VESTA GFL110</t>
  </si>
  <si>
    <t>Е833ОЕ15</t>
  </si>
  <si>
    <t>XTAGFL110LY378838</t>
  </si>
  <si>
    <t>104-61</t>
  </si>
  <si>
    <t>ЕСАУЛ 394511-03</t>
  </si>
  <si>
    <t>В723УУ15</t>
  </si>
  <si>
    <t>X8939451CG0AK5370</t>
  </si>
  <si>
    <t>103-30</t>
  </si>
  <si>
    <t>Е378ОУ15</t>
  </si>
  <si>
    <t>XTAGFL110LY443715</t>
  </si>
  <si>
    <t>105-48</t>
  </si>
  <si>
    <t>Е506НТ15</t>
  </si>
  <si>
    <t>X8939451CK0AK5346</t>
  </si>
  <si>
    <t>104-91</t>
  </si>
  <si>
    <t>ГАЗ 221717</t>
  </si>
  <si>
    <t>Е601РА15</t>
  </si>
  <si>
    <t>В211ОХ15</t>
  </si>
  <si>
    <t>XTAGFL110JY197249</t>
  </si>
  <si>
    <t>103-75</t>
  </si>
  <si>
    <t>LADA GRANTA 219010</t>
  </si>
  <si>
    <t>Е559НТ15</t>
  </si>
  <si>
    <t>TOYOTA CAMRY ASV70L-RE</t>
  </si>
  <si>
    <t>Е778РА15</t>
  </si>
  <si>
    <t>XW7BF4HK905167068</t>
  </si>
  <si>
    <t>106-39</t>
  </si>
  <si>
    <t>УАЗ ПАТРИОТ</t>
  </si>
  <si>
    <t>В782ОХ15</t>
  </si>
  <si>
    <t>ЛАДА ГРАНТА 219010</t>
  </si>
  <si>
    <t>А287АР126</t>
  </si>
  <si>
    <t>XTA219010E0256411</t>
  </si>
  <si>
    <t>106-34</t>
  </si>
  <si>
    <t>ЛАДА 213100 4х4</t>
  </si>
  <si>
    <t>В473ЕР126</t>
  </si>
  <si>
    <t>LADA 4x4 213100</t>
  </si>
  <si>
    <t>О 0708/15</t>
  </si>
  <si>
    <t>XTA213100L0213886</t>
  </si>
  <si>
    <t>104-90</t>
  </si>
  <si>
    <t>LADA PRIORA 217050</t>
  </si>
  <si>
    <t>Т158АЕ15</t>
  </si>
  <si>
    <t>XTA217050G0529350</t>
  </si>
  <si>
    <t>102-89</t>
  </si>
  <si>
    <t>ТОЙОТА КАМРИ</t>
  </si>
  <si>
    <t>Е898НТ15</t>
  </si>
  <si>
    <t>XW7BF4FK10S155841</t>
  </si>
  <si>
    <t>103-69</t>
  </si>
  <si>
    <t>УАЗ 396221 3163</t>
  </si>
  <si>
    <t>Е312РА15</t>
  </si>
  <si>
    <t>XTT316300M1002503</t>
  </si>
  <si>
    <t>105-57</t>
  </si>
  <si>
    <t>Е368НТ15</t>
  </si>
  <si>
    <t>X8939451CK0AK5323</t>
  </si>
  <si>
    <t>104-95</t>
  </si>
  <si>
    <t>Е546НТ15</t>
  </si>
  <si>
    <t>X8939451CK0AK5318</t>
  </si>
  <si>
    <t>104-96</t>
  </si>
  <si>
    <t>ГАЗ 27322Е</t>
  </si>
  <si>
    <t>О0775/15</t>
  </si>
  <si>
    <t>XUY27322EL0000276</t>
  </si>
  <si>
    <t>105-62</t>
  </si>
  <si>
    <t>ГАЗ 38406L</t>
  </si>
  <si>
    <t>М0629/15</t>
  </si>
  <si>
    <t>Z8X38406LD0000147</t>
  </si>
  <si>
    <t>100-68</t>
  </si>
  <si>
    <t>А722НА15</t>
  </si>
  <si>
    <t>XTA219010M0770129</t>
  </si>
  <si>
    <t>105-89</t>
  </si>
  <si>
    <t>HAVAL F7 CC6475UM09C</t>
  </si>
  <si>
    <t>Е985ЕН15</t>
  </si>
  <si>
    <t>XZGEF04A4PA351278</t>
  </si>
  <si>
    <t>106-74</t>
  </si>
  <si>
    <t>Е154РА15</t>
  </si>
  <si>
    <t>XTAGFL110LY443716</t>
  </si>
  <si>
    <t>105-53</t>
  </si>
  <si>
    <t>ГАЗ 2705</t>
  </si>
  <si>
    <t>В645ОТ15</t>
  </si>
  <si>
    <t>X96270500H0824002</t>
  </si>
  <si>
    <t>103-68</t>
  </si>
  <si>
    <t>TOYOTA CAMRY GSV70L-REZ</t>
  </si>
  <si>
    <t>Е301ОУ15</t>
  </si>
  <si>
    <t>XW7BZYHK50S111563</t>
  </si>
  <si>
    <t>105-43</t>
  </si>
  <si>
    <t>РЕНО ДАСТЕР</t>
  </si>
  <si>
    <t>В391ОХ15</t>
  </si>
  <si>
    <t>X7LHSRHGN59704684</t>
  </si>
  <si>
    <t>103-79</t>
  </si>
  <si>
    <t>ФОРД EXPLORER</t>
  </si>
  <si>
    <t>Е409РС15</t>
  </si>
  <si>
    <t>Z6FBXXESWBES15416</t>
  </si>
  <si>
    <t>101-31</t>
  </si>
  <si>
    <t>ЛАДА 213100</t>
  </si>
  <si>
    <t>А678ХМ126</t>
  </si>
  <si>
    <t>XTA213100F0171867</t>
  </si>
  <si>
    <t>106-62</t>
  </si>
  <si>
    <t>KIA XM FL (SORENTO)</t>
  </si>
  <si>
    <t>О0774/15</t>
  </si>
  <si>
    <t>XWEKU811DKC024995</t>
  </si>
  <si>
    <t>105-55</t>
  </si>
  <si>
    <t>А333НА15</t>
  </si>
  <si>
    <t>XW7BF4HK10S150796</t>
  </si>
  <si>
    <t>104-73</t>
  </si>
  <si>
    <t>ХЕНДЭ СОЛЯРИС</t>
  </si>
  <si>
    <t>В201УВ15</t>
  </si>
  <si>
    <t>Z94CU41DBFR426306</t>
  </si>
  <si>
    <t>102-63</t>
  </si>
  <si>
    <t>XTA219010L0668690</t>
  </si>
  <si>
    <t>105-10</t>
  </si>
  <si>
    <t>А725НА15</t>
  </si>
  <si>
    <t>XTAGFL110MY545270</t>
  </si>
  <si>
    <t>106-01</t>
  </si>
  <si>
    <t>В787ОХ15</t>
  </si>
  <si>
    <t>XTT316300J1023444</t>
  </si>
  <si>
    <t>103-91</t>
  </si>
  <si>
    <t>XTA213100G0177506</t>
  </si>
  <si>
    <t>106-63</t>
  </si>
  <si>
    <t>VOLKSWAGEN MULTIVEN</t>
  </si>
  <si>
    <t>С488ВС15</t>
  </si>
  <si>
    <t>XW8ZZZ7HZDG001346</t>
  </si>
  <si>
    <t>101-90</t>
  </si>
  <si>
    <t>Е499НТ15</t>
  </si>
  <si>
    <t>X8939451CK0AK5363</t>
  </si>
  <si>
    <t>105-01</t>
  </si>
  <si>
    <t>Е375ОУ15</t>
  </si>
  <si>
    <t>XTAGFL110LY443723</t>
  </si>
  <si>
    <t>105-47</t>
  </si>
  <si>
    <t>ШКОДА OCTAVIA</t>
  </si>
  <si>
    <t>В783ВН126</t>
  </si>
  <si>
    <t>XW8AD4NE2GH022263</t>
  </si>
  <si>
    <t>104-20</t>
  </si>
  <si>
    <t>ЛАДА ПРИОРА 217030</t>
  </si>
  <si>
    <t>С271ВС15</t>
  </si>
  <si>
    <t>XTA217030E0468780</t>
  </si>
  <si>
    <t>101-50</t>
  </si>
  <si>
    <t>GAZELLE</t>
  </si>
  <si>
    <t>А863СУ15</t>
  </si>
  <si>
    <t>X96A65R23R1000541</t>
  </si>
  <si>
    <t>106-71</t>
  </si>
  <si>
    <t>С261ВС15</t>
  </si>
  <si>
    <t>X8939451CE0AK5051</t>
  </si>
  <si>
    <t>101-58</t>
  </si>
  <si>
    <t>Е153РА15</t>
  </si>
  <si>
    <t>XTAGFL110LY443724</t>
  </si>
  <si>
    <t>105-51</t>
  </si>
  <si>
    <t>А560ХС15</t>
  </si>
  <si>
    <t>XW7BF4FK70S020041</t>
  </si>
  <si>
    <t>99-90</t>
  </si>
  <si>
    <t>LADA 4х4 212140</t>
  </si>
  <si>
    <t>О194МК126</t>
  </si>
  <si>
    <t>XTA212140R2522985</t>
  </si>
  <si>
    <t>106-80</t>
  </si>
  <si>
    <t>Е553НТ15</t>
  </si>
  <si>
    <t>XTA219010L0668676</t>
  </si>
  <si>
    <t>105-06</t>
  </si>
  <si>
    <t>УАЗ PATRIOT 3163</t>
  </si>
  <si>
    <t>А627НА15</t>
  </si>
  <si>
    <t>XTT316300M1009834</t>
  </si>
  <si>
    <t>105-86</t>
  </si>
  <si>
    <t>ГАЗ GAZELLE NEXT A62R33</t>
  </si>
  <si>
    <t>Е833ВК15</t>
  </si>
  <si>
    <t>X96A62R33P0965419</t>
  </si>
  <si>
    <t>106-53</t>
  </si>
  <si>
    <t>Е961ВК15</t>
  </si>
  <si>
    <t>X96A62R33P0964800</t>
  </si>
  <si>
    <t>106-50</t>
  </si>
  <si>
    <t>Е189ОУ15</t>
  </si>
  <si>
    <t>XTAGFL110LY430876</t>
  </si>
  <si>
    <t>105-45</t>
  </si>
  <si>
    <t>Т899АЕ15</t>
  </si>
  <si>
    <t>XW7BF4FKX0S132221</t>
  </si>
  <si>
    <t>102-94</t>
  </si>
  <si>
    <t>В745УУ15</t>
  </si>
  <si>
    <t>X8939451CG0AK5366</t>
  </si>
  <si>
    <t>103-16</t>
  </si>
  <si>
    <t>LADA 217030 PRIORA</t>
  </si>
  <si>
    <t>Н731ХН26</t>
  </si>
  <si>
    <t>XTA217030D0425055</t>
  </si>
  <si>
    <t>106-27</t>
  </si>
  <si>
    <t>X96221717L0897225</t>
  </si>
  <si>
    <t>106-16</t>
  </si>
  <si>
    <t>А263СТ126</t>
  </si>
  <si>
    <t>XTA219010F0333420</t>
  </si>
  <si>
    <t>106-21</t>
  </si>
  <si>
    <t>XTT316300J1023443</t>
  </si>
  <si>
    <t>103-87</t>
  </si>
  <si>
    <t>Е403ОУ15</t>
  </si>
  <si>
    <t>XTAGFL110LY430878</t>
  </si>
  <si>
    <t>105-49</t>
  </si>
  <si>
    <t>А273ОА15</t>
  </si>
  <si>
    <t>XW7BE40K00S034309</t>
  </si>
  <si>
    <t>98-91</t>
  </si>
  <si>
    <t>К480НВ15</t>
  </si>
  <si>
    <t>X8939451CE0AK5089</t>
  </si>
  <si>
    <t>101-34</t>
  </si>
  <si>
    <t>А255СТ126</t>
  </si>
  <si>
    <t>XTA219010F0330258</t>
  </si>
  <si>
    <t>106-33</t>
  </si>
  <si>
    <t>Е463МУ15</t>
  </si>
  <si>
    <t>X8939451CJ0AK5142</t>
  </si>
  <si>
    <t>104-17</t>
  </si>
  <si>
    <t>Е963НТ15</t>
  </si>
  <si>
    <t>XTAGFL110LY399372</t>
  </si>
  <si>
    <t>105-38</t>
  </si>
  <si>
    <t>Е495МУ15</t>
  </si>
  <si>
    <t>X8939451CJ0AK5136</t>
  </si>
  <si>
    <t>104-18</t>
  </si>
  <si>
    <t>А260СТ126</t>
  </si>
  <si>
    <t>XTA219010F0330274</t>
  </si>
  <si>
    <t>106-32</t>
  </si>
  <si>
    <t>Е491НТ15</t>
  </si>
  <si>
    <t>X8939451CK0AK5352</t>
  </si>
  <si>
    <t>105-00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</si>
</sst>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#,##0.00\ &quot;₽&quot;"/>
    <numFmt numFmtId="165" formatCode="0.0"/>
    <numFmt numFmtId="166" formatCode="dd/mm/yy;@"/>
  </numFmts>
  <fonts count="46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2"/>
      <color theme="1"/>
      <name val="Arial"/>
      <family val="2"/>
      <charset val="204"/>
    </font>
    <font>
      <sz val="12"/>
      <color rgb="FFFF0000"/>
      <name val="Arial"/>
      <family val="2"/>
      <charset val="204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b/>
      <i/>
      <sz val="12"/>
      <color theme="1"/>
      <name val="Arial"/>
      <family val="2"/>
      <charset val="204"/>
    </font>
    <font>
      <sz val="11"/>
      <color rgb="FF000000"/>
      <name val="Calibri"/>
      <family val="2"/>
    </font>
    <font>
      <b/>
      <i/>
      <sz val="16"/>
      <color rgb="FFFF0000"/>
      <name val="Arial"/>
      <family val="2"/>
      <charset val="204"/>
    </font>
    <font>
      <sz val="28"/>
      <color theme="1"/>
      <name val="Arial"/>
      <family val="2"/>
      <charset val="204"/>
    </font>
    <font>
      <b/>
      <i/>
      <u/>
      <sz val="28"/>
      <color rgb="FF002060"/>
      <name val="Arial"/>
      <family val="2"/>
      <charset val="204"/>
    </font>
    <font>
      <b/>
      <i/>
      <sz val="28"/>
      <color rgb="FFFFC000"/>
      <name val="Arial"/>
      <family val="2"/>
      <charset val="204"/>
    </font>
    <font>
      <b/>
      <i/>
      <u/>
      <sz val="28"/>
      <color rgb="FF7030A0"/>
      <name val="Arial"/>
      <family val="2"/>
      <charset val="204"/>
    </font>
    <font>
      <b/>
      <i/>
      <u/>
      <sz val="16"/>
      <color theme="3" tint="-0.499984740745262"/>
      <name val="Arial"/>
      <family val="2"/>
      <charset val="204"/>
    </font>
    <font>
      <b/>
      <sz val="16"/>
      <color theme="1"/>
      <name val="Arial"/>
      <family val="2"/>
      <charset val="204"/>
    </font>
    <font>
      <b/>
      <i/>
      <u val="singleAccounting"/>
      <sz val="16"/>
      <color theme="1"/>
      <name val="Arial"/>
      <family val="2"/>
      <charset val="204"/>
    </font>
    <font>
      <b/>
      <sz val="14"/>
      <color rgb="FF000000"/>
      <name val="Calibri"/>
      <family val="2"/>
      <charset val="204"/>
    </font>
    <font>
      <b/>
      <i/>
      <sz val="16"/>
      <color rgb="FF000000"/>
      <name val="Calibri"/>
      <family val="2"/>
      <charset val="204"/>
    </font>
    <font>
      <b/>
      <sz val="14"/>
      <color rgb="FFFF0000"/>
      <name val="Arial"/>
      <family val="2"/>
      <charset val="204"/>
    </font>
    <font>
      <b/>
      <i/>
      <sz val="18"/>
      <color rgb="FFFF0000"/>
      <name val="Arial"/>
      <family val="2"/>
      <charset val="204"/>
    </font>
    <font>
      <b/>
      <sz val="14"/>
      <color theme="1"/>
      <name val="Arial"/>
      <family val="2"/>
      <charset val="204"/>
    </font>
    <font>
      <b/>
      <i/>
      <u/>
      <sz val="20"/>
      <color rgb="FF002060"/>
      <name val="Arial"/>
      <family val="2"/>
      <charset val="204"/>
    </font>
    <font>
      <sz val="18"/>
      <color theme="1"/>
      <name val="Arial"/>
      <family val="2"/>
      <charset val="204"/>
    </font>
    <font>
      <b/>
      <i/>
      <sz val="20"/>
      <color rgb="FFFFC000"/>
      <name val="Arial"/>
      <family val="2"/>
      <charset val="204"/>
    </font>
    <font>
      <b/>
      <i/>
      <sz val="18"/>
      <color theme="1"/>
      <name val="Arial"/>
      <family val="2"/>
      <charset val="204"/>
    </font>
    <font>
      <b/>
      <i/>
      <u/>
      <sz val="14"/>
      <color rgb="FF000000"/>
      <name val="Calibri"/>
      <family val="2"/>
      <charset val="204"/>
    </font>
    <font>
      <b/>
      <i/>
      <u/>
      <sz val="20"/>
      <color theme="1"/>
      <name val="Arial"/>
      <family val="2"/>
      <charset val="204"/>
    </font>
    <font>
      <b/>
      <i/>
      <u/>
      <sz val="22"/>
      <color theme="1"/>
      <name val="Arial"/>
      <family val="2"/>
      <charset val="204"/>
    </font>
    <font>
      <b/>
      <sz val="18"/>
      <color rgb="FF000000"/>
      <name val="Calibri"/>
      <family val="2"/>
      <charset val="204"/>
    </font>
    <font>
      <b/>
      <i/>
      <sz val="18"/>
      <color rgb="FF000000"/>
      <name val="Calibri"/>
      <family val="2"/>
      <charset val="204"/>
    </font>
    <font>
      <b/>
      <i/>
      <u/>
      <sz val="24"/>
      <color theme="9" tint="-0.499984740745262"/>
      <name val="Calibri"/>
      <family val="2"/>
      <charset val="204"/>
    </font>
    <font>
      <b/>
      <i/>
      <u/>
      <sz val="24"/>
      <color rgb="FF7030A0"/>
      <name val="Calibri"/>
      <family val="2"/>
      <charset val="204"/>
    </font>
    <font>
      <sz val="22"/>
      <color rgb="FFFF0000"/>
      <name val="Calibri"/>
      <family val="2"/>
    </font>
    <font>
      <b/>
      <sz val="22"/>
      <color theme="1"/>
      <name val="Arial"/>
      <family val="2"/>
      <charset val="204"/>
    </font>
    <font>
      <sz val="22"/>
      <color theme="1"/>
      <name val="Arial"/>
      <family val="2"/>
      <charset val="204"/>
    </font>
    <font>
      <b/>
      <sz val="22"/>
      <color rgb="FF000000"/>
      <name val="Calibri"/>
      <family val="2"/>
      <charset val="204"/>
    </font>
    <font>
      <b/>
      <i/>
      <sz val="22"/>
      <color rgb="FF000000"/>
      <name val="Calibri"/>
      <family val="2"/>
      <charset val="204"/>
    </font>
    <font>
      <b/>
      <i/>
      <u/>
      <sz val="22"/>
      <color rgb="FFFF0000"/>
      <name val="Calibri"/>
      <family val="2"/>
      <charset val="204"/>
    </font>
    <font>
      <sz val="22"/>
      <color rgb="FFFF0000"/>
      <name val="Calibri"/>
      <family val="2"/>
      <charset val="204"/>
    </font>
    <font>
      <sz val="18"/>
      <color rgb="FF000000"/>
      <name val="Calibri"/>
      <family val="2"/>
      <charset val="204"/>
    </font>
    <font>
      <b/>
      <i/>
      <u/>
      <sz val="24"/>
      <color rgb="FF002060"/>
      <name val="Calibri"/>
      <family val="2"/>
      <charset val="204"/>
    </font>
    <font>
      <sz val="22"/>
      <color rgb="FFC00000"/>
      <name val="Calibri"/>
      <family val="2"/>
    </font>
    <font>
      <sz val="8"/>
      <color theme="1"/>
      <name val="Arial"/>
      <family val="2"/>
      <charset val="204"/>
    </font>
    <font>
      <sz val="22"/>
      <color rgb="FFC00000"/>
      <name val="Calibri"/>
      <family val="2"/>
      <charset val="204"/>
    </font>
    <font>
      <sz val="11"/>
      <name val="Aptos Narrow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E2EFDA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rgb="FFE2EFDA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 style="thin">
        <color rgb="FFA9D08E"/>
      </left>
      <right/>
      <top/>
      <bottom style="thin">
        <color rgb="FFA9D08E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50">
    <xf numFmtId="0" fontId="0" fillId="0" borderId="0" xfId="0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1" fontId="4" fillId="2" borderId="0" xfId="0" applyNumberFormat="1" applyFont="1" applyFill="1"/>
    <xf numFmtId="1" fontId="5" fillId="2" borderId="0" xfId="0" applyNumberFormat="1" applyFont="1" applyFill="1"/>
    <xf numFmtId="2" fontId="3" fillId="3" borderId="0" xfId="0" applyNumberFormat="1" applyFont="1" applyFill="1"/>
    <xf numFmtId="44" fontId="6" fillId="3" borderId="0" xfId="1" applyFont="1" applyFill="1"/>
    <xf numFmtId="0" fontId="3" fillId="4" borderId="0" xfId="0" applyFont="1" applyFill="1"/>
    <xf numFmtId="1" fontId="3" fillId="4" borderId="0" xfId="0" applyNumberFormat="1" applyFont="1" applyFill="1"/>
    <xf numFmtId="0" fontId="6" fillId="5" borderId="0" xfId="0" applyFont="1" applyFill="1"/>
    <xf numFmtId="1" fontId="7" fillId="5" borderId="0" xfId="0" applyNumberFormat="1" applyFont="1" applyFill="1"/>
    <xf numFmtId="0" fontId="3" fillId="0" borderId="0" xfId="0" applyFont="1"/>
    <xf numFmtId="0" fontId="8" fillId="6" borderId="1" xfId="3" applyFont="1" applyFill="1" applyBorder="1" applyAlignment="1">
      <alignment horizontal="left"/>
    </xf>
    <xf numFmtId="14" fontId="8" fillId="6" borderId="1" xfId="3" applyNumberFormat="1" applyFont="1" applyFill="1" applyBorder="1" applyAlignment="1">
      <alignment horizontal="left"/>
    </xf>
    <xf numFmtId="1" fontId="4" fillId="2" borderId="2" xfId="0" applyNumberFormat="1" applyFont="1" applyFill="1" applyBorder="1"/>
    <xf numFmtId="1" fontId="4" fillId="2" borderId="3" xfId="0" applyNumberFormat="1" applyFont="1" applyFill="1" applyBorder="1"/>
    <xf numFmtId="1" fontId="5" fillId="2" borderId="4" xfId="0" applyNumberFormat="1" applyFont="1" applyFill="1" applyBorder="1"/>
    <xf numFmtId="2" fontId="3" fillId="3" borderId="5" xfId="0" applyNumberFormat="1" applyFont="1" applyFill="1" applyBorder="1"/>
    <xf numFmtId="2" fontId="3" fillId="3" borderId="6" xfId="0" applyNumberFormat="1" applyFont="1" applyFill="1" applyBorder="1"/>
    <xf numFmtId="44" fontId="6" fillId="4" borderId="7" xfId="1" applyFont="1" applyFill="1" applyBorder="1"/>
    <xf numFmtId="2" fontId="3" fillId="4" borderId="5" xfId="0" applyNumberFormat="1" applyFont="1" applyFill="1" applyBorder="1"/>
    <xf numFmtId="9" fontId="3" fillId="4" borderId="7" xfId="2" applyFont="1" applyFill="1" applyBorder="1"/>
    <xf numFmtId="2" fontId="6" fillId="5" borderId="5" xfId="0" applyNumberFormat="1" applyFont="1" applyFill="1" applyBorder="1"/>
    <xf numFmtId="9" fontId="7" fillId="5" borderId="7" xfId="2" applyFont="1" applyFill="1" applyBorder="1"/>
    <xf numFmtId="0" fontId="8" fillId="0" borderId="1" xfId="3" applyFont="1" applyBorder="1" applyAlignment="1">
      <alignment horizontal="left"/>
    </xf>
    <xf numFmtId="14" fontId="8" fillId="0" borderId="1" xfId="3" applyNumberFormat="1" applyFont="1" applyBorder="1" applyAlignment="1">
      <alignment horizontal="left"/>
    </xf>
    <xf numFmtId="0" fontId="8" fillId="3" borderId="1" xfId="3" applyFont="1" applyFill="1" applyBorder="1" applyAlignment="1">
      <alignment horizontal="left"/>
    </xf>
    <xf numFmtId="0" fontId="8" fillId="7" borderId="1" xfId="3" applyFont="1" applyFill="1" applyBorder="1" applyAlignment="1">
      <alignment horizontal="left"/>
    </xf>
    <xf numFmtId="44" fontId="6" fillId="8" borderId="7" xfId="1" applyFont="1" applyFill="1" applyBorder="1"/>
    <xf numFmtId="44" fontId="6" fillId="9" borderId="7" xfId="1" applyFont="1" applyFill="1" applyBorder="1"/>
    <xf numFmtId="44" fontId="3" fillId="0" borderId="0" xfId="0" applyNumberFormat="1" applyFont="1"/>
    <xf numFmtId="164" fontId="9" fillId="8" borderId="4" xfId="0" applyNumberFormat="1" applyFont="1" applyFill="1" applyBorder="1"/>
    <xf numFmtId="2" fontId="10" fillId="8" borderId="5" xfId="0" applyNumberFormat="1" applyFont="1" applyFill="1" applyBorder="1"/>
    <xf numFmtId="2" fontId="10" fillId="8" borderId="6" xfId="0" applyNumberFormat="1" applyFont="1" applyFill="1" applyBorder="1"/>
    <xf numFmtId="44" fontId="11" fillId="8" borderId="7" xfId="1" applyFont="1" applyFill="1" applyBorder="1"/>
    <xf numFmtId="2" fontId="10" fillId="4" borderId="5" xfId="0" applyNumberFormat="1" applyFont="1" applyFill="1" applyBorder="1"/>
    <xf numFmtId="9" fontId="10" fillId="4" borderId="7" xfId="2" applyFont="1" applyFill="1" applyBorder="1"/>
    <xf numFmtId="44" fontId="12" fillId="8" borderId="5" xfId="1" applyFont="1" applyFill="1" applyBorder="1"/>
    <xf numFmtId="9" fontId="13" fillId="8" borderId="7" xfId="2" applyFont="1" applyFill="1" applyBorder="1"/>
    <xf numFmtId="1" fontId="14" fillId="0" borderId="0" xfId="0" quotePrefix="1" applyNumberFormat="1" applyFont="1"/>
    <xf numFmtId="2" fontId="15" fillId="5" borderId="5" xfId="0" quotePrefix="1" applyNumberFormat="1" applyFont="1" applyFill="1" applyBorder="1"/>
    <xf numFmtId="44" fontId="16" fillId="0" borderId="0" xfId="0" quotePrefix="1" applyNumberFormat="1" applyFont="1" applyAlignment="1">
      <alignment horizontal="left"/>
    </xf>
    <xf numFmtId="9" fontId="3" fillId="0" borderId="0" xfId="2" applyFont="1"/>
    <xf numFmtId="0" fontId="8" fillId="10" borderId="1" xfId="3" applyFont="1" applyFill="1" applyBorder="1" applyAlignment="1">
      <alignment horizontal="left"/>
    </xf>
    <xf numFmtId="0" fontId="17" fillId="6" borderId="1" xfId="3" applyFont="1" applyFill="1" applyBorder="1" applyAlignment="1">
      <alignment horizontal="left"/>
    </xf>
    <xf numFmtId="49" fontId="18" fillId="11" borderId="3" xfId="3" applyNumberFormat="1" applyFont="1" applyFill="1" applyBorder="1" applyAlignment="1">
      <alignment horizontal="left"/>
    </xf>
    <xf numFmtId="1" fontId="19" fillId="2" borderId="2" xfId="0" applyNumberFormat="1" applyFont="1" applyFill="1" applyBorder="1"/>
    <xf numFmtId="1" fontId="19" fillId="2" borderId="3" xfId="0" applyNumberFormat="1" applyFont="1" applyFill="1" applyBorder="1"/>
    <xf numFmtId="1" fontId="20" fillId="2" borderId="4" xfId="0" applyNumberFormat="1" applyFont="1" applyFill="1" applyBorder="1"/>
    <xf numFmtId="2" fontId="21" fillId="3" borderId="5" xfId="0" applyNumberFormat="1" applyFont="1" applyFill="1" applyBorder="1"/>
    <xf numFmtId="2" fontId="21" fillId="3" borderId="6" xfId="0" applyNumberFormat="1" applyFont="1" applyFill="1" applyBorder="1"/>
    <xf numFmtId="44" fontId="22" fillId="9" borderId="7" xfId="1" applyFont="1" applyFill="1" applyBorder="1"/>
    <xf numFmtId="2" fontId="21" fillId="4" borderId="5" xfId="0" applyNumberFormat="1" applyFont="1" applyFill="1" applyBorder="1"/>
    <xf numFmtId="9" fontId="23" fillId="4" borderId="7" xfId="2" applyFont="1" applyFill="1" applyBorder="1"/>
    <xf numFmtId="44" fontId="24" fillId="5" borderId="5" xfId="1" applyFont="1" applyFill="1" applyBorder="1"/>
    <xf numFmtId="9" fontId="25" fillId="5" borderId="7" xfId="2" applyFont="1" applyFill="1" applyBorder="1"/>
    <xf numFmtId="0" fontId="21" fillId="0" borderId="0" xfId="0" quotePrefix="1" applyFont="1"/>
    <xf numFmtId="0" fontId="21" fillId="0" borderId="0" xfId="0" applyFont="1"/>
    <xf numFmtId="49" fontId="18" fillId="3" borderId="3" xfId="3" applyNumberFormat="1" applyFont="1" applyFill="1" applyBorder="1" applyAlignment="1">
      <alignment horizontal="left"/>
    </xf>
    <xf numFmtId="49" fontId="18" fillId="0" borderId="8" xfId="3" applyNumberFormat="1" applyFont="1" applyBorder="1" applyAlignment="1">
      <alignment horizontal="left" vertical="center"/>
    </xf>
    <xf numFmtId="1" fontId="8" fillId="0" borderId="8" xfId="3" applyNumberFormat="1" applyFont="1" applyBorder="1"/>
    <xf numFmtId="0" fontId="8" fillId="0" borderId="8" xfId="3" applyFont="1" applyBorder="1"/>
    <xf numFmtId="2" fontId="3" fillId="0" borderId="0" xfId="0" applyNumberFormat="1" applyFont="1"/>
    <xf numFmtId="49" fontId="18" fillId="12" borderId="3" xfId="3" applyNumberFormat="1" applyFont="1" applyFill="1" applyBorder="1" applyAlignment="1">
      <alignment horizontal="left"/>
    </xf>
    <xf numFmtId="0" fontId="18" fillId="0" borderId="8" xfId="3" applyFont="1" applyBorder="1" applyAlignment="1">
      <alignment horizontal="left" vertical="center"/>
    </xf>
    <xf numFmtId="1" fontId="26" fillId="0" borderId="8" xfId="3" applyNumberFormat="1" applyFont="1" applyBorder="1"/>
    <xf numFmtId="49" fontId="18" fillId="5" borderId="3" xfId="3" applyNumberFormat="1" applyFont="1" applyFill="1" applyBorder="1" applyAlignment="1">
      <alignment horizontal="left"/>
    </xf>
    <xf numFmtId="2" fontId="18" fillId="0" borderId="8" xfId="3" applyNumberFormat="1" applyFont="1" applyBorder="1" applyAlignment="1">
      <alignment horizontal="left" vertical="center"/>
    </xf>
    <xf numFmtId="165" fontId="8" fillId="0" borderId="8" xfId="3" applyNumberFormat="1" applyFont="1" applyBorder="1"/>
    <xf numFmtId="1" fontId="26" fillId="0" borderId="8" xfId="3" applyNumberFormat="1" applyFont="1" applyBorder="1" applyAlignment="1">
      <alignment horizontal="right"/>
    </xf>
    <xf numFmtId="0" fontId="8" fillId="6" borderId="9" xfId="3" applyFont="1" applyFill="1" applyBorder="1" applyAlignment="1">
      <alignment horizontal="left"/>
    </xf>
    <xf numFmtId="49" fontId="18" fillId="10" borderId="3" xfId="3" applyNumberFormat="1" applyFont="1" applyFill="1" applyBorder="1" applyAlignment="1">
      <alignment horizontal="left"/>
    </xf>
    <xf numFmtId="0" fontId="23" fillId="0" borderId="8" xfId="3" applyFont="1" applyBorder="1" applyAlignment="1">
      <alignment horizontal="right" vertical="center"/>
    </xf>
    <xf numFmtId="0" fontId="23" fillId="0" borderId="1" xfId="3" quotePrefix="1" applyFont="1" applyBorder="1" applyAlignment="1">
      <alignment horizontal="right" vertical="center"/>
    </xf>
    <xf numFmtId="2" fontId="8" fillId="0" borderId="8" xfId="3" applyNumberFormat="1" applyFont="1" applyBorder="1"/>
    <xf numFmtId="0" fontId="3" fillId="0" borderId="1" xfId="3" applyFont="1" applyBorder="1" applyAlignment="1">
      <alignment horizontal="right" vertical="center"/>
    </xf>
    <xf numFmtId="0" fontId="27" fillId="3" borderId="10" xfId="3" applyFont="1" applyFill="1" applyBorder="1" applyAlignment="1">
      <alignment horizontal="left" vertical="center"/>
    </xf>
    <xf numFmtId="0" fontId="21" fillId="3" borderId="9" xfId="3" applyFont="1" applyFill="1" applyBorder="1" applyAlignment="1">
      <alignment horizontal="right" vertical="center"/>
    </xf>
    <xf numFmtId="0" fontId="28" fillId="0" borderId="1" xfId="3" applyFont="1" applyBorder="1" applyAlignment="1">
      <alignment horizontal="left" vertical="center"/>
    </xf>
    <xf numFmtId="0" fontId="23" fillId="0" borderId="3" xfId="3" applyFont="1" applyBorder="1" applyAlignment="1">
      <alignment horizontal="right" vertical="center"/>
    </xf>
    <xf numFmtId="0" fontId="23" fillId="0" borderId="3" xfId="3" quotePrefix="1" applyFont="1" applyBorder="1" applyAlignment="1">
      <alignment horizontal="right" vertical="center"/>
    </xf>
    <xf numFmtId="1" fontId="8" fillId="6" borderId="8" xfId="3" applyNumberFormat="1" applyFont="1" applyFill="1" applyBorder="1"/>
    <xf numFmtId="0" fontId="8" fillId="6" borderId="8" xfId="3" applyFont="1" applyFill="1" applyBorder="1"/>
    <xf numFmtId="44" fontId="29" fillId="0" borderId="1" xfId="3" applyNumberFormat="1" applyFont="1" applyBorder="1" applyAlignment="1">
      <alignment horizontal="left"/>
    </xf>
    <xf numFmtId="44" fontId="30" fillId="0" borderId="10" xfId="3" applyNumberFormat="1" applyFont="1" applyBorder="1" applyAlignment="1">
      <alignment horizontal="right"/>
    </xf>
    <xf numFmtId="44" fontId="31" fillId="0" borderId="10" xfId="3" applyNumberFormat="1" applyFont="1" applyBorder="1" applyAlignment="1">
      <alignment horizontal="right"/>
    </xf>
    <xf numFmtId="44" fontId="32" fillId="0" borderId="10" xfId="3" applyNumberFormat="1" applyFont="1" applyBorder="1" applyAlignment="1">
      <alignment horizontal="right"/>
    </xf>
    <xf numFmtId="44" fontId="33" fillId="6" borderId="1" xfId="3" applyNumberFormat="1" applyFont="1" applyFill="1" applyBorder="1" applyAlignment="1">
      <alignment horizontal="left"/>
    </xf>
    <xf numFmtId="0" fontId="27" fillId="3" borderId="1" xfId="3" applyFont="1" applyFill="1" applyBorder="1" applyAlignment="1">
      <alignment horizontal="left" vertical="center"/>
    </xf>
    <xf numFmtId="14" fontId="8" fillId="6" borderId="8" xfId="3" applyNumberFormat="1" applyFont="1" applyFill="1" applyBorder="1"/>
    <xf numFmtId="0" fontId="8" fillId="6" borderId="8" xfId="3" applyFont="1" applyFill="1" applyBorder="1" applyAlignment="1">
      <alignment horizontal="right"/>
    </xf>
    <xf numFmtId="14" fontId="8" fillId="0" borderId="8" xfId="3" applyNumberFormat="1" applyFont="1" applyBorder="1"/>
    <xf numFmtId="0" fontId="8" fillId="0" borderId="8" xfId="3" applyFont="1" applyBorder="1" applyAlignment="1">
      <alignment horizontal="right"/>
    </xf>
    <xf numFmtId="0" fontId="28" fillId="3" borderId="1" xfId="3" applyFont="1" applyFill="1" applyBorder="1" applyAlignment="1">
      <alignment horizontal="left" vertical="center"/>
    </xf>
    <xf numFmtId="0" fontId="34" fillId="3" borderId="9" xfId="3" applyFont="1" applyFill="1" applyBorder="1" applyAlignment="1">
      <alignment horizontal="right" vertical="center"/>
    </xf>
    <xf numFmtId="0" fontId="35" fillId="0" borderId="3" xfId="3" applyFont="1" applyBorder="1" applyAlignment="1">
      <alignment horizontal="right" vertical="center"/>
    </xf>
    <xf numFmtId="0" fontId="35" fillId="0" borderId="3" xfId="3" quotePrefix="1" applyFont="1" applyBorder="1" applyAlignment="1">
      <alignment horizontal="right" vertical="center"/>
    </xf>
    <xf numFmtId="44" fontId="36" fillId="0" borderId="1" xfId="3" applyNumberFormat="1" applyFont="1" applyBorder="1" applyAlignment="1">
      <alignment horizontal="left"/>
    </xf>
    <xf numFmtId="44" fontId="37" fillId="0" borderId="10" xfId="3" applyNumberFormat="1" applyFont="1" applyBorder="1" applyAlignment="1">
      <alignment horizontal="right"/>
    </xf>
    <xf numFmtId="14" fontId="3" fillId="0" borderId="1" xfId="3" applyNumberFormat="1" applyFont="1" applyBorder="1" applyAlignment="1">
      <alignment horizontal="right" vertical="center"/>
    </xf>
    <xf numFmtId="0" fontId="23" fillId="0" borderId="1" xfId="3" applyFont="1" applyBorder="1" applyAlignment="1">
      <alignment horizontal="right" vertical="center"/>
    </xf>
    <xf numFmtId="44" fontId="37" fillId="0" borderId="1" xfId="3" applyNumberFormat="1" applyFont="1" applyBorder="1" applyAlignment="1">
      <alignment horizontal="right"/>
    </xf>
    <xf numFmtId="44" fontId="38" fillId="0" borderId="1" xfId="3" applyNumberFormat="1" applyFont="1" applyBorder="1" applyAlignment="1">
      <alignment horizontal="right"/>
    </xf>
    <xf numFmtId="44" fontId="39" fillId="6" borderId="1" xfId="3" applyNumberFormat="1" applyFont="1" applyFill="1" applyBorder="1" applyAlignment="1">
      <alignment horizontal="left"/>
    </xf>
    <xf numFmtId="0" fontId="40" fillId="0" borderId="1" xfId="3" applyFont="1" applyBorder="1" applyAlignment="1">
      <alignment horizontal="left"/>
    </xf>
    <xf numFmtId="0" fontId="8" fillId="8" borderId="1" xfId="3" applyFont="1" applyFill="1" applyBorder="1" applyAlignment="1">
      <alignment horizontal="left"/>
    </xf>
    <xf numFmtId="44" fontId="41" fillId="0" borderId="10" xfId="3" applyNumberFormat="1" applyFont="1" applyBorder="1" applyAlignment="1">
      <alignment horizontal="right"/>
    </xf>
    <xf numFmtId="44" fontId="33" fillId="0" borderId="1" xfId="3" applyNumberFormat="1" applyFont="1" applyBorder="1" applyAlignment="1">
      <alignment horizontal="left"/>
    </xf>
    <xf numFmtId="44" fontId="42" fillId="0" borderId="1" xfId="3" applyNumberFormat="1" applyFont="1" applyBorder="1" applyAlignment="1">
      <alignment horizontal="left"/>
    </xf>
    <xf numFmtId="1" fontId="3" fillId="0" borderId="0" xfId="0" applyNumberFormat="1" applyFont="1" applyAlignment="1">
      <alignment horizontal="center"/>
    </xf>
    <xf numFmtId="0" fontId="43" fillId="0" borderId="0" xfId="0" applyFont="1"/>
    <xf numFmtId="0" fontId="3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44" fontId="39" fillId="0" borderId="1" xfId="3" applyNumberFormat="1" applyFont="1" applyBorder="1" applyAlignment="1">
      <alignment horizontal="left"/>
    </xf>
    <xf numFmtId="44" fontId="44" fillId="0" borderId="1" xfId="3" applyNumberFormat="1" applyFont="1" applyBorder="1" applyAlignment="1">
      <alignment horizontal="left"/>
    </xf>
    <xf numFmtId="2" fontId="8" fillId="6" borderId="1" xfId="3" applyNumberFormat="1" applyFont="1" applyFill="1" applyBorder="1" applyAlignment="1">
      <alignment horizontal="left"/>
    </xf>
    <xf numFmtId="1" fontId="8" fillId="6" borderId="1" xfId="3" applyNumberFormat="1" applyFont="1" applyFill="1" applyBorder="1"/>
    <xf numFmtId="2" fontId="8" fillId="0" borderId="1" xfId="3" applyNumberFormat="1" applyFont="1" applyBorder="1" applyAlignment="1">
      <alignment horizontal="left"/>
    </xf>
    <xf numFmtId="1" fontId="8" fillId="0" borderId="1" xfId="3" applyNumberFormat="1" applyFont="1" applyBorder="1"/>
    <xf numFmtId="1" fontId="8" fillId="6" borderId="1" xfId="3" applyNumberFormat="1" applyFont="1" applyFill="1" applyBorder="1" applyAlignment="1">
      <alignment horizontal="left"/>
    </xf>
    <xf numFmtId="1" fontId="8" fillId="0" borderId="1" xfId="3" applyNumberFormat="1" applyFont="1" applyBorder="1" applyAlignment="1">
      <alignment horizontal="left"/>
    </xf>
    <xf numFmtId="1" fontId="3" fillId="0" borderId="0" xfId="0" applyNumberFormat="1" applyFont="1" applyAlignment="1">
      <alignment horizontal="left"/>
    </xf>
    <xf numFmtId="1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44" fontId="6" fillId="0" borderId="0" xfId="1" applyFont="1" applyFill="1"/>
    <xf numFmtId="0" fontId="6" fillId="0" borderId="0" xfId="0" applyFont="1"/>
    <xf numFmtId="1" fontId="7" fillId="0" borderId="0" xfId="0" applyNumberFormat="1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/>
    </xf>
    <xf numFmtId="0" fontId="0" fillId="13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/>
    <xf numFmtId="0" fontId="45" fillId="0" borderId="3" xfId="0" applyFont="1" applyBorder="1" applyAlignment="1">
      <alignment horizontal="center" vertical="center"/>
    </xf>
    <xf numFmtId="4" fontId="2" fillId="0" borderId="3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45" fillId="0" borderId="3" xfId="0" applyFon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166" fontId="0" fillId="0" borderId="0" xfId="0" applyNumberFormat="1"/>
  </cellXfs>
  <cellStyles count="4">
    <cellStyle name="Денежный" xfId="1" builtinId="4"/>
    <cellStyle name="Обычный" xfId="0" builtinId="0"/>
    <cellStyle name="Обычный 2 2" xfId="3" xr:uid="{E09CBF31-BCFE-47B8-BB88-8E1D8B601618}"/>
    <cellStyle name="Процентный" xfId="2" builtinId="5"/>
  </cellStyles>
  <dxfs count="6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rgb="FF92D050"/>
        </patternFill>
      </fill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6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.xlsx" TargetMode="External"/><Relationship Id="rId2" Type="http://schemas.openxmlformats.org/officeDocument/2006/relationships/externalLinkPath" Target="file:///L:\PROject\SysW\report.xlsx" TargetMode="External"/><Relationship Id="rId1" Type="http://schemas.openxmlformats.org/officeDocument/2006/relationships/externalLinkPath" Target="/PROject/SysW/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M"/>
      <sheetName val="001"/>
      <sheetName val="2M"/>
      <sheetName val="report"/>
      <sheetName val="spisok"/>
      <sheetName val="645"/>
      <sheetName val="158"/>
      <sheetName val="TANK M083277"/>
      <sheetName val="62"/>
      <sheetName val="516"/>
      <sheetName val="333"/>
      <sheetName val="312"/>
      <sheetName val="782"/>
      <sheetName val="72"/>
      <sheetName val="459"/>
      <sheetName val="778"/>
      <sheetName val="0629"/>
      <sheetName val="0774"/>
      <sheetName val="153"/>
      <sheetName val="228"/>
      <sheetName val="0629 (2)"/>
      <sheetName val="531"/>
      <sheetName val="678"/>
      <sheetName val="261"/>
      <sheetName val="419"/>
      <sheetName val="546"/>
      <sheetName val="506"/>
      <sheetName val="956"/>
      <sheetName val="091"/>
      <sheetName val="273"/>
      <sheetName val="301"/>
      <sheetName val="488"/>
      <sheetName val="560"/>
      <sheetName val="778 (2)"/>
      <sheetName val="488 (2)"/>
      <sheetName val="301 (2)"/>
      <sheetName val="787"/>
      <sheetName val="725"/>
      <sheetName val="722"/>
      <sheetName val="678 (2)"/>
      <sheetName val="723"/>
      <sheetName val="0708"/>
      <sheetName val="154"/>
      <sheetName val="312 (2)"/>
      <sheetName val="833 (2)"/>
      <sheetName val="211"/>
    </sheetNames>
    <sheetDataSet>
      <sheetData sheetId="0"/>
      <sheetData sheetId="1"/>
      <sheetData sheetId="2"/>
      <sheetData sheetId="3"/>
      <sheetData sheetId="4">
        <row r="2">
          <cell r="B2" t="str">
            <v>УАЗ UAZ PATRIOT 3163</v>
          </cell>
          <cell r="C2" t="str">
            <v>О201МК126</v>
          </cell>
          <cell r="D2" t="str">
            <v>XTT316300R1000091</v>
          </cell>
          <cell r="E2" t="str">
            <v>106-81</v>
          </cell>
          <cell r="F2">
            <v>2023</v>
          </cell>
          <cell r="G2">
            <v>4116</v>
          </cell>
          <cell r="H2">
            <v>46174</v>
          </cell>
        </row>
        <row r="3">
          <cell r="B3" t="str">
            <v>LADA VESTA GFL110</v>
          </cell>
          <cell r="C3" t="str">
            <v>Е833ОЕ15</v>
          </cell>
          <cell r="D3" t="str">
            <v>XTAGFL110LY378838</v>
          </cell>
          <cell r="E3" t="str">
            <v>104-61</v>
          </cell>
          <cell r="F3">
            <v>2019</v>
          </cell>
          <cell r="G3">
            <v>237856</v>
          </cell>
          <cell r="H3">
            <v>46175</v>
          </cell>
        </row>
        <row r="4">
          <cell r="B4" t="str">
            <v>ЕСАУЛ 394511-03</v>
          </cell>
          <cell r="C4" t="str">
            <v>В723УУ15</v>
          </cell>
          <cell r="D4" t="str">
            <v>X8939451CG0AK5370</v>
          </cell>
          <cell r="E4" t="str">
            <v>103-30</v>
          </cell>
          <cell r="F4">
            <v>2016</v>
          </cell>
          <cell r="G4">
            <v>142626</v>
          </cell>
          <cell r="H4">
            <v>46175</v>
          </cell>
        </row>
        <row r="5">
          <cell r="B5" t="str">
            <v>LADA VESTA GFL110</v>
          </cell>
          <cell r="C5" t="str">
            <v>Е378ОУ15</v>
          </cell>
          <cell r="D5" t="str">
            <v>XTAGFL110LY443715</v>
          </cell>
          <cell r="E5" t="str">
            <v>105-48</v>
          </cell>
          <cell r="F5">
            <v>2020</v>
          </cell>
          <cell r="G5">
            <v>209733</v>
          </cell>
          <cell r="H5">
            <v>46176</v>
          </cell>
        </row>
        <row r="6">
          <cell r="B6" t="str">
            <v>ЕСАУЛ 394511-03</v>
          </cell>
          <cell r="C6" t="str">
            <v>Е506НТ15</v>
          </cell>
          <cell r="D6" t="str">
            <v>X8939451CK0AK5346</v>
          </cell>
          <cell r="E6" t="str">
            <v>104-91</v>
          </cell>
          <cell r="F6">
            <v>2019</v>
          </cell>
          <cell r="G6">
            <v>138364</v>
          </cell>
          <cell r="H6">
            <v>46176</v>
          </cell>
        </row>
        <row r="7">
          <cell r="B7" t="str">
            <v>LADA VESTA GFL110</v>
          </cell>
          <cell r="C7" t="str">
            <v>В211ОХ15</v>
          </cell>
          <cell r="D7" t="str">
            <v>XTAGFL110JY197249</v>
          </cell>
          <cell r="E7" t="str">
            <v>103-75</v>
          </cell>
          <cell r="F7">
            <v>2018</v>
          </cell>
          <cell r="G7">
            <v>320689</v>
          </cell>
          <cell r="H7">
            <v>46176</v>
          </cell>
        </row>
        <row r="8">
          <cell r="B8" t="str">
            <v>TOYOTA CAMRY ASV70L-RE</v>
          </cell>
          <cell r="C8" t="str">
            <v>Е778РА15</v>
          </cell>
          <cell r="D8" t="str">
            <v>XW7BF4HK905167068</v>
          </cell>
          <cell r="E8" t="str">
            <v>106-39</v>
          </cell>
          <cell r="F8">
            <v>2020</v>
          </cell>
          <cell r="G8">
            <v>40010</v>
          </cell>
          <cell r="H8">
            <v>46176</v>
          </cell>
        </row>
        <row r="9">
          <cell r="B9" t="str">
            <v>ЛАДА ГРАНТА 219010</v>
          </cell>
          <cell r="C9" t="str">
            <v>А287АР126</v>
          </cell>
          <cell r="D9" t="str">
            <v>XTA219010E0256411</v>
          </cell>
          <cell r="E9" t="str">
            <v>106-34</v>
          </cell>
          <cell r="F9">
            <v>2014</v>
          </cell>
          <cell r="G9">
            <v>356419</v>
          </cell>
          <cell r="H9">
            <v>46177</v>
          </cell>
        </row>
        <row r="10">
          <cell r="B10" t="str">
            <v>LADA 4x4 213100</v>
          </cell>
          <cell r="C10" t="str">
            <v>О 0708/15</v>
          </cell>
          <cell r="D10" t="str">
            <v>XTA213100L0213886</v>
          </cell>
          <cell r="E10" t="str">
            <v>104-90</v>
          </cell>
          <cell r="F10">
            <v>2019</v>
          </cell>
          <cell r="G10">
            <v>126256</v>
          </cell>
          <cell r="H10">
            <v>46177</v>
          </cell>
        </row>
        <row r="11">
          <cell r="B11" t="str">
            <v>LADA PRIORA 217050</v>
          </cell>
          <cell r="C11" t="str">
            <v>Т158АЕ15</v>
          </cell>
          <cell r="D11" t="str">
            <v>XTA217050G0529350</v>
          </cell>
          <cell r="E11" t="str">
            <v>102-89</v>
          </cell>
          <cell r="F11">
            <v>2015</v>
          </cell>
          <cell r="G11">
            <v>275410</v>
          </cell>
          <cell r="H11">
            <v>46177</v>
          </cell>
        </row>
        <row r="12">
          <cell r="B12" t="str">
            <v>ТОЙОТА КАМРИ</v>
          </cell>
          <cell r="C12" t="str">
            <v>Е898НТ15</v>
          </cell>
          <cell r="D12" t="str">
            <v>XW7BF4FK10S155841</v>
          </cell>
          <cell r="E12" t="str">
            <v>103-69</v>
          </cell>
          <cell r="F12">
            <v>2017</v>
          </cell>
          <cell r="G12">
            <v>176666</v>
          </cell>
          <cell r="H12">
            <v>46177</v>
          </cell>
        </row>
        <row r="13">
          <cell r="B13" t="str">
            <v>УАЗ 396221 3163</v>
          </cell>
          <cell r="C13" t="str">
            <v>Е312РА15</v>
          </cell>
          <cell r="D13" t="str">
            <v>XTT316300M1002503</v>
          </cell>
          <cell r="E13" t="str">
            <v>105-57</v>
          </cell>
          <cell r="F13">
            <v>2020</v>
          </cell>
          <cell r="G13">
            <v>108974</v>
          </cell>
          <cell r="H13">
            <v>46178</v>
          </cell>
        </row>
        <row r="14">
          <cell r="B14" t="str">
            <v>ЕСАУЛ 394511-03</v>
          </cell>
          <cell r="C14" t="str">
            <v>Е368НТ15</v>
          </cell>
          <cell r="D14" t="str">
            <v>X8939451CK0AK5323</v>
          </cell>
          <cell r="E14" t="str">
            <v>104-95</v>
          </cell>
          <cell r="F14">
            <v>2019</v>
          </cell>
          <cell r="G14">
            <v>138585</v>
          </cell>
          <cell r="H14">
            <v>46178</v>
          </cell>
        </row>
        <row r="15">
          <cell r="B15" t="str">
            <v>ЕСАУЛ 394511-03</v>
          </cell>
          <cell r="C15" t="str">
            <v>Е546НТ15</v>
          </cell>
          <cell r="D15" t="str">
            <v>X8939451CK0AK5318</v>
          </cell>
          <cell r="E15" t="str">
            <v>104-96</v>
          </cell>
          <cell r="F15">
            <v>2019</v>
          </cell>
          <cell r="G15">
            <v>132853</v>
          </cell>
          <cell r="H15">
            <v>46178</v>
          </cell>
        </row>
        <row r="16">
          <cell r="B16" t="str">
            <v>ГАЗ 27322Е</v>
          </cell>
          <cell r="C16" t="str">
            <v>О0775/15</v>
          </cell>
          <cell r="D16" t="str">
            <v>XUY27322EL0000276</v>
          </cell>
          <cell r="E16" t="str">
            <v>105-62</v>
          </cell>
          <cell r="F16">
            <v>2020</v>
          </cell>
          <cell r="G16">
            <v>159663</v>
          </cell>
          <cell r="H16">
            <v>46178</v>
          </cell>
        </row>
        <row r="17">
          <cell r="B17" t="str">
            <v>ГАЗ 38406L</v>
          </cell>
          <cell r="C17" t="str">
            <v>М0629/15</v>
          </cell>
          <cell r="D17" t="str">
            <v>Z8X38406LD0000147</v>
          </cell>
          <cell r="E17" t="str">
            <v>100-68</v>
          </cell>
          <cell r="F17">
            <v>2013</v>
          </cell>
          <cell r="G17">
            <v>201139</v>
          </cell>
          <cell r="H17">
            <v>46179</v>
          </cell>
        </row>
        <row r="18">
          <cell r="B18" t="str">
            <v>LADA GRANTA 219010</v>
          </cell>
          <cell r="C18" t="str">
            <v>А722НА15</v>
          </cell>
          <cell r="D18" t="str">
            <v>XTA219010M0770129</v>
          </cell>
          <cell r="E18" t="str">
            <v>105-89</v>
          </cell>
          <cell r="F18">
            <v>2021</v>
          </cell>
          <cell r="G18">
            <v>192073</v>
          </cell>
          <cell r="H18">
            <v>46179</v>
          </cell>
        </row>
        <row r="19">
          <cell r="B19" t="str">
            <v>HAVAL F7 CC6475UM09C</v>
          </cell>
          <cell r="C19" t="str">
            <v>Е985ЕН15</v>
          </cell>
          <cell r="D19" t="str">
            <v>XZGEF04A4PA351278</v>
          </cell>
          <cell r="E19" t="str">
            <v>106-74</v>
          </cell>
          <cell r="F19">
            <v>2023</v>
          </cell>
          <cell r="G19">
            <v>22625</v>
          </cell>
          <cell r="H19">
            <v>46179</v>
          </cell>
        </row>
        <row r="20">
          <cell r="B20" t="str">
            <v>LADA VESTA GFL110</v>
          </cell>
          <cell r="C20" t="str">
            <v>Е154РА15</v>
          </cell>
          <cell r="D20" t="str">
            <v>XTAGFL110LY443716</v>
          </cell>
          <cell r="E20" t="str">
            <v>105-53</v>
          </cell>
          <cell r="F20">
            <v>2020</v>
          </cell>
          <cell r="G20">
            <v>162007</v>
          </cell>
          <cell r="H20">
            <v>46179</v>
          </cell>
        </row>
        <row r="21">
          <cell r="B21" t="str">
            <v>ГАЗ 2705</v>
          </cell>
          <cell r="C21" t="str">
            <v>В645ОТ15</v>
          </cell>
          <cell r="D21" t="str">
            <v>X96270500H0824002</v>
          </cell>
          <cell r="E21" t="str">
            <v>103-68</v>
          </cell>
          <cell r="F21">
            <v>2016</v>
          </cell>
          <cell r="G21">
            <v>137401</v>
          </cell>
          <cell r="H21">
            <v>46181</v>
          </cell>
        </row>
        <row r="22">
          <cell r="B22" t="str">
            <v>TOYOTA CAMRY GSV70L-REZ</v>
          </cell>
          <cell r="C22" t="str">
            <v>Е301ОУ15</v>
          </cell>
          <cell r="D22" t="str">
            <v>XW7BZYHK50S111563</v>
          </cell>
          <cell r="E22" t="str">
            <v>105-43</v>
          </cell>
          <cell r="F22">
            <v>2020</v>
          </cell>
          <cell r="G22">
            <v>35665</v>
          </cell>
          <cell r="H22">
            <v>46181</v>
          </cell>
        </row>
        <row r="23">
          <cell r="B23" t="str">
            <v>РЕНО ДАСТЕР</v>
          </cell>
          <cell r="C23" t="str">
            <v>В391ОХ15</v>
          </cell>
          <cell r="D23" t="str">
            <v>X7LHSRHGN59704684</v>
          </cell>
          <cell r="E23" t="str">
            <v>103-79</v>
          </cell>
          <cell r="F23">
            <v>2018</v>
          </cell>
          <cell r="G23">
            <v>142653</v>
          </cell>
          <cell r="H23">
            <v>46182</v>
          </cell>
        </row>
        <row r="24">
          <cell r="B24" t="str">
            <v>ФОРД EXPLORER</v>
          </cell>
          <cell r="C24" t="str">
            <v>Е409РС15</v>
          </cell>
          <cell r="D24" t="str">
            <v>Z6FBXXESWBES15416</v>
          </cell>
          <cell r="E24" t="str">
            <v>101-31</v>
          </cell>
          <cell r="F24">
            <v>2014</v>
          </cell>
          <cell r="G24">
            <v>344213</v>
          </cell>
          <cell r="H24">
            <v>46182</v>
          </cell>
        </row>
        <row r="25">
          <cell r="B25" t="str">
            <v>ЛАДА 213100</v>
          </cell>
          <cell r="C25" t="str">
            <v>А678ХМ126</v>
          </cell>
          <cell r="D25" t="str">
            <v>XTA213100F0171867</v>
          </cell>
          <cell r="E25" t="str">
            <v>106-62</v>
          </cell>
          <cell r="F25">
            <v>2015</v>
          </cell>
          <cell r="G25">
            <v>242508</v>
          </cell>
          <cell r="H25">
            <v>46182</v>
          </cell>
        </row>
        <row r="26">
          <cell r="B26" t="str">
            <v>KIA XM FL (SORENTO)</v>
          </cell>
          <cell r="C26" t="str">
            <v>О0774/15</v>
          </cell>
          <cell r="D26" t="str">
            <v>XWEKU811DKC024995</v>
          </cell>
          <cell r="E26" t="str">
            <v>105-55</v>
          </cell>
          <cell r="F26">
            <v>2020</v>
          </cell>
          <cell r="G26">
            <v>21782</v>
          </cell>
          <cell r="H26">
            <v>46182</v>
          </cell>
        </row>
        <row r="27">
          <cell r="B27" t="str">
            <v>ТОЙОТА КАМРИ</v>
          </cell>
          <cell r="C27" t="str">
            <v>А333НА15</v>
          </cell>
          <cell r="D27" t="str">
            <v>XW7BF4HK10S150796</v>
          </cell>
          <cell r="E27" t="str">
            <v>104-73</v>
          </cell>
          <cell r="F27">
            <v>2019</v>
          </cell>
          <cell r="G27">
            <v>232858</v>
          </cell>
          <cell r="H27">
            <v>46183</v>
          </cell>
        </row>
        <row r="28">
          <cell r="B28" t="str">
            <v>ХЕНДЭ СОЛЯРИС</v>
          </cell>
          <cell r="C28" t="str">
            <v>В201УВ15</v>
          </cell>
          <cell r="D28" t="str">
            <v>Z94CU41DBFR426306</v>
          </cell>
          <cell r="E28" t="str">
            <v>102-63</v>
          </cell>
          <cell r="F28">
            <v>2015</v>
          </cell>
          <cell r="G28">
            <v>365954</v>
          </cell>
          <cell r="H28">
            <v>46183</v>
          </cell>
        </row>
        <row r="29">
          <cell r="B29" t="str">
            <v>LADA GRANTA 219010</v>
          </cell>
          <cell r="C29" t="str">
            <v>Е559НТ15</v>
          </cell>
          <cell r="D29" t="str">
            <v>XTA219010L0668690</v>
          </cell>
          <cell r="E29" t="str">
            <v>105-10</v>
          </cell>
          <cell r="F29">
            <v>2019</v>
          </cell>
          <cell r="G29">
            <v>230918</v>
          </cell>
          <cell r="H29">
            <v>46183</v>
          </cell>
        </row>
        <row r="30">
          <cell r="B30" t="str">
            <v>LADA VESTA GFL110</v>
          </cell>
          <cell r="C30" t="str">
            <v>А725НА15</v>
          </cell>
          <cell r="D30" t="str">
            <v>XTAGFL110MY545270</v>
          </cell>
          <cell r="E30" t="str">
            <v>106-01</v>
          </cell>
          <cell r="F30">
            <v>2021</v>
          </cell>
          <cell r="G30">
            <v>217051</v>
          </cell>
          <cell r="H30">
            <v>46184</v>
          </cell>
        </row>
        <row r="31">
          <cell r="B31" t="str">
            <v>УАЗ ПАТРИОТ</v>
          </cell>
          <cell r="C31" t="str">
            <v>В787ОХ15</v>
          </cell>
          <cell r="D31" t="str">
            <v>XTT316300J1023444</v>
          </cell>
          <cell r="E31" t="str">
            <v>103-91</v>
          </cell>
          <cell r="F31">
            <v>2018</v>
          </cell>
          <cell r="G31">
            <v>232487</v>
          </cell>
          <cell r="H31">
            <v>46184</v>
          </cell>
        </row>
        <row r="32">
          <cell r="B32" t="str">
            <v>ЛАДА 213100 4х4</v>
          </cell>
          <cell r="C32" t="str">
            <v>В473ЕР126</v>
          </cell>
          <cell r="D32" t="str">
            <v>XTA213100G0177506</v>
          </cell>
          <cell r="E32" t="str">
            <v>106-63</v>
          </cell>
          <cell r="F32">
            <v>2015</v>
          </cell>
          <cell r="G32">
            <v>283293</v>
          </cell>
          <cell r="H32">
            <v>46184</v>
          </cell>
        </row>
        <row r="33">
          <cell r="B33" t="str">
            <v>VOLKSWAGEN MULTIVEN</v>
          </cell>
          <cell r="C33" t="str">
            <v>С488ВС15</v>
          </cell>
          <cell r="D33" t="str">
            <v>XW8ZZZ7HZDG001346</v>
          </cell>
          <cell r="E33" t="str">
            <v>101-90</v>
          </cell>
          <cell r="F33">
            <v>2013</v>
          </cell>
          <cell r="G33">
            <v>302107</v>
          </cell>
          <cell r="H33">
            <v>46184</v>
          </cell>
        </row>
        <row r="34">
          <cell r="B34" t="str">
            <v>ЕСАУЛ 394511-03</v>
          </cell>
          <cell r="C34" t="str">
            <v>Е368НТ15</v>
          </cell>
          <cell r="D34" t="str">
            <v>X8939451CK0AK5323</v>
          </cell>
          <cell r="E34" t="str">
            <v>104-95</v>
          </cell>
          <cell r="F34">
            <v>2019</v>
          </cell>
          <cell r="G34">
            <v>139503</v>
          </cell>
          <cell r="H34">
            <v>46185</v>
          </cell>
        </row>
      </sheetData>
      <sheetData sheetId="5"/>
      <sheetData sheetId="6"/>
      <sheetData sheetId="7">
        <row r="9">
          <cell r="H9" t="str">
            <v>5 000,00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685E67-567D-444E-B799-329AFF3807E4}" name="Таблица6" displayName="Таблица6" ref="A2:AD524" headerRowCount="0" totalsRowShown="0" headerRowDxfId="60">
  <tableColumns count="30">
    <tableColumn id="1" xr3:uid="{71A91D83-436B-4BCE-830C-9AB70852D5FA}" name="Столбец1" headerRowDxfId="59" dataDxfId="58"/>
    <tableColumn id="2" xr3:uid="{B8522811-EDBD-4027-BEAD-65C10F9338D5}" name="Столбец2" headerRowDxfId="57" dataDxfId="56"/>
    <tableColumn id="3" xr3:uid="{7D42FCB4-1B11-4EA8-8D15-A3ABB8CD3F54}" name="Столбец3" headerRowDxfId="55" dataDxfId="54"/>
    <tableColumn id="4" xr3:uid="{3FD0A68E-A8AF-44D2-B75B-C9D2C54B9BDC}" name="Столбец4" headerRowDxfId="53" dataDxfId="52"/>
    <tableColumn id="5" xr3:uid="{5F059C5C-A018-46A5-9B61-D8DB58777353}" name="Столбец5" headerRowDxfId="51" dataDxfId="50"/>
    <tableColumn id="6" xr3:uid="{A2D6C743-B145-4A05-B600-6E4BC05A2B31}" name="Столбец6" headerRowDxfId="49" dataDxfId="48"/>
    <tableColumn id="7" xr3:uid="{94C6C763-4B0A-4F9C-8113-F032390C5B53}" name="Столбец7" headerRowDxfId="47" dataDxfId="46"/>
    <tableColumn id="8" xr3:uid="{821D7DDC-6EEA-4D20-9F46-6B438E0A9925}" name="Столбец8" headerRowDxfId="45" dataDxfId="44"/>
    <tableColumn id="9" xr3:uid="{E78DC3F7-6D17-453C-9728-96CDE2CD0285}" name="Столбец9" headerRowDxfId="43" dataDxfId="42"/>
    <tableColumn id="10" xr3:uid="{C0F47DBE-7EB9-4BAA-9B13-61C0556459E7}" name="Столбец10" headerRowDxfId="41" dataDxfId="40"/>
    <tableColumn id="24" xr3:uid="{18BC0978-4EB8-4630-9079-8FCD4E675151}" name="Столбец24" headerRowDxfId="39" dataDxfId="38"/>
    <tableColumn id="23" xr3:uid="{91666D84-060A-4A85-A27C-BEC571507139}" name="Столбец23" headerRowDxfId="37" dataDxfId="36"/>
    <tableColumn id="25" xr3:uid="{EC95AB9E-2C07-4F29-A90A-E7698CFFC781}" name="Столбец25" headerRowDxfId="35" dataDxfId="34"/>
    <tableColumn id="11" xr3:uid="{4A6AA5C2-937B-44FC-858B-301A138E08CF}" name="Столбец11" headerRowDxfId="33" dataDxfId="32"/>
    <tableColumn id="12" xr3:uid="{5A35012F-62C8-4BA3-B537-30C9F7809D0F}" name="Столбец12" headerRowDxfId="31" dataDxfId="30"/>
    <tableColumn id="13" xr3:uid="{B8FA6387-38B9-4AF0-B217-50A1B72937E1}" name="Столбец13" headerRowDxfId="29" dataDxfId="28"/>
    <tableColumn id="14" xr3:uid="{803AC2F4-193D-48C3-8C55-2F51616F0B04}" name="Столбец14" headerRowDxfId="27" dataDxfId="26"/>
    <tableColumn id="15" xr3:uid="{42DEDA60-B672-4CC4-B90F-0FD42734EC09}" name="Столбец15" headerRowDxfId="25" dataDxfId="24"/>
    <tableColumn id="16" xr3:uid="{761EA837-128C-43D7-A242-6D25DF500BA2}" name="Столбец16" headerRowDxfId="23" dataDxfId="22" dataCellStyle="Денежный"/>
    <tableColumn id="17" xr3:uid="{92C0A5D8-26AB-4886-A0E5-EFF5890446E7}" name="Столбец17" headerRowDxfId="21" dataDxfId="20"/>
    <tableColumn id="18" xr3:uid="{3E735675-5BDE-4EB1-8EE7-5851C5784F10}" name="Столбец18" headerRowDxfId="19" dataDxfId="18"/>
    <tableColumn id="19" xr3:uid="{7DDD2CC4-79E6-4835-927A-4978D50C0B2A}" name="Столбец19" headerRowDxfId="17" dataDxfId="16"/>
    <tableColumn id="20" xr3:uid="{B22AADC9-BE43-487E-B1F3-591C727C04F8}" name="Столбец20" headerRowDxfId="15" dataDxfId="14"/>
    <tableColumn id="21" xr3:uid="{87207DFF-52D6-48BD-9907-A96E2323C3A3}" name="Столбец21" headerRowDxfId="13" dataDxfId="12"/>
    <tableColumn id="22" xr3:uid="{6CF9613E-3EC3-4F5B-B624-10B599A9A695}" name="Столбец22" headerRowDxfId="11" dataDxfId="10"/>
    <tableColumn id="26" xr3:uid="{9C67DDCE-FC83-429F-907F-0E1FE7A78F26}" name="Столбец26" headerRowDxfId="9" dataDxfId="8"/>
    <tableColumn id="27" xr3:uid="{2E9CD0CA-D09F-4F91-B0C9-57459E070E39}" name="Столбец27" headerRowDxfId="7" dataDxfId="6"/>
    <tableColumn id="28" xr3:uid="{59E3402C-1EDE-4800-89FD-28F2EB155E43}" name="Столбец28" headerRowDxfId="5" dataDxfId="4"/>
    <tableColumn id="29" xr3:uid="{3EF8B7FF-69A2-484F-8C44-97E6D0A0BEC8}" name="Столбец29" headerRowDxfId="3" dataDxfId="2"/>
    <tableColumn id="30" xr3:uid="{94E2C8BA-D93B-4EB5-A41C-CA2C5CCFD069}" name="Столбец30" headerRowDxfId="1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79AA-2885-4558-B8B4-92EB79F88D78}">
  <dimension ref="A1:AD2424"/>
  <sheetViews>
    <sheetView zoomScale="70" zoomScaleNormal="70" workbookViewId="0">
      <selection activeCell="M21" sqref="M21"/>
    </sheetView>
  </sheetViews>
  <sheetFormatPr defaultColWidth="13" defaultRowHeight="15.75" outlineLevelRow="1" outlineLevelCol="1" x14ac:dyDescent="0.25"/>
  <cols>
    <col min="1" max="2" width="14.28515625" style="1" customWidth="1" outlineLevel="1"/>
    <col min="3" max="3" width="22" style="1" customWidth="1"/>
    <col min="4" max="4" width="14.28515625" style="1" customWidth="1"/>
    <col min="5" max="7" width="14.28515625" style="1" customWidth="1" outlineLevel="1"/>
    <col min="8" max="8" width="14.28515625" style="2" customWidth="1" outlineLevel="1"/>
    <col min="9" max="10" width="14.28515625" style="1" customWidth="1" outlineLevel="1"/>
    <col min="11" max="11" width="28" style="1" customWidth="1"/>
    <col min="12" max="12" width="13.5703125" style="1" customWidth="1"/>
    <col min="13" max="13" width="33" style="1" customWidth="1"/>
    <col min="14" max="14" width="33.140625" style="3" customWidth="1" outlineLevel="1"/>
    <col min="15" max="15" width="33.85546875" style="3" customWidth="1" outlineLevel="1"/>
    <col min="16" max="16" width="24.85546875" style="4" customWidth="1"/>
    <col min="17" max="17" width="19.42578125" style="5" customWidth="1" outlineLevel="1"/>
    <col min="18" max="18" width="19" style="5" customWidth="1" outlineLevel="1"/>
    <col min="19" max="19" width="46.7109375" style="6" bestFit="1" customWidth="1"/>
    <col min="20" max="20" width="15.5703125" style="7" customWidth="1" outlineLevel="1"/>
    <col min="21" max="21" width="21" style="8" customWidth="1" outlineLevel="1"/>
    <col min="22" max="22" width="21" style="7" customWidth="1" outlineLevel="1"/>
    <col min="23" max="23" width="21" style="8" customWidth="1" outlineLevel="1"/>
    <col min="24" max="24" width="43.28515625" style="9" customWidth="1"/>
    <col min="25" max="25" width="21" style="10" customWidth="1"/>
    <col min="26" max="26" width="26.7109375" style="11" bestFit="1" customWidth="1"/>
    <col min="27" max="28" width="18.140625" style="11" bestFit="1" customWidth="1"/>
    <col min="29" max="29" width="18.7109375" style="11" customWidth="1"/>
    <col min="30" max="30" width="15" style="11" customWidth="1"/>
    <col min="31" max="16384" width="13" style="11"/>
  </cols>
  <sheetData>
    <row r="1" spans="1:25" ht="16.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14</v>
      </c>
      <c r="P1" s="4" t="s">
        <v>15</v>
      </c>
      <c r="Q1" s="5" t="s">
        <v>13</v>
      </c>
      <c r="R1" s="5" t="s">
        <v>14</v>
      </c>
      <c r="S1" s="6" t="s">
        <v>16</v>
      </c>
      <c r="T1" s="7" t="s">
        <v>17</v>
      </c>
      <c r="U1" s="8" t="s">
        <v>18</v>
      </c>
      <c r="V1" s="7" t="s">
        <v>17</v>
      </c>
      <c r="W1" s="8" t="s">
        <v>18</v>
      </c>
      <c r="X1" s="9" t="s">
        <v>19</v>
      </c>
      <c r="Y1" s="10" t="s">
        <v>20</v>
      </c>
    </row>
    <row r="2" spans="1:25" ht="16.5" outlineLevel="1" thickBot="1" x14ac:dyDescent="0.3">
      <c r="A2" s="12">
        <v>1</v>
      </c>
      <c r="B2" s="12"/>
      <c r="C2" s="12" t="str">
        <f>[1]spisok!B2</f>
        <v>УАЗ UAZ PATRIOT 3163</v>
      </c>
      <c r="D2" s="12" t="str">
        <f>[1]spisok!C2</f>
        <v>О201МК126</v>
      </c>
      <c r="E2" s="12" t="str">
        <f>[1]spisok!D2</f>
        <v>XTT316300R1000091</v>
      </c>
      <c r="F2" s="12">
        <f>[1]spisok!G2</f>
        <v>4116</v>
      </c>
      <c r="G2" s="12">
        <f>[1]spisok!F2</f>
        <v>2023</v>
      </c>
      <c r="H2" s="13">
        <f>[1]spisok!H2</f>
        <v>46174</v>
      </c>
      <c r="I2" s="12" t="str">
        <f>[1]spisok!E2</f>
        <v>106-81</v>
      </c>
      <c r="J2" s="12">
        <v>1</v>
      </c>
      <c r="K2" s="13" t="s">
        <v>21</v>
      </c>
      <c r="L2" s="12">
        <v>1</v>
      </c>
      <c r="M2" s="12"/>
      <c r="N2" s="14"/>
      <c r="O2" s="15"/>
      <c r="P2" s="16">
        <f>Таблица6[[#This Row],[Столбец11]]+Таблица6[[#This Row],[Столбец12]]</f>
        <v>0</v>
      </c>
      <c r="Q2" s="17"/>
      <c r="R2" s="18"/>
      <c r="S2" s="19">
        <f>Таблица6[[#This Row],[Столбец14]]+Таблица6[[#This Row],[Столбец15]]</f>
        <v>0</v>
      </c>
      <c r="T2" s="20">
        <f>Таблица6[[#This Row],[Столбец14]]-Таблица6[[#This Row],[Столбец11]]</f>
        <v>0</v>
      </c>
      <c r="U2" s="21" t="e">
        <f>Таблица6[[#This Row],[Столбец17]]/Таблица6[[#This Row],[Столбец11]]</f>
        <v>#DIV/0!</v>
      </c>
      <c r="V2" s="20">
        <f>Таблица6[[#This Row],[Столбец15]]-Таблица6[[#This Row],[Столбец12]]</f>
        <v>0</v>
      </c>
      <c r="W2" s="21" t="e">
        <f>Таблица6[[#This Row],[Столбец19]]/Таблица6[[#This Row],[Столбец12]]</f>
        <v>#DIV/0!</v>
      </c>
      <c r="X2" s="22">
        <f>Таблица6[[#This Row],[Столбец16]]-Таблица6[[#This Row],[Столбец13]]</f>
        <v>0</v>
      </c>
      <c r="Y2" s="23" t="e">
        <f>Таблица6[[#This Row],[Столбец21]]/Таблица6[[#This Row],[Столбец13]]</f>
        <v>#DIV/0!</v>
      </c>
    </row>
    <row r="3" spans="1:25" ht="16.5" outlineLevel="1" thickBot="1" x14ac:dyDescent="0.3">
      <c r="A3" s="24">
        <v>2</v>
      </c>
      <c r="B3" s="24"/>
      <c r="C3" s="24" t="str">
        <f>[1]spisok!B3</f>
        <v>LADA VESTA GFL110</v>
      </c>
      <c r="D3" s="24" t="str">
        <f>[1]spisok!C3</f>
        <v>Е833ОЕ15</v>
      </c>
      <c r="E3" s="24" t="str">
        <f>[1]spisok!D3</f>
        <v>XTAGFL110LY378838</v>
      </c>
      <c r="F3" s="24">
        <f>[1]spisok!G3</f>
        <v>237856</v>
      </c>
      <c r="G3" s="24">
        <f>[1]spisok!F3</f>
        <v>2019</v>
      </c>
      <c r="H3" s="25">
        <f>[1]spisok!H3</f>
        <v>46175</v>
      </c>
      <c r="I3" s="24" t="str">
        <f>[1]spisok!E3</f>
        <v>104-61</v>
      </c>
      <c r="J3" s="24">
        <v>2</v>
      </c>
      <c r="K3" s="25" t="s">
        <v>22</v>
      </c>
      <c r="L3" s="24">
        <v>2</v>
      </c>
      <c r="M3" s="24"/>
      <c r="N3" s="14"/>
      <c r="O3" s="15"/>
      <c r="P3" s="16">
        <f>Таблица6[[#This Row],[Столбец11]]+Таблица6[[#This Row],[Столбец12]]</f>
        <v>0</v>
      </c>
      <c r="Q3" s="17"/>
      <c r="R3" s="18"/>
      <c r="S3" s="19"/>
      <c r="T3" s="20"/>
      <c r="U3" s="21"/>
      <c r="V3" s="20"/>
      <c r="W3" s="21"/>
      <c r="X3" s="22">
        <f>Таблица6[[#This Row],[Столбец16]]-Таблица6[[#This Row],[Столбец13]]</f>
        <v>0</v>
      </c>
      <c r="Y3" s="23" t="e">
        <f>Таблица6[[#This Row],[Столбец21]]/Таблица6[[#This Row],[Столбец13]]</f>
        <v>#DIV/0!</v>
      </c>
    </row>
    <row r="4" spans="1:25" ht="16.5" outlineLevel="1" thickBot="1" x14ac:dyDescent="0.3">
      <c r="A4" s="12">
        <v>3</v>
      </c>
      <c r="B4" s="12"/>
      <c r="C4" s="12" t="str">
        <f>[1]spisok!B4</f>
        <v>ЕСАУЛ 394511-03</v>
      </c>
      <c r="D4" s="12" t="str">
        <f>[1]spisok!C4</f>
        <v>В723УУ15</v>
      </c>
      <c r="E4" s="12" t="str">
        <f>[1]spisok!D4</f>
        <v>X8939451CG0AK5370</v>
      </c>
      <c r="F4" s="12">
        <f>[1]spisok!G4</f>
        <v>142626</v>
      </c>
      <c r="G4" s="12">
        <f>[1]spisok!F4</f>
        <v>2016</v>
      </c>
      <c r="H4" s="13">
        <f>[1]spisok!H4</f>
        <v>46175</v>
      </c>
      <c r="I4" s="12" t="str">
        <f>[1]spisok!E4</f>
        <v>103-30</v>
      </c>
      <c r="J4" s="12">
        <v>3</v>
      </c>
      <c r="K4" s="13" t="str">
        <f>"00"&amp;TEXT($L4,"0")&amp;"-10"</f>
        <v>003-10</v>
      </c>
      <c r="L4" s="12">
        <v>3</v>
      </c>
      <c r="M4" s="12"/>
      <c r="N4" s="14"/>
      <c r="O4" s="15"/>
      <c r="P4" s="16">
        <f>Таблица6[[#This Row],[Столбец11]]+Таблица6[[#This Row],[Столбец12]]</f>
        <v>0</v>
      </c>
      <c r="Q4" s="17"/>
      <c r="R4" s="18"/>
      <c r="S4" s="19"/>
      <c r="T4" s="20"/>
      <c r="U4" s="21"/>
      <c r="V4" s="20"/>
      <c r="W4" s="21"/>
      <c r="X4" s="22">
        <f>Таблица6[[#This Row],[Столбец16]]-Таблица6[[#This Row],[Столбец13]]</f>
        <v>0</v>
      </c>
      <c r="Y4" s="23" t="e">
        <f>Таблица6[[#This Row],[Столбец21]]/Таблица6[[#This Row],[Столбец13]]</f>
        <v>#DIV/0!</v>
      </c>
    </row>
    <row r="5" spans="1:25" ht="16.5" outlineLevel="1" thickBot="1" x14ac:dyDescent="0.3">
      <c r="A5" s="24">
        <v>4</v>
      </c>
      <c r="B5" s="24"/>
      <c r="C5" s="24" t="str">
        <f>[1]spisok!B5</f>
        <v>LADA VESTA GFL110</v>
      </c>
      <c r="D5" s="24" t="str">
        <f>[1]spisok!C5</f>
        <v>Е378ОУ15</v>
      </c>
      <c r="E5" s="24" t="str">
        <f>[1]spisok!D5</f>
        <v>XTAGFL110LY443715</v>
      </c>
      <c r="F5" s="24">
        <f>[1]spisok!G5</f>
        <v>209733</v>
      </c>
      <c r="G5" s="24">
        <f>[1]spisok!F5</f>
        <v>2020</v>
      </c>
      <c r="H5" s="25">
        <f>[1]spisok!H5</f>
        <v>46176</v>
      </c>
      <c r="I5" s="24" t="str">
        <f>[1]spisok!E5</f>
        <v>105-48</v>
      </c>
      <c r="J5" s="24">
        <v>4</v>
      </c>
      <c r="K5" s="25" t="str">
        <f t="shared" ref="K5:K68" si="0">"00"&amp;TEXT($L5,"0")&amp;"-10"</f>
        <v>004-10</v>
      </c>
      <c r="L5" s="24">
        <v>4</v>
      </c>
      <c r="M5" s="26"/>
      <c r="N5" s="14"/>
      <c r="O5" s="15"/>
      <c r="P5" s="16">
        <f>Таблица6[[#This Row],[Столбец11]]+Таблица6[[#This Row],[Столбец12]]</f>
        <v>0</v>
      </c>
      <c r="Q5" s="17"/>
      <c r="R5" s="18"/>
      <c r="S5" s="19"/>
      <c r="T5" s="20"/>
      <c r="U5" s="21"/>
      <c r="V5" s="20"/>
      <c r="W5" s="21"/>
      <c r="X5" s="22">
        <f>Таблица6[[#This Row],[Столбец16]]-Таблица6[[#This Row],[Столбец13]]</f>
        <v>0</v>
      </c>
      <c r="Y5" s="23" t="e">
        <f>Таблица6[[#This Row],[Столбец21]]/Таблица6[[#This Row],[Столбец13]]</f>
        <v>#DIV/0!</v>
      </c>
    </row>
    <row r="6" spans="1:25" ht="16.5" outlineLevel="1" thickBot="1" x14ac:dyDescent="0.3">
      <c r="A6" s="12">
        <v>5</v>
      </c>
      <c r="B6" s="12"/>
      <c r="C6" s="12" t="str">
        <f>[1]spisok!B6</f>
        <v>ЕСАУЛ 394511-03</v>
      </c>
      <c r="D6" s="12" t="str">
        <f>[1]spisok!C6</f>
        <v>Е506НТ15</v>
      </c>
      <c r="E6" s="12" t="str">
        <f>[1]spisok!D6</f>
        <v>X8939451CK0AK5346</v>
      </c>
      <c r="F6" s="12">
        <f>[1]spisok!G6</f>
        <v>138364</v>
      </c>
      <c r="G6" s="12">
        <f>[1]spisok!F6</f>
        <v>2019</v>
      </c>
      <c r="H6" s="13">
        <f>[1]spisok!H6</f>
        <v>46176</v>
      </c>
      <c r="I6" s="12" t="str">
        <f>[1]spisok!E6</f>
        <v>104-91</v>
      </c>
      <c r="J6" s="12">
        <v>5</v>
      </c>
      <c r="K6" s="13" t="str">
        <f t="shared" si="0"/>
        <v>005-10</v>
      </c>
      <c r="L6" s="12">
        <v>5</v>
      </c>
      <c r="M6" s="12"/>
      <c r="N6" s="14"/>
      <c r="O6" s="15"/>
      <c r="P6" s="16">
        <f>Таблица6[[#This Row],[Столбец11]]+Таблица6[[#This Row],[Столбец12]]</f>
        <v>0</v>
      </c>
      <c r="Q6" s="17"/>
      <c r="R6" s="18"/>
      <c r="S6" s="19"/>
      <c r="T6" s="20"/>
      <c r="U6" s="21"/>
      <c r="V6" s="20"/>
      <c r="W6" s="21"/>
      <c r="X6" s="22">
        <f>Таблица6[[#This Row],[Столбец16]]-Таблица6[[#This Row],[Столбец13]]</f>
        <v>0</v>
      </c>
      <c r="Y6" s="23" t="e">
        <f>Таблица6[[#This Row],[Столбец21]]/Таблица6[[#This Row],[Столбец13]]</f>
        <v>#DIV/0!</v>
      </c>
    </row>
    <row r="7" spans="1:25" ht="16.5" outlineLevel="1" thickBot="1" x14ac:dyDescent="0.3">
      <c r="A7" s="24">
        <v>6</v>
      </c>
      <c r="B7" s="24"/>
      <c r="C7" s="24" t="str">
        <f>[1]spisok!B7</f>
        <v>LADA VESTA GFL110</v>
      </c>
      <c r="D7" s="24" t="str">
        <f>[1]spisok!C7</f>
        <v>В211ОХ15</v>
      </c>
      <c r="E7" s="24" t="str">
        <f>[1]spisok!D7</f>
        <v>XTAGFL110JY197249</v>
      </c>
      <c r="F7" s="24">
        <f>[1]spisok!G7</f>
        <v>320689</v>
      </c>
      <c r="G7" s="24">
        <f>[1]spisok!F7</f>
        <v>2018</v>
      </c>
      <c r="H7" s="25">
        <f>[1]spisok!H7</f>
        <v>46176</v>
      </c>
      <c r="I7" s="24" t="str">
        <f>[1]spisok!E7</f>
        <v>103-75</v>
      </c>
      <c r="J7" s="24">
        <v>6</v>
      </c>
      <c r="K7" s="25" t="str">
        <f t="shared" si="0"/>
        <v>006-10</v>
      </c>
      <c r="L7" s="24">
        <v>6</v>
      </c>
      <c r="M7" s="24"/>
      <c r="N7" s="14"/>
      <c r="O7" s="15"/>
      <c r="P7" s="16">
        <f>Таблица6[[#This Row],[Столбец11]]+Таблица6[[#This Row],[Столбец12]]</f>
        <v>0</v>
      </c>
      <c r="Q7" s="17"/>
      <c r="R7" s="18"/>
      <c r="S7" s="19"/>
      <c r="T7" s="20"/>
      <c r="U7" s="21"/>
      <c r="V7" s="20"/>
      <c r="W7" s="21"/>
      <c r="X7" s="22">
        <f>Таблица6[[#This Row],[Столбец16]]-Таблица6[[#This Row],[Столбец13]]</f>
        <v>0</v>
      </c>
      <c r="Y7" s="23" t="e">
        <f>Таблица6[[#This Row],[Столбец21]]/Таблица6[[#This Row],[Столбец13]]</f>
        <v>#DIV/0!</v>
      </c>
    </row>
    <row r="8" spans="1:25" ht="16.5" outlineLevel="1" thickBot="1" x14ac:dyDescent="0.3">
      <c r="A8" s="12">
        <v>7</v>
      </c>
      <c r="B8" s="12"/>
      <c r="C8" s="12" t="str">
        <f>[1]spisok!B8</f>
        <v>TOYOTA CAMRY ASV70L-RE</v>
      </c>
      <c r="D8" s="12" t="str">
        <f>[1]spisok!C8</f>
        <v>Е778РА15</v>
      </c>
      <c r="E8" s="12" t="str">
        <f>[1]spisok!D8</f>
        <v>XW7BF4HK905167068</v>
      </c>
      <c r="F8" s="12">
        <f>[1]spisok!G8</f>
        <v>40010</v>
      </c>
      <c r="G8" s="12">
        <f>[1]spisok!F8</f>
        <v>2020</v>
      </c>
      <c r="H8" s="13">
        <f>[1]spisok!H8</f>
        <v>46176</v>
      </c>
      <c r="I8" s="12" t="str">
        <f>[1]spisok!E8</f>
        <v>106-39</v>
      </c>
      <c r="J8" s="12">
        <v>7</v>
      </c>
      <c r="K8" s="13" t="str">
        <f t="shared" si="0"/>
        <v>007-10</v>
      </c>
      <c r="L8" s="12">
        <v>7</v>
      </c>
      <c r="M8" s="12"/>
      <c r="N8" s="14"/>
      <c r="O8" s="15"/>
      <c r="P8" s="16">
        <f>Таблица6[[#This Row],[Столбец11]]+Таблица6[[#This Row],[Столбец12]]</f>
        <v>0</v>
      </c>
      <c r="Q8" s="17"/>
      <c r="R8" s="18"/>
      <c r="S8" s="19"/>
      <c r="T8" s="20"/>
      <c r="U8" s="21"/>
      <c r="V8" s="20"/>
      <c r="W8" s="21"/>
      <c r="X8" s="22">
        <f>Таблица6[[#This Row],[Столбец16]]-Таблица6[[#This Row],[Столбец13]]</f>
        <v>0</v>
      </c>
      <c r="Y8" s="23" t="e">
        <f>Таблица6[[#This Row],[Столбец21]]/Таблица6[[#This Row],[Столбец13]]</f>
        <v>#DIV/0!</v>
      </c>
    </row>
    <row r="9" spans="1:25" ht="16.5" outlineLevel="1" thickBot="1" x14ac:dyDescent="0.3">
      <c r="A9" s="24">
        <v>8</v>
      </c>
      <c r="B9" s="24"/>
      <c r="C9" s="24" t="str">
        <f>[1]spisok!B9</f>
        <v>ЛАДА ГРАНТА 219010</v>
      </c>
      <c r="D9" s="24" t="str">
        <f>[1]spisok!C9</f>
        <v>А287АР126</v>
      </c>
      <c r="E9" s="24" t="str">
        <f>[1]spisok!D9</f>
        <v>XTA219010E0256411</v>
      </c>
      <c r="F9" s="24">
        <f>[1]spisok!G9</f>
        <v>356419</v>
      </c>
      <c r="G9" s="24">
        <f>[1]spisok!F9</f>
        <v>2014</v>
      </c>
      <c r="H9" s="25">
        <f>[1]spisok!H9</f>
        <v>46177</v>
      </c>
      <c r="I9" s="24" t="str">
        <f>[1]spisok!E9</f>
        <v>106-34</v>
      </c>
      <c r="J9" s="24">
        <v>8</v>
      </c>
      <c r="K9" s="25" t="str">
        <f t="shared" si="0"/>
        <v>008-10</v>
      </c>
      <c r="L9" s="24">
        <v>8</v>
      </c>
      <c r="M9" s="24"/>
      <c r="N9" s="14"/>
      <c r="O9" s="15"/>
      <c r="P9" s="16">
        <f>Таблица6[[#This Row],[Столбец11]]+Таблица6[[#This Row],[Столбец12]]</f>
        <v>0</v>
      </c>
      <c r="Q9" s="17"/>
      <c r="R9" s="18"/>
      <c r="S9" s="19"/>
      <c r="T9" s="20"/>
      <c r="U9" s="21"/>
      <c r="V9" s="20"/>
      <c r="W9" s="21"/>
      <c r="X9" s="22">
        <f>Таблица6[[#This Row],[Столбец16]]-Таблица6[[#This Row],[Столбец13]]</f>
        <v>0</v>
      </c>
      <c r="Y9" s="23" t="e">
        <f>Таблица6[[#This Row],[Столбец21]]/Таблица6[[#This Row],[Столбец13]]</f>
        <v>#DIV/0!</v>
      </c>
    </row>
    <row r="10" spans="1:25" ht="16.5" outlineLevel="1" thickBot="1" x14ac:dyDescent="0.3">
      <c r="A10" s="12">
        <v>9</v>
      </c>
      <c r="B10" s="12"/>
      <c r="C10" s="12" t="str">
        <f>[1]spisok!B10</f>
        <v>LADA 4x4 213100</v>
      </c>
      <c r="D10" s="12" t="str">
        <f>[1]spisok!C10</f>
        <v>О 0708/15</v>
      </c>
      <c r="E10" s="12" t="str">
        <f>[1]spisok!D10</f>
        <v>XTA213100L0213886</v>
      </c>
      <c r="F10" s="12">
        <f>[1]spisok!G10</f>
        <v>126256</v>
      </c>
      <c r="G10" s="12">
        <f>[1]spisok!F10</f>
        <v>2019</v>
      </c>
      <c r="H10" s="13">
        <f>[1]spisok!H10</f>
        <v>46177</v>
      </c>
      <c r="I10" s="12" t="str">
        <f>[1]spisok!E10</f>
        <v>104-90</v>
      </c>
      <c r="J10" s="12">
        <v>9</v>
      </c>
      <c r="K10" s="13" t="str">
        <f t="shared" si="0"/>
        <v>009-10</v>
      </c>
      <c r="L10" s="12">
        <v>9</v>
      </c>
      <c r="M10" s="12"/>
      <c r="N10" s="14"/>
      <c r="O10" s="15"/>
      <c r="P10" s="16">
        <f>Таблица6[[#This Row],[Столбец11]]+Таблица6[[#This Row],[Столбец12]]</f>
        <v>0</v>
      </c>
      <c r="Q10" s="17"/>
      <c r="R10" s="18"/>
      <c r="S10" s="19"/>
      <c r="T10" s="20"/>
      <c r="U10" s="21"/>
      <c r="V10" s="20"/>
      <c r="W10" s="21"/>
      <c r="X10" s="22">
        <f>Таблица6[[#This Row],[Столбец16]]-Таблица6[[#This Row],[Столбец13]]</f>
        <v>0</v>
      </c>
      <c r="Y10" s="23" t="e">
        <f>Таблица6[[#This Row],[Столбец21]]/Таблица6[[#This Row],[Столбец13]]</f>
        <v>#DIV/0!</v>
      </c>
    </row>
    <row r="11" spans="1:25" ht="16.5" outlineLevel="1" thickBot="1" x14ac:dyDescent="0.3">
      <c r="A11" s="24">
        <v>10</v>
      </c>
      <c r="B11" s="24"/>
      <c r="C11" s="24" t="str">
        <f>[1]spisok!B11</f>
        <v>LADA PRIORA 217050</v>
      </c>
      <c r="D11" s="24" t="str">
        <f>[1]spisok!C11</f>
        <v>Т158АЕ15</v>
      </c>
      <c r="E11" s="24" t="str">
        <f>[1]spisok!D11</f>
        <v>XTA217050G0529350</v>
      </c>
      <c r="F11" s="24">
        <f>[1]spisok!G11</f>
        <v>275410</v>
      </c>
      <c r="G11" s="24">
        <f>[1]spisok!F11</f>
        <v>2015</v>
      </c>
      <c r="H11" s="25">
        <f>[1]spisok!H11</f>
        <v>46177</v>
      </c>
      <c r="I11" s="24" t="str">
        <f>[1]spisok!E11</f>
        <v>102-89</v>
      </c>
      <c r="J11" s="24">
        <v>10</v>
      </c>
      <c r="K11" s="25" t="str">
        <f t="shared" si="0"/>
        <v>0010-10</v>
      </c>
      <c r="L11" s="24">
        <v>10</v>
      </c>
      <c r="M11" s="24"/>
      <c r="N11" s="14"/>
      <c r="O11" s="15"/>
      <c r="P11" s="16">
        <f>Таблица6[[#This Row],[Столбец11]]+Таблица6[[#This Row],[Столбец12]]</f>
        <v>0</v>
      </c>
      <c r="Q11" s="17"/>
      <c r="R11" s="18"/>
      <c r="S11" s="19"/>
      <c r="T11" s="20"/>
      <c r="U11" s="21"/>
      <c r="V11" s="20"/>
      <c r="W11" s="21"/>
      <c r="X11" s="22">
        <f>Таблица6[[#This Row],[Столбец16]]-Таблица6[[#This Row],[Столбец13]]</f>
        <v>0</v>
      </c>
      <c r="Y11" s="23" t="e">
        <f>Таблица6[[#This Row],[Столбец21]]/Таблица6[[#This Row],[Столбец13]]</f>
        <v>#DIV/0!</v>
      </c>
    </row>
    <row r="12" spans="1:25" ht="16.5" outlineLevel="1" thickBot="1" x14ac:dyDescent="0.3">
      <c r="A12" s="12">
        <v>11</v>
      </c>
      <c r="B12" s="12"/>
      <c r="C12" s="12" t="str">
        <f>[1]spisok!B12</f>
        <v>ТОЙОТА КАМРИ</v>
      </c>
      <c r="D12" s="12" t="str">
        <f>[1]spisok!C12</f>
        <v>Е898НТ15</v>
      </c>
      <c r="E12" s="12" t="str">
        <f>[1]spisok!D12</f>
        <v>XW7BF4FK10S155841</v>
      </c>
      <c r="F12" s="12">
        <f>[1]spisok!G12</f>
        <v>176666</v>
      </c>
      <c r="G12" s="12">
        <f>[1]spisok!F12</f>
        <v>2017</v>
      </c>
      <c r="H12" s="13">
        <f>[1]spisok!H12</f>
        <v>46177</v>
      </c>
      <c r="I12" s="12" t="str">
        <f>[1]spisok!E12</f>
        <v>103-69</v>
      </c>
      <c r="J12" s="12">
        <v>11</v>
      </c>
      <c r="K12" s="13" t="str">
        <f t="shared" si="0"/>
        <v>0011-10</v>
      </c>
      <c r="L12" s="12">
        <v>11</v>
      </c>
      <c r="M12" s="12"/>
      <c r="N12" s="14"/>
      <c r="O12" s="15"/>
      <c r="P12" s="16">
        <f>Таблица6[[#This Row],[Столбец11]]+Таблица6[[#This Row],[Столбец12]]</f>
        <v>0</v>
      </c>
      <c r="Q12" s="17"/>
      <c r="R12" s="18"/>
      <c r="S12" s="19"/>
      <c r="T12" s="20"/>
      <c r="U12" s="21"/>
      <c r="V12" s="20"/>
      <c r="W12" s="21"/>
      <c r="X12" s="22">
        <f>Таблица6[[#This Row],[Столбец16]]-Таблица6[[#This Row],[Столбец13]]</f>
        <v>0</v>
      </c>
      <c r="Y12" s="23" t="e">
        <f>Таблица6[[#This Row],[Столбец21]]/Таблица6[[#This Row],[Столбец13]]</f>
        <v>#DIV/0!</v>
      </c>
    </row>
    <row r="13" spans="1:25" ht="16.5" outlineLevel="1" thickBot="1" x14ac:dyDescent="0.3">
      <c r="A13" s="24">
        <v>12</v>
      </c>
      <c r="B13" s="24"/>
      <c r="C13" s="24" t="str">
        <f>[1]spisok!B13</f>
        <v>УАЗ 396221 3163</v>
      </c>
      <c r="D13" s="24" t="str">
        <f>[1]spisok!C13</f>
        <v>Е312РА15</v>
      </c>
      <c r="E13" s="24" t="str">
        <f>[1]spisok!D13</f>
        <v>XTT316300M1002503</v>
      </c>
      <c r="F13" s="24">
        <f>[1]spisok!G13</f>
        <v>108974</v>
      </c>
      <c r="G13" s="24">
        <f>[1]spisok!F13</f>
        <v>2020</v>
      </c>
      <c r="H13" s="25">
        <f>[1]spisok!H13</f>
        <v>46178</v>
      </c>
      <c r="I13" s="24" t="str">
        <f>[1]spisok!E13</f>
        <v>105-57</v>
      </c>
      <c r="J13" s="24">
        <v>12</v>
      </c>
      <c r="K13" s="25" t="str">
        <f t="shared" si="0"/>
        <v>0012-10</v>
      </c>
      <c r="L13" s="24">
        <v>12</v>
      </c>
      <c r="M13" s="24"/>
      <c r="N13" s="14"/>
      <c r="O13" s="15"/>
      <c r="P13" s="16">
        <f>Таблица6[[#This Row],[Столбец11]]+Таблица6[[#This Row],[Столбец12]]</f>
        <v>0</v>
      </c>
      <c r="Q13" s="17"/>
      <c r="R13" s="18"/>
      <c r="S13" s="19"/>
      <c r="T13" s="20"/>
      <c r="U13" s="21"/>
      <c r="V13" s="20"/>
      <c r="W13" s="21"/>
      <c r="X13" s="22">
        <f>Таблица6[[#This Row],[Столбец16]]-Таблица6[[#This Row],[Столбец13]]</f>
        <v>0</v>
      </c>
      <c r="Y13" s="23" t="e">
        <f>Таблица6[[#This Row],[Столбец21]]/Таблица6[[#This Row],[Столбец13]]</f>
        <v>#DIV/0!</v>
      </c>
    </row>
    <row r="14" spans="1:25" ht="16.5" outlineLevel="1" thickBot="1" x14ac:dyDescent="0.3">
      <c r="A14" s="12">
        <v>13</v>
      </c>
      <c r="B14" s="12"/>
      <c r="C14" s="12" t="str">
        <f>[1]spisok!B14</f>
        <v>ЕСАУЛ 394511-03</v>
      </c>
      <c r="D14" s="12" t="str">
        <f>[1]spisok!C14</f>
        <v>Е368НТ15</v>
      </c>
      <c r="E14" s="12" t="str">
        <f>[1]spisok!D14</f>
        <v>X8939451CK0AK5323</v>
      </c>
      <c r="F14" s="12">
        <f>[1]spisok!G14</f>
        <v>138585</v>
      </c>
      <c r="G14" s="12">
        <f>[1]spisok!F14</f>
        <v>2019</v>
      </c>
      <c r="H14" s="13">
        <f>[1]spisok!H14</f>
        <v>46178</v>
      </c>
      <c r="I14" s="12" t="str">
        <f>[1]spisok!E14</f>
        <v>104-95</v>
      </c>
      <c r="J14" s="12">
        <v>13</v>
      </c>
      <c r="K14" s="13" t="str">
        <f t="shared" si="0"/>
        <v>0013-10</v>
      </c>
      <c r="L14" s="12">
        <v>13</v>
      </c>
      <c r="M14" s="12"/>
      <c r="N14" s="14"/>
      <c r="O14" s="15"/>
      <c r="P14" s="16">
        <f>Таблица6[[#This Row],[Столбец11]]+Таблица6[[#This Row],[Столбец12]]</f>
        <v>0</v>
      </c>
      <c r="Q14" s="17"/>
      <c r="R14" s="18"/>
      <c r="S14" s="19"/>
      <c r="T14" s="20"/>
      <c r="U14" s="21"/>
      <c r="V14" s="20"/>
      <c r="W14" s="21"/>
      <c r="X14" s="22">
        <f>Таблица6[[#This Row],[Столбец16]]-Таблица6[[#This Row],[Столбец13]]</f>
        <v>0</v>
      </c>
      <c r="Y14" s="23" t="e">
        <f>Таблица6[[#This Row],[Столбец21]]/Таблица6[[#This Row],[Столбец13]]</f>
        <v>#DIV/0!</v>
      </c>
    </row>
    <row r="15" spans="1:25" ht="16.5" outlineLevel="1" thickBot="1" x14ac:dyDescent="0.3">
      <c r="A15" s="24">
        <v>14</v>
      </c>
      <c r="B15" s="24"/>
      <c r="C15" s="24" t="str">
        <f>[1]spisok!B15</f>
        <v>ЕСАУЛ 394511-03</v>
      </c>
      <c r="D15" s="24" t="str">
        <f>[1]spisok!C15</f>
        <v>Е546НТ15</v>
      </c>
      <c r="E15" s="24" t="str">
        <f>[1]spisok!D15</f>
        <v>X8939451CK0AK5318</v>
      </c>
      <c r="F15" s="24">
        <f>[1]spisok!G15</f>
        <v>132853</v>
      </c>
      <c r="G15" s="24">
        <f>[1]spisok!F15</f>
        <v>2019</v>
      </c>
      <c r="H15" s="25">
        <f>[1]spisok!H15</f>
        <v>46178</v>
      </c>
      <c r="I15" s="24" t="str">
        <f>[1]spisok!E15</f>
        <v>104-96</v>
      </c>
      <c r="J15" s="24">
        <v>14</v>
      </c>
      <c r="K15" s="25" t="str">
        <f t="shared" si="0"/>
        <v>0014-10</v>
      </c>
      <c r="L15" s="24">
        <v>14</v>
      </c>
      <c r="M15" s="24"/>
      <c r="N15" s="14"/>
      <c r="O15" s="15"/>
      <c r="P15" s="16">
        <f>Таблица6[[#This Row],[Столбец11]]+Таблица6[[#This Row],[Столбец12]]</f>
        <v>0</v>
      </c>
      <c r="Q15" s="17"/>
      <c r="R15" s="18"/>
      <c r="S15" s="19"/>
      <c r="T15" s="20"/>
      <c r="U15" s="21"/>
      <c r="V15" s="20"/>
      <c r="W15" s="21"/>
      <c r="X15" s="22">
        <f>Таблица6[[#This Row],[Столбец16]]-Таблица6[[#This Row],[Столбец13]]</f>
        <v>0</v>
      </c>
      <c r="Y15" s="23" t="e">
        <f>Таблица6[[#This Row],[Столбец21]]/Таблица6[[#This Row],[Столбец13]]</f>
        <v>#DIV/0!</v>
      </c>
    </row>
    <row r="16" spans="1:25" ht="16.5" outlineLevel="1" thickBot="1" x14ac:dyDescent="0.3">
      <c r="A16" s="12">
        <v>15</v>
      </c>
      <c r="B16" s="12"/>
      <c r="C16" s="12" t="str">
        <f>[1]spisok!B16</f>
        <v>ГАЗ 27322Е</v>
      </c>
      <c r="D16" s="12" t="str">
        <f>[1]spisok!C16</f>
        <v>О0775/15</v>
      </c>
      <c r="E16" s="12" t="str">
        <f>[1]spisok!D16</f>
        <v>XUY27322EL0000276</v>
      </c>
      <c r="F16" s="12">
        <f>[1]spisok!G16</f>
        <v>159663</v>
      </c>
      <c r="G16" s="12">
        <f>[1]spisok!F16</f>
        <v>2020</v>
      </c>
      <c r="H16" s="13">
        <f>[1]spisok!H16</f>
        <v>46178</v>
      </c>
      <c r="I16" s="12" t="str">
        <f>[1]spisok!E16</f>
        <v>105-62</v>
      </c>
      <c r="J16" s="12">
        <v>15</v>
      </c>
      <c r="K16" s="13" t="str">
        <f t="shared" si="0"/>
        <v>0015-10</v>
      </c>
      <c r="L16" s="12">
        <v>15</v>
      </c>
      <c r="M16" s="12"/>
      <c r="N16" s="14"/>
      <c r="O16" s="15"/>
      <c r="P16" s="16">
        <f>Таблица6[[#This Row],[Столбец11]]+Таблица6[[#This Row],[Столбец12]]</f>
        <v>0</v>
      </c>
      <c r="Q16" s="17"/>
      <c r="R16" s="18"/>
      <c r="S16" s="19"/>
      <c r="T16" s="20"/>
      <c r="U16" s="21"/>
      <c r="V16" s="20"/>
      <c r="W16" s="21"/>
      <c r="X16" s="22">
        <f>Таблица6[[#This Row],[Столбец16]]-Таблица6[[#This Row],[Столбец13]]</f>
        <v>0</v>
      </c>
      <c r="Y16" s="23" t="e">
        <f>Таблица6[[#This Row],[Столбец21]]/Таблица6[[#This Row],[Столбец13]]</f>
        <v>#DIV/0!</v>
      </c>
    </row>
    <row r="17" spans="1:25" ht="16.5" outlineLevel="1" thickBot="1" x14ac:dyDescent="0.3">
      <c r="A17" s="24">
        <v>16</v>
      </c>
      <c r="B17" s="24"/>
      <c r="C17" s="24" t="str">
        <f>[1]spisok!B17</f>
        <v>ГАЗ 38406L</v>
      </c>
      <c r="D17" s="24" t="str">
        <f>[1]spisok!C17</f>
        <v>М0629/15</v>
      </c>
      <c r="E17" s="24" t="str">
        <f>[1]spisok!D17</f>
        <v>Z8X38406LD0000147</v>
      </c>
      <c r="F17" s="24">
        <f>[1]spisok!G17</f>
        <v>201139</v>
      </c>
      <c r="G17" s="24">
        <f>[1]spisok!F17</f>
        <v>2013</v>
      </c>
      <c r="H17" s="25">
        <f>[1]spisok!H17</f>
        <v>46179</v>
      </c>
      <c r="I17" s="24" t="str">
        <f>[1]spisok!E17</f>
        <v>100-68</v>
      </c>
      <c r="J17" s="24">
        <v>16</v>
      </c>
      <c r="K17" s="25" t="str">
        <f t="shared" si="0"/>
        <v>0016-10</v>
      </c>
      <c r="L17" s="24">
        <v>16</v>
      </c>
      <c r="M17" s="24"/>
      <c r="N17" s="14"/>
      <c r="O17" s="15"/>
      <c r="P17" s="16">
        <f>Таблица6[[#This Row],[Столбец11]]+Таблица6[[#This Row],[Столбец12]]</f>
        <v>0</v>
      </c>
      <c r="Q17" s="17"/>
      <c r="R17" s="18"/>
      <c r="S17" s="19"/>
      <c r="T17" s="20"/>
      <c r="U17" s="21"/>
      <c r="V17" s="20"/>
      <c r="W17" s="21"/>
      <c r="X17" s="22">
        <f>Таблица6[[#This Row],[Столбец16]]-Таблица6[[#This Row],[Столбец13]]</f>
        <v>0</v>
      </c>
      <c r="Y17" s="23" t="e">
        <f>Таблица6[[#This Row],[Столбец21]]/Таблица6[[#This Row],[Столбец13]]</f>
        <v>#DIV/0!</v>
      </c>
    </row>
    <row r="18" spans="1:25" ht="16.5" outlineLevel="1" thickBot="1" x14ac:dyDescent="0.3">
      <c r="A18" s="12">
        <v>17</v>
      </c>
      <c r="B18" s="12"/>
      <c r="C18" s="12" t="str">
        <f>[1]spisok!B18</f>
        <v>LADA GRANTA 219010</v>
      </c>
      <c r="D18" s="12" t="str">
        <f>[1]spisok!C18</f>
        <v>А722НА15</v>
      </c>
      <c r="E18" s="12" t="str">
        <f>[1]spisok!D18</f>
        <v>XTA219010M0770129</v>
      </c>
      <c r="F18" s="12">
        <f>[1]spisok!G18</f>
        <v>192073</v>
      </c>
      <c r="G18" s="12">
        <f>[1]spisok!F18</f>
        <v>2021</v>
      </c>
      <c r="H18" s="13">
        <f>[1]spisok!H18</f>
        <v>46179</v>
      </c>
      <c r="I18" s="12" t="str">
        <f>[1]spisok!E18</f>
        <v>105-89</v>
      </c>
      <c r="J18" s="12">
        <v>17</v>
      </c>
      <c r="K18" s="13" t="str">
        <f t="shared" si="0"/>
        <v>0017-10</v>
      </c>
      <c r="L18" s="12">
        <v>17</v>
      </c>
      <c r="M18" s="12"/>
      <c r="N18" s="14"/>
      <c r="O18" s="15"/>
      <c r="P18" s="16">
        <f>Таблица6[[#This Row],[Столбец11]]+Таблица6[[#This Row],[Столбец12]]</f>
        <v>0</v>
      </c>
      <c r="Q18" s="17"/>
      <c r="R18" s="18"/>
      <c r="S18" s="19"/>
      <c r="T18" s="20"/>
      <c r="U18" s="21"/>
      <c r="V18" s="20"/>
      <c r="W18" s="21"/>
      <c r="X18" s="22">
        <f>Таблица6[[#This Row],[Столбец16]]-Таблица6[[#This Row],[Столбец13]]</f>
        <v>0</v>
      </c>
      <c r="Y18" s="23" t="e">
        <f>Таблица6[[#This Row],[Столбец21]]/Таблица6[[#This Row],[Столбец13]]</f>
        <v>#DIV/0!</v>
      </c>
    </row>
    <row r="19" spans="1:25" ht="16.5" outlineLevel="1" thickBot="1" x14ac:dyDescent="0.3">
      <c r="A19" s="24">
        <v>18</v>
      </c>
      <c r="B19" s="24"/>
      <c r="C19" s="24" t="str">
        <f>[1]spisok!B19</f>
        <v>HAVAL F7 CC6475UM09C</v>
      </c>
      <c r="D19" s="24" t="str">
        <f>[1]spisok!C19</f>
        <v>Е985ЕН15</v>
      </c>
      <c r="E19" s="24" t="str">
        <f>[1]spisok!D19</f>
        <v>XZGEF04A4PA351278</v>
      </c>
      <c r="F19" s="24">
        <f>[1]spisok!G19</f>
        <v>22625</v>
      </c>
      <c r="G19" s="24">
        <f>[1]spisok!F19</f>
        <v>2023</v>
      </c>
      <c r="H19" s="25">
        <f>[1]spisok!H19</f>
        <v>46179</v>
      </c>
      <c r="I19" s="24" t="str">
        <f>[1]spisok!E19</f>
        <v>106-74</v>
      </c>
      <c r="J19" s="24">
        <v>18</v>
      </c>
      <c r="K19" s="25" t="str">
        <f t="shared" si="0"/>
        <v>0018-10</v>
      </c>
      <c r="L19" s="24">
        <v>18</v>
      </c>
      <c r="M19" s="24"/>
      <c r="N19" s="14"/>
      <c r="O19" s="15"/>
      <c r="P19" s="16">
        <f>Таблица6[[#This Row],[Столбец11]]+Таблица6[[#This Row],[Столбец12]]</f>
        <v>0</v>
      </c>
      <c r="Q19" s="17"/>
      <c r="R19" s="18"/>
      <c r="S19" s="19"/>
      <c r="T19" s="20"/>
      <c r="U19" s="21"/>
      <c r="V19" s="20"/>
      <c r="W19" s="21"/>
      <c r="X19" s="22">
        <f>Таблица6[[#This Row],[Столбец16]]-Таблица6[[#This Row],[Столбец13]]</f>
        <v>0</v>
      </c>
      <c r="Y19" s="23" t="e">
        <f>Таблица6[[#This Row],[Столбец21]]/Таблица6[[#This Row],[Столбец13]]</f>
        <v>#DIV/0!</v>
      </c>
    </row>
    <row r="20" spans="1:25" ht="16.5" outlineLevel="1" thickBot="1" x14ac:dyDescent="0.3">
      <c r="A20" s="12">
        <v>19</v>
      </c>
      <c r="B20" s="12"/>
      <c r="C20" s="12" t="str">
        <f>[1]spisok!B20</f>
        <v>LADA VESTA GFL110</v>
      </c>
      <c r="D20" s="12" t="str">
        <f>[1]spisok!C20</f>
        <v>Е154РА15</v>
      </c>
      <c r="E20" s="12" t="str">
        <f>[1]spisok!D20</f>
        <v>XTAGFL110LY443716</v>
      </c>
      <c r="F20" s="12">
        <f>[1]spisok!G20</f>
        <v>162007</v>
      </c>
      <c r="G20" s="12">
        <f>[1]spisok!F20</f>
        <v>2020</v>
      </c>
      <c r="H20" s="13">
        <f>[1]spisok!H20</f>
        <v>46179</v>
      </c>
      <c r="I20" s="12" t="str">
        <f>[1]spisok!E20</f>
        <v>105-53</v>
      </c>
      <c r="J20" s="12">
        <v>19</v>
      </c>
      <c r="K20" s="13" t="str">
        <f t="shared" si="0"/>
        <v>0019-10</v>
      </c>
      <c r="L20" s="12">
        <v>19</v>
      </c>
      <c r="M20" s="12"/>
      <c r="N20" s="14"/>
      <c r="O20" s="15"/>
      <c r="P20" s="16">
        <f>Таблица6[[#This Row],[Столбец11]]+Таблица6[[#This Row],[Столбец12]]</f>
        <v>0</v>
      </c>
      <c r="Q20" s="17"/>
      <c r="R20" s="18"/>
      <c r="S20" s="19"/>
      <c r="T20" s="20"/>
      <c r="U20" s="21"/>
      <c r="V20" s="20"/>
      <c r="W20" s="21"/>
      <c r="X20" s="22">
        <f>Таблица6[[#This Row],[Столбец16]]-Таблица6[[#This Row],[Столбец13]]</f>
        <v>0</v>
      </c>
      <c r="Y20" s="23" t="e">
        <f>Таблица6[[#This Row],[Столбец21]]/Таблица6[[#This Row],[Столбец13]]</f>
        <v>#DIV/0!</v>
      </c>
    </row>
    <row r="21" spans="1:25" ht="16.5" outlineLevel="1" thickBot="1" x14ac:dyDescent="0.3">
      <c r="A21" s="24">
        <v>20</v>
      </c>
      <c r="B21" s="24"/>
      <c r="C21" s="24" t="str">
        <f>[1]spisok!B21</f>
        <v>ГАЗ 2705</v>
      </c>
      <c r="D21" s="24" t="str">
        <f>[1]spisok!C21</f>
        <v>В645ОТ15</v>
      </c>
      <c r="E21" s="24" t="str">
        <f>[1]spisok!D21</f>
        <v>X96270500H0824002</v>
      </c>
      <c r="F21" s="24">
        <f>[1]spisok!G21</f>
        <v>137401</v>
      </c>
      <c r="G21" s="24">
        <f>[1]spisok!F21</f>
        <v>2016</v>
      </c>
      <c r="H21" s="25">
        <f>[1]spisok!H21</f>
        <v>46181</v>
      </c>
      <c r="I21" s="24" t="str">
        <f>[1]spisok!E21</f>
        <v>103-68</v>
      </c>
      <c r="J21" s="24">
        <v>20</v>
      </c>
      <c r="K21" s="25" t="str">
        <f t="shared" si="0"/>
        <v>0020-10</v>
      </c>
      <c r="L21" s="24">
        <v>20</v>
      </c>
      <c r="M21" s="24"/>
      <c r="N21" s="14"/>
      <c r="O21" s="15"/>
      <c r="P21" s="16">
        <f>Таблица6[[#This Row],[Столбец11]]+Таблица6[[#This Row],[Столбец12]]</f>
        <v>0</v>
      </c>
      <c r="Q21" s="17"/>
      <c r="R21" s="18"/>
      <c r="S21" s="19"/>
      <c r="T21" s="20"/>
      <c r="U21" s="21"/>
      <c r="V21" s="20"/>
      <c r="W21" s="21"/>
      <c r="X21" s="22">
        <f>Таблица6[[#This Row],[Столбец16]]-Таблица6[[#This Row],[Столбец13]]</f>
        <v>0</v>
      </c>
      <c r="Y21" s="23" t="e">
        <f>Таблица6[[#This Row],[Столбец21]]/Таблица6[[#This Row],[Столбец13]]</f>
        <v>#DIV/0!</v>
      </c>
    </row>
    <row r="22" spans="1:25" ht="16.5" outlineLevel="1" thickBot="1" x14ac:dyDescent="0.3">
      <c r="A22" s="12">
        <v>21</v>
      </c>
      <c r="B22" s="12"/>
      <c r="C22" s="12" t="str">
        <f>[1]spisok!B22</f>
        <v>TOYOTA CAMRY GSV70L-REZ</v>
      </c>
      <c r="D22" s="12" t="str">
        <f>[1]spisok!C22</f>
        <v>Е301ОУ15</v>
      </c>
      <c r="E22" s="12" t="str">
        <f>[1]spisok!D22</f>
        <v>XW7BZYHK50S111563</v>
      </c>
      <c r="F22" s="12">
        <f>[1]spisok!G22</f>
        <v>35665</v>
      </c>
      <c r="G22" s="12">
        <f>[1]spisok!F22</f>
        <v>2020</v>
      </c>
      <c r="H22" s="13">
        <f>[1]spisok!H22</f>
        <v>46181</v>
      </c>
      <c r="I22" s="12" t="str">
        <f>[1]spisok!E22</f>
        <v>105-43</v>
      </c>
      <c r="J22" s="12">
        <v>21</v>
      </c>
      <c r="K22" s="13" t="str">
        <f t="shared" si="0"/>
        <v>0021-10</v>
      </c>
      <c r="L22" s="12">
        <v>21</v>
      </c>
      <c r="M22" s="12"/>
      <c r="N22" s="14"/>
      <c r="O22" s="15"/>
      <c r="P22" s="16">
        <f>Таблица6[[#This Row],[Столбец11]]+Таблица6[[#This Row],[Столбец12]]</f>
        <v>0</v>
      </c>
      <c r="Q22" s="17"/>
      <c r="R22" s="18"/>
      <c r="S22" s="19"/>
      <c r="T22" s="20"/>
      <c r="U22" s="21"/>
      <c r="V22" s="20"/>
      <c r="W22" s="21"/>
      <c r="X22" s="22">
        <f>Таблица6[[#This Row],[Столбец16]]-Таблица6[[#This Row],[Столбец13]]</f>
        <v>0</v>
      </c>
      <c r="Y22" s="23" t="e">
        <f>Таблица6[[#This Row],[Столбец21]]/Таблица6[[#This Row],[Столбец13]]</f>
        <v>#DIV/0!</v>
      </c>
    </row>
    <row r="23" spans="1:25" ht="16.5" outlineLevel="1" thickBot="1" x14ac:dyDescent="0.3">
      <c r="A23" s="24">
        <v>22</v>
      </c>
      <c r="B23" s="24"/>
      <c r="C23" s="24" t="str">
        <f>[1]spisok!B23</f>
        <v>РЕНО ДАСТЕР</v>
      </c>
      <c r="D23" s="24" t="str">
        <f>[1]spisok!C23</f>
        <v>В391ОХ15</v>
      </c>
      <c r="E23" s="24" t="str">
        <f>[1]spisok!D23</f>
        <v>X7LHSRHGN59704684</v>
      </c>
      <c r="F23" s="24">
        <f>[1]spisok!G23</f>
        <v>142653</v>
      </c>
      <c r="G23" s="24">
        <f>[1]spisok!F23</f>
        <v>2018</v>
      </c>
      <c r="H23" s="25">
        <f>[1]spisok!H23</f>
        <v>46182</v>
      </c>
      <c r="I23" s="24" t="str">
        <f>[1]spisok!E23</f>
        <v>103-79</v>
      </c>
      <c r="J23" s="24">
        <v>22</v>
      </c>
      <c r="K23" s="25" t="str">
        <f t="shared" si="0"/>
        <v>0022-10</v>
      </c>
      <c r="L23" s="24">
        <v>22</v>
      </c>
      <c r="M23" s="24"/>
      <c r="N23" s="14"/>
      <c r="O23" s="15"/>
      <c r="P23" s="16">
        <f>Таблица6[[#This Row],[Столбец11]]+Таблица6[[#This Row],[Столбец12]]</f>
        <v>0</v>
      </c>
      <c r="Q23" s="17"/>
      <c r="R23" s="18"/>
      <c r="S23" s="19"/>
      <c r="T23" s="20"/>
      <c r="U23" s="21"/>
      <c r="V23" s="20"/>
      <c r="W23" s="21"/>
      <c r="X23" s="22">
        <f>Таблица6[[#This Row],[Столбец16]]-Таблица6[[#This Row],[Столбец13]]</f>
        <v>0</v>
      </c>
      <c r="Y23" s="23" t="e">
        <f>Таблица6[[#This Row],[Столбец21]]/Таблица6[[#This Row],[Столбец13]]</f>
        <v>#DIV/0!</v>
      </c>
    </row>
    <row r="24" spans="1:25" ht="16.5" outlineLevel="1" thickBot="1" x14ac:dyDescent="0.3">
      <c r="A24" s="12">
        <v>23</v>
      </c>
      <c r="B24" s="12"/>
      <c r="C24" s="12" t="str">
        <f>[1]spisok!B24</f>
        <v>ФОРД EXPLORER</v>
      </c>
      <c r="D24" s="12" t="str">
        <f>[1]spisok!C24</f>
        <v>Е409РС15</v>
      </c>
      <c r="E24" s="12" t="str">
        <f>[1]spisok!D24</f>
        <v>Z6FBXXESWBES15416</v>
      </c>
      <c r="F24" s="12">
        <f>[1]spisok!G24</f>
        <v>344213</v>
      </c>
      <c r="G24" s="12">
        <f>[1]spisok!F24</f>
        <v>2014</v>
      </c>
      <c r="H24" s="13">
        <f>[1]spisok!H24</f>
        <v>46182</v>
      </c>
      <c r="I24" s="12" t="str">
        <f>[1]spisok!E24</f>
        <v>101-31</v>
      </c>
      <c r="J24" s="12">
        <v>23</v>
      </c>
      <c r="K24" s="13" t="str">
        <f t="shared" si="0"/>
        <v>0023-10</v>
      </c>
      <c r="L24" s="12">
        <v>23</v>
      </c>
      <c r="M24" s="12"/>
      <c r="N24" s="14"/>
      <c r="O24" s="15"/>
      <c r="P24" s="16">
        <f>Таблица6[[#This Row],[Столбец11]]+Таблица6[[#This Row],[Столбец12]]</f>
        <v>0</v>
      </c>
      <c r="Q24" s="17"/>
      <c r="R24" s="18"/>
      <c r="S24" s="19"/>
      <c r="T24" s="20"/>
      <c r="U24" s="21"/>
      <c r="V24" s="20"/>
      <c r="W24" s="21"/>
      <c r="X24" s="22">
        <f>Таблица6[[#This Row],[Столбец16]]-Таблица6[[#This Row],[Столбец13]]</f>
        <v>0</v>
      </c>
      <c r="Y24" s="23" t="e">
        <f>Таблица6[[#This Row],[Столбец21]]/Таблица6[[#This Row],[Столбец13]]</f>
        <v>#DIV/0!</v>
      </c>
    </row>
    <row r="25" spans="1:25" ht="16.5" outlineLevel="1" thickBot="1" x14ac:dyDescent="0.3">
      <c r="A25" s="24">
        <v>24</v>
      </c>
      <c r="B25" s="24"/>
      <c r="C25" s="24" t="str">
        <f>[1]spisok!B25</f>
        <v>ЛАДА 213100</v>
      </c>
      <c r="D25" s="24" t="str">
        <f>[1]spisok!C25</f>
        <v>А678ХМ126</v>
      </c>
      <c r="E25" s="24" t="str">
        <f>[1]spisok!D25</f>
        <v>XTA213100F0171867</v>
      </c>
      <c r="F25" s="24">
        <f>[1]spisok!G25</f>
        <v>242508</v>
      </c>
      <c r="G25" s="24">
        <f>[1]spisok!F25</f>
        <v>2015</v>
      </c>
      <c r="H25" s="25">
        <f>[1]spisok!H25</f>
        <v>46182</v>
      </c>
      <c r="I25" s="24" t="str">
        <f>[1]spisok!E25</f>
        <v>106-62</v>
      </c>
      <c r="J25" s="24">
        <v>24</v>
      </c>
      <c r="K25" s="25" t="str">
        <f t="shared" si="0"/>
        <v>0024-10</v>
      </c>
      <c r="L25" s="24">
        <v>24</v>
      </c>
      <c r="M25" s="24"/>
      <c r="N25" s="14"/>
      <c r="O25" s="15"/>
      <c r="P25" s="16">
        <f>Таблица6[[#This Row],[Столбец11]]+Таблица6[[#This Row],[Столбец12]]</f>
        <v>0</v>
      </c>
      <c r="Q25" s="17"/>
      <c r="R25" s="18"/>
      <c r="S25" s="19"/>
      <c r="T25" s="20"/>
      <c r="U25" s="21"/>
      <c r="V25" s="20"/>
      <c r="W25" s="21"/>
      <c r="X25" s="22">
        <f>Таблица6[[#This Row],[Столбец16]]-Таблица6[[#This Row],[Столбец13]]</f>
        <v>0</v>
      </c>
      <c r="Y25" s="23" t="e">
        <f>Таблица6[[#This Row],[Столбец21]]/Таблица6[[#This Row],[Столбец13]]</f>
        <v>#DIV/0!</v>
      </c>
    </row>
    <row r="26" spans="1:25" ht="16.5" outlineLevel="1" thickBot="1" x14ac:dyDescent="0.3">
      <c r="A26" s="12">
        <v>25</v>
      </c>
      <c r="B26" s="12"/>
      <c r="C26" s="12" t="str">
        <f>[1]spisok!B26</f>
        <v>KIA XM FL (SORENTO)</v>
      </c>
      <c r="D26" s="12" t="str">
        <f>[1]spisok!C26</f>
        <v>О0774/15</v>
      </c>
      <c r="E26" s="12" t="str">
        <f>[1]spisok!D26</f>
        <v>XWEKU811DKC024995</v>
      </c>
      <c r="F26" s="12">
        <f>[1]spisok!G26</f>
        <v>21782</v>
      </c>
      <c r="G26" s="12">
        <f>[1]spisok!F26</f>
        <v>2020</v>
      </c>
      <c r="H26" s="13">
        <f>[1]spisok!H26</f>
        <v>46182</v>
      </c>
      <c r="I26" s="12" t="str">
        <f>[1]spisok!E26</f>
        <v>105-55</v>
      </c>
      <c r="J26" s="12">
        <v>25</v>
      </c>
      <c r="K26" s="13" t="str">
        <f t="shared" si="0"/>
        <v>0025-10</v>
      </c>
      <c r="L26" s="12">
        <v>25</v>
      </c>
      <c r="M26" s="12"/>
      <c r="N26" s="14"/>
      <c r="O26" s="15"/>
      <c r="P26" s="16">
        <f>Таблица6[[#This Row],[Столбец11]]+Таблица6[[#This Row],[Столбец12]]</f>
        <v>0</v>
      </c>
      <c r="Q26" s="17"/>
      <c r="R26" s="18"/>
      <c r="S26" s="19"/>
      <c r="T26" s="20"/>
      <c r="U26" s="21"/>
      <c r="V26" s="20"/>
      <c r="W26" s="21"/>
      <c r="X26" s="22">
        <f>Таблица6[[#This Row],[Столбец16]]-Таблица6[[#This Row],[Столбец13]]</f>
        <v>0</v>
      </c>
      <c r="Y26" s="23" t="e">
        <f>Таблица6[[#This Row],[Столбец21]]/Таблица6[[#This Row],[Столбец13]]</f>
        <v>#DIV/0!</v>
      </c>
    </row>
    <row r="27" spans="1:25" ht="16.5" outlineLevel="1" thickBot="1" x14ac:dyDescent="0.3">
      <c r="A27" s="24">
        <v>26</v>
      </c>
      <c r="B27" s="24"/>
      <c r="C27" s="24" t="str">
        <f>[1]spisok!B27</f>
        <v>ТОЙОТА КАМРИ</v>
      </c>
      <c r="D27" s="24" t="str">
        <f>[1]spisok!C27</f>
        <v>А333НА15</v>
      </c>
      <c r="E27" s="24" t="str">
        <f>[1]spisok!D27</f>
        <v>XW7BF4HK10S150796</v>
      </c>
      <c r="F27" s="24">
        <f>[1]spisok!G27</f>
        <v>232858</v>
      </c>
      <c r="G27" s="24">
        <f>[1]spisok!F27</f>
        <v>2019</v>
      </c>
      <c r="H27" s="25">
        <f>[1]spisok!H27</f>
        <v>46183</v>
      </c>
      <c r="I27" s="24" t="str">
        <f>[1]spisok!E27</f>
        <v>104-73</v>
      </c>
      <c r="J27" s="24">
        <v>26</v>
      </c>
      <c r="K27" s="25" t="str">
        <f t="shared" si="0"/>
        <v>0026-10</v>
      </c>
      <c r="L27" s="24">
        <v>26</v>
      </c>
      <c r="M27" s="24"/>
      <c r="N27" s="14"/>
      <c r="O27" s="15"/>
      <c r="P27" s="16">
        <f>Таблица6[[#This Row],[Столбец11]]+Таблица6[[#This Row],[Столбец12]]</f>
        <v>0</v>
      </c>
      <c r="Q27" s="17"/>
      <c r="R27" s="18"/>
      <c r="S27" s="19"/>
      <c r="T27" s="20"/>
      <c r="U27" s="21"/>
      <c r="V27" s="20"/>
      <c r="W27" s="21"/>
      <c r="X27" s="22">
        <f>Таблица6[[#This Row],[Столбец16]]-Таблица6[[#This Row],[Столбец13]]</f>
        <v>0</v>
      </c>
      <c r="Y27" s="23" t="e">
        <f>Таблица6[[#This Row],[Столбец21]]/Таблица6[[#This Row],[Столбец13]]</f>
        <v>#DIV/0!</v>
      </c>
    </row>
    <row r="28" spans="1:25" ht="16.5" outlineLevel="1" thickBot="1" x14ac:dyDescent="0.3">
      <c r="A28" s="12">
        <v>27</v>
      </c>
      <c r="B28" s="12"/>
      <c r="C28" s="12" t="str">
        <f>[1]spisok!B28</f>
        <v>ХЕНДЭ СОЛЯРИС</v>
      </c>
      <c r="D28" s="12" t="str">
        <f>[1]spisok!C28</f>
        <v>В201УВ15</v>
      </c>
      <c r="E28" s="12" t="str">
        <f>[1]spisok!D28</f>
        <v>Z94CU41DBFR426306</v>
      </c>
      <c r="F28" s="12">
        <f>[1]spisok!G28</f>
        <v>365954</v>
      </c>
      <c r="G28" s="12">
        <f>[1]spisok!F28</f>
        <v>2015</v>
      </c>
      <c r="H28" s="13">
        <f>[1]spisok!H28</f>
        <v>46183</v>
      </c>
      <c r="I28" s="12" t="str">
        <f>[1]spisok!E28</f>
        <v>102-63</v>
      </c>
      <c r="J28" s="12">
        <v>27</v>
      </c>
      <c r="K28" s="13" t="str">
        <f t="shared" si="0"/>
        <v>0027-10</v>
      </c>
      <c r="L28" s="12">
        <v>27</v>
      </c>
      <c r="M28" s="12"/>
      <c r="N28" s="14"/>
      <c r="O28" s="15"/>
      <c r="P28" s="16">
        <f>Таблица6[[#This Row],[Столбец11]]+Таблица6[[#This Row],[Столбец12]]</f>
        <v>0</v>
      </c>
      <c r="Q28" s="17"/>
      <c r="R28" s="18"/>
      <c r="S28" s="19"/>
      <c r="T28" s="20"/>
      <c r="U28" s="21"/>
      <c r="V28" s="20"/>
      <c r="W28" s="21"/>
      <c r="X28" s="22">
        <f>Таблица6[[#This Row],[Столбец16]]-Таблица6[[#This Row],[Столбец13]]</f>
        <v>0</v>
      </c>
      <c r="Y28" s="23" t="e">
        <f>Таблица6[[#This Row],[Столбец21]]/Таблица6[[#This Row],[Столбец13]]</f>
        <v>#DIV/0!</v>
      </c>
    </row>
    <row r="29" spans="1:25" ht="16.5" outlineLevel="1" thickBot="1" x14ac:dyDescent="0.3">
      <c r="A29" s="24">
        <v>28</v>
      </c>
      <c r="B29" s="24"/>
      <c r="C29" s="24" t="str">
        <f>[1]spisok!B29</f>
        <v>LADA GRANTA 219010</v>
      </c>
      <c r="D29" s="24" t="str">
        <f>[1]spisok!C29</f>
        <v>Е559НТ15</v>
      </c>
      <c r="E29" s="24" t="str">
        <f>[1]spisok!D29</f>
        <v>XTA219010L0668690</v>
      </c>
      <c r="F29" s="24">
        <f>[1]spisok!G29</f>
        <v>230918</v>
      </c>
      <c r="G29" s="24">
        <f>[1]spisok!F29</f>
        <v>2019</v>
      </c>
      <c r="H29" s="25">
        <f>[1]spisok!H29</f>
        <v>46183</v>
      </c>
      <c r="I29" s="24" t="str">
        <f>[1]spisok!E29</f>
        <v>105-10</v>
      </c>
      <c r="J29" s="24">
        <v>28</v>
      </c>
      <c r="K29" s="25" t="str">
        <f t="shared" si="0"/>
        <v>0028-10</v>
      </c>
      <c r="L29" s="24">
        <v>28</v>
      </c>
      <c r="M29" s="24"/>
      <c r="N29" s="14"/>
      <c r="O29" s="15"/>
      <c r="P29" s="16">
        <f>Таблица6[[#This Row],[Столбец11]]+Таблица6[[#This Row],[Столбец12]]</f>
        <v>0</v>
      </c>
      <c r="Q29" s="17"/>
      <c r="R29" s="18"/>
      <c r="S29" s="19"/>
      <c r="T29" s="20"/>
      <c r="U29" s="21"/>
      <c r="V29" s="20"/>
      <c r="W29" s="21"/>
      <c r="X29" s="22">
        <f>Таблица6[[#This Row],[Столбец16]]-Таблица6[[#This Row],[Столбец13]]</f>
        <v>0</v>
      </c>
      <c r="Y29" s="23" t="e">
        <f>Таблица6[[#This Row],[Столбец21]]/Таблица6[[#This Row],[Столбец13]]</f>
        <v>#DIV/0!</v>
      </c>
    </row>
    <row r="30" spans="1:25" ht="16.5" outlineLevel="1" thickBot="1" x14ac:dyDescent="0.3">
      <c r="A30" s="12">
        <v>29</v>
      </c>
      <c r="B30" s="12"/>
      <c r="C30" s="12" t="str">
        <f>[1]spisok!B30</f>
        <v>LADA VESTA GFL110</v>
      </c>
      <c r="D30" s="12" t="str">
        <f>[1]spisok!C30</f>
        <v>А725НА15</v>
      </c>
      <c r="E30" s="12" t="str">
        <f>[1]spisok!D30</f>
        <v>XTAGFL110MY545270</v>
      </c>
      <c r="F30" s="12">
        <f>[1]spisok!G30</f>
        <v>217051</v>
      </c>
      <c r="G30" s="12">
        <f>[1]spisok!F30</f>
        <v>2021</v>
      </c>
      <c r="H30" s="13">
        <f>[1]spisok!H30</f>
        <v>46184</v>
      </c>
      <c r="I30" s="12" t="str">
        <f>[1]spisok!E30</f>
        <v>106-01</v>
      </c>
      <c r="J30" s="12">
        <v>29</v>
      </c>
      <c r="K30" s="13" t="str">
        <f t="shared" si="0"/>
        <v>0029-10</v>
      </c>
      <c r="L30" s="12">
        <v>29</v>
      </c>
      <c r="M30" s="12"/>
      <c r="N30" s="14"/>
      <c r="O30" s="15"/>
      <c r="P30" s="16">
        <f>Таблица6[[#This Row],[Столбец11]]+Таблица6[[#This Row],[Столбец12]]</f>
        <v>0</v>
      </c>
      <c r="Q30" s="17"/>
      <c r="R30" s="18"/>
      <c r="S30" s="19"/>
      <c r="T30" s="20"/>
      <c r="U30" s="21"/>
      <c r="V30" s="20"/>
      <c r="W30" s="21"/>
      <c r="X30" s="22">
        <f>Таблица6[[#This Row],[Столбец16]]-Таблица6[[#This Row],[Столбец13]]</f>
        <v>0</v>
      </c>
      <c r="Y30" s="23" t="e">
        <f>Таблица6[[#This Row],[Столбец21]]/Таблица6[[#This Row],[Столбец13]]</f>
        <v>#DIV/0!</v>
      </c>
    </row>
    <row r="31" spans="1:25" ht="16.5" outlineLevel="1" thickBot="1" x14ac:dyDescent="0.3">
      <c r="A31" s="24">
        <v>30</v>
      </c>
      <c r="B31" s="24"/>
      <c r="C31" s="24" t="str">
        <f>[1]spisok!B31</f>
        <v>УАЗ ПАТРИОТ</v>
      </c>
      <c r="D31" s="24" t="str">
        <f>[1]spisok!C31</f>
        <v>В787ОХ15</v>
      </c>
      <c r="E31" s="24" t="str">
        <f>[1]spisok!D31</f>
        <v>XTT316300J1023444</v>
      </c>
      <c r="F31" s="24">
        <f>[1]spisok!G31</f>
        <v>232487</v>
      </c>
      <c r="G31" s="24">
        <f>[1]spisok!F31</f>
        <v>2018</v>
      </c>
      <c r="H31" s="24">
        <f>[1]spisok!H31</f>
        <v>46184</v>
      </c>
      <c r="I31" s="24" t="str">
        <f>[1]spisok!E31</f>
        <v>103-91</v>
      </c>
      <c r="J31" s="24">
        <v>30</v>
      </c>
      <c r="K31" s="25" t="str">
        <f t="shared" si="0"/>
        <v>0030-10</v>
      </c>
      <c r="L31" s="24">
        <v>30</v>
      </c>
      <c r="M31" s="24"/>
      <c r="N31" s="14"/>
      <c r="O31" s="15"/>
      <c r="P31" s="16">
        <f>Таблица6[[#This Row],[Столбец11]]+Таблица6[[#This Row],[Столбец12]]</f>
        <v>0</v>
      </c>
      <c r="Q31" s="17"/>
      <c r="R31" s="18"/>
      <c r="S31" s="19"/>
      <c r="T31" s="20"/>
      <c r="U31" s="21"/>
      <c r="V31" s="20"/>
      <c r="W31" s="21"/>
      <c r="X31" s="22">
        <f>Таблица6[[#This Row],[Столбец16]]-Таблица6[[#This Row],[Столбец13]]</f>
        <v>0</v>
      </c>
      <c r="Y31" s="23" t="e">
        <f>Таблица6[[#This Row],[Столбец21]]/Таблица6[[#This Row],[Столбец13]]</f>
        <v>#DIV/0!</v>
      </c>
    </row>
    <row r="32" spans="1:25" ht="16.5" thickBot="1" x14ac:dyDescent="0.3">
      <c r="A32" s="12">
        <v>31</v>
      </c>
      <c r="B32" s="12"/>
      <c r="C32" s="12" t="str">
        <f>[1]spisok!B32</f>
        <v>ЛАДА 213100 4х4</v>
      </c>
      <c r="D32" s="12" t="str">
        <f>[1]spisok!C32</f>
        <v>В473ЕР126</v>
      </c>
      <c r="E32" s="12" t="str">
        <f>[1]spisok!D32</f>
        <v>XTA213100G0177506</v>
      </c>
      <c r="F32" s="12">
        <f>[1]spisok!G32</f>
        <v>283293</v>
      </c>
      <c r="G32" s="12">
        <f>[1]spisok!F32</f>
        <v>2015</v>
      </c>
      <c r="H32" s="12">
        <f>[1]spisok!H32</f>
        <v>46184</v>
      </c>
      <c r="I32" s="12" t="str">
        <f>[1]spisok!E32</f>
        <v>106-63</v>
      </c>
      <c r="J32" s="12">
        <v>31</v>
      </c>
      <c r="K32" s="13" t="str">
        <f t="shared" si="0"/>
        <v>0031-10</v>
      </c>
      <c r="L32" s="12">
        <v>31</v>
      </c>
      <c r="M32" s="27"/>
      <c r="N32" s="14"/>
      <c r="O32" s="15"/>
      <c r="P32" s="16"/>
      <c r="Q32" s="17"/>
      <c r="R32" s="18"/>
      <c r="S32" s="19"/>
      <c r="T32" s="20"/>
      <c r="U32" s="21"/>
      <c r="V32" s="20"/>
      <c r="W32" s="21"/>
      <c r="X32" s="22"/>
      <c r="Y32" s="23"/>
    </row>
    <row r="33" spans="1:25" ht="16.5" outlineLevel="1" thickBot="1" x14ac:dyDescent="0.3">
      <c r="A33" s="24">
        <v>32</v>
      </c>
      <c r="B33" s="24"/>
      <c r="C33" s="24" t="str">
        <f>[1]spisok!B33</f>
        <v>VOLKSWAGEN MULTIVEN</v>
      </c>
      <c r="D33" s="24" t="str">
        <f>[1]spisok!C33</f>
        <v>С488ВС15</v>
      </c>
      <c r="E33" s="24" t="str">
        <f>[1]spisok!D33</f>
        <v>XW8ZZZ7HZDG001346</v>
      </c>
      <c r="F33" s="24" t="str">
        <f>[1]spisok!E33</f>
        <v>101-90</v>
      </c>
      <c r="G33" s="24">
        <f>[1]spisok!F33</f>
        <v>2013</v>
      </c>
      <c r="H33" s="24">
        <f>[1]spisok!G33</f>
        <v>302107</v>
      </c>
      <c r="I33" s="24">
        <f>[1]spisok!H33</f>
        <v>46184</v>
      </c>
      <c r="J33" s="24">
        <v>32</v>
      </c>
      <c r="K33" s="25" t="str">
        <f t="shared" si="0"/>
        <v>0032-10</v>
      </c>
      <c r="L33" s="24">
        <v>32</v>
      </c>
      <c r="M33" s="24"/>
      <c r="N33" s="14"/>
      <c r="O33" s="15"/>
      <c r="P33" s="16">
        <f>Таблица6[[#This Row],[Столбец11]]+Таблица6[[#This Row],[Столбец12]]</f>
        <v>0</v>
      </c>
      <c r="Q33" s="17"/>
      <c r="R33" s="18"/>
      <c r="S33" s="19"/>
      <c r="T33" s="20"/>
      <c r="U33" s="21"/>
      <c r="V33" s="20"/>
      <c r="W33" s="21"/>
      <c r="X33" s="22">
        <f>Таблица6[[#This Row],[Столбец16]]-Таблица6[[#This Row],[Столбец13]]</f>
        <v>0</v>
      </c>
      <c r="Y33" s="23" t="e">
        <f>Таблица6[[#This Row],[Столбец21]]/Таблица6[[#This Row],[Столбец13]]</f>
        <v>#DIV/0!</v>
      </c>
    </row>
    <row r="34" spans="1:25" ht="16.5" outlineLevel="1" thickBot="1" x14ac:dyDescent="0.3">
      <c r="A34" s="12">
        <v>33</v>
      </c>
      <c r="B34" s="12"/>
      <c r="C34" s="12" t="str">
        <f>[1]spisok!B34</f>
        <v>ЕСАУЛ 394511-03</v>
      </c>
      <c r="D34" s="12" t="str">
        <f>[1]spisok!C34</f>
        <v>Е368НТ15</v>
      </c>
      <c r="E34" s="12" t="str">
        <f>[1]spisok!D34</f>
        <v>X8939451CK0AK5323</v>
      </c>
      <c r="F34" s="12" t="str">
        <f>[1]spisok!E34</f>
        <v>104-95</v>
      </c>
      <c r="G34" s="12">
        <f>[1]spisok!F34</f>
        <v>2019</v>
      </c>
      <c r="H34" s="12">
        <f>[1]spisok!G34</f>
        <v>139503</v>
      </c>
      <c r="I34" s="12">
        <f>[1]spisok!H34</f>
        <v>46185</v>
      </c>
      <c r="J34" s="12">
        <v>33</v>
      </c>
      <c r="K34" s="13" t="str">
        <f t="shared" si="0"/>
        <v>0033-10</v>
      </c>
      <c r="L34" s="12">
        <v>33</v>
      </c>
      <c r="M34" s="12"/>
      <c r="N34" s="14"/>
      <c r="O34" s="15"/>
      <c r="P34" s="16">
        <f>Таблица6[[#This Row],[Столбец11]]+Таблица6[[#This Row],[Столбец12]]</f>
        <v>0</v>
      </c>
      <c r="Q34" s="17"/>
      <c r="R34" s="18"/>
      <c r="S34" s="19"/>
      <c r="T34" s="20"/>
      <c r="U34" s="21"/>
      <c r="V34" s="20"/>
      <c r="W34" s="21"/>
      <c r="X34" s="22">
        <f>Таблица6[[#This Row],[Столбец16]]-Таблица6[[#This Row],[Столбец13]]</f>
        <v>0</v>
      </c>
      <c r="Y34" s="23" t="e">
        <f>Таблица6[[#This Row],[Столбец21]]/Таблица6[[#This Row],[Столбец13]]</f>
        <v>#DIV/0!</v>
      </c>
    </row>
    <row r="35" spans="1:25" ht="16.5" outlineLevel="1" thickBot="1" x14ac:dyDescent="0.3">
      <c r="A35" s="24">
        <v>34</v>
      </c>
      <c r="B35" s="24"/>
      <c r="C35" s="24"/>
      <c r="D35" s="24"/>
      <c r="E35" s="24"/>
      <c r="F35" s="24"/>
      <c r="G35" s="24"/>
      <c r="H35" s="25"/>
      <c r="I35" s="24"/>
      <c r="J35" s="24">
        <v>34</v>
      </c>
      <c r="K35" s="25" t="str">
        <f t="shared" si="0"/>
        <v>0034-10</v>
      </c>
      <c r="L35" s="24">
        <v>34</v>
      </c>
      <c r="M35" s="24"/>
      <c r="N35" s="14"/>
      <c r="O35" s="15"/>
      <c r="P35" s="16">
        <f>Таблица6[[#This Row],[Столбец11]]+Таблица6[[#This Row],[Столбец12]]</f>
        <v>0</v>
      </c>
      <c r="Q35" s="17"/>
      <c r="R35" s="18"/>
      <c r="S35" s="19"/>
      <c r="T35" s="20"/>
      <c r="U35" s="21"/>
      <c r="V35" s="20"/>
      <c r="W35" s="21"/>
      <c r="X35" s="22">
        <f>Таблица6[[#This Row],[Столбец16]]-Таблица6[[#This Row],[Столбец13]]</f>
        <v>0</v>
      </c>
      <c r="Y35" s="23" t="e">
        <f>Таблица6[[#This Row],[Столбец21]]/Таблица6[[#This Row],[Столбец13]]</f>
        <v>#DIV/0!</v>
      </c>
    </row>
    <row r="36" spans="1:25" ht="16.5" outlineLevel="1" thickBot="1" x14ac:dyDescent="0.3">
      <c r="A36" s="12"/>
      <c r="B36" s="12"/>
      <c r="C36" s="12"/>
      <c r="D36" s="12"/>
      <c r="E36" s="12"/>
      <c r="F36" s="12"/>
      <c r="G36" s="12"/>
      <c r="H36" s="13"/>
      <c r="I36" s="12"/>
      <c r="J36" s="12">
        <v>35</v>
      </c>
      <c r="K36" s="13" t="str">
        <f t="shared" si="0"/>
        <v>0035-10</v>
      </c>
      <c r="L36" s="12">
        <v>35</v>
      </c>
      <c r="M36" s="12"/>
      <c r="N36" s="14"/>
      <c r="O36" s="15"/>
      <c r="P36" s="16">
        <f>Таблица6[[#This Row],[Столбец11]]+Таблица6[[#This Row],[Столбец12]]</f>
        <v>0</v>
      </c>
      <c r="Q36" s="17"/>
      <c r="R36" s="18"/>
      <c r="S36" s="19"/>
      <c r="T36" s="20"/>
      <c r="U36" s="21"/>
      <c r="V36" s="20"/>
      <c r="W36" s="21"/>
      <c r="X36" s="22">
        <f>Таблица6[[#This Row],[Столбец16]]-Таблица6[[#This Row],[Столбец13]]</f>
        <v>0</v>
      </c>
      <c r="Y36" s="23" t="e">
        <f>Таблица6[[#This Row],[Столбец21]]/Таблица6[[#This Row],[Столбец13]]</f>
        <v>#DIV/0!</v>
      </c>
    </row>
    <row r="37" spans="1:25" ht="16.5" outlineLevel="1" thickBot="1" x14ac:dyDescent="0.3">
      <c r="A37" s="24">
        <v>36</v>
      </c>
      <c r="B37" s="24"/>
      <c r="C37" s="24"/>
      <c r="D37" s="24"/>
      <c r="E37" s="24"/>
      <c r="F37" s="24"/>
      <c r="G37" s="24"/>
      <c r="H37" s="25"/>
      <c r="I37" s="24"/>
      <c r="J37" s="24">
        <v>36</v>
      </c>
      <c r="K37" s="25" t="str">
        <f t="shared" si="0"/>
        <v>0036-10</v>
      </c>
      <c r="L37" s="24">
        <v>36</v>
      </c>
      <c r="M37" s="24"/>
      <c r="N37" s="14"/>
      <c r="O37" s="15"/>
      <c r="P37" s="16">
        <f>Таблица6[[#This Row],[Столбец11]]+Таблица6[[#This Row],[Столбец12]]</f>
        <v>0</v>
      </c>
      <c r="Q37" s="17"/>
      <c r="R37" s="18"/>
      <c r="S37" s="19"/>
      <c r="T37" s="20"/>
      <c r="U37" s="21"/>
      <c r="V37" s="20"/>
      <c r="W37" s="21"/>
      <c r="X37" s="22">
        <f>Таблица6[[#This Row],[Столбец16]]-Таблица6[[#This Row],[Столбец13]]</f>
        <v>0</v>
      </c>
      <c r="Y37" s="23" t="e">
        <f>Таблица6[[#This Row],[Столбец21]]/Таблица6[[#This Row],[Столбец13]]</f>
        <v>#DIV/0!</v>
      </c>
    </row>
    <row r="38" spans="1:25" ht="16.5" thickBot="1" x14ac:dyDescent="0.3">
      <c r="A38" s="12">
        <v>37</v>
      </c>
      <c r="B38" s="12"/>
      <c r="C38" s="12"/>
      <c r="D38" s="12"/>
      <c r="E38" s="12"/>
      <c r="F38" s="12"/>
      <c r="G38" s="12"/>
      <c r="H38" s="13"/>
      <c r="I38" s="12"/>
      <c r="J38" s="12">
        <v>37</v>
      </c>
      <c r="K38" s="13" t="str">
        <f t="shared" si="0"/>
        <v>0037-10</v>
      </c>
      <c r="L38" s="12">
        <v>37</v>
      </c>
      <c r="M38" s="12"/>
      <c r="N38" s="14"/>
      <c r="O38" s="15"/>
      <c r="P38" s="16">
        <f>Таблица6[[#This Row],[Столбец11]]+Таблица6[[#This Row],[Столбец12]]</f>
        <v>0</v>
      </c>
      <c r="Q38" s="17"/>
      <c r="R38" s="18"/>
      <c r="S38" s="19"/>
      <c r="T38" s="20"/>
      <c r="U38" s="21"/>
      <c r="V38" s="20"/>
      <c r="W38" s="21"/>
      <c r="X38" s="22">
        <f>Таблица6[[#This Row],[Столбец16]]-Таблица6[[#This Row],[Столбец13]]</f>
        <v>0</v>
      </c>
      <c r="Y38" s="23" t="e">
        <f>Таблица6[[#This Row],[Столбец21]]/Таблица6[[#This Row],[Столбец13]]</f>
        <v>#DIV/0!</v>
      </c>
    </row>
    <row r="39" spans="1:25" ht="16.5" outlineLevel="1" thickBot="1" x14ac:dyDescent="0.3">
      <c r="A39" s="24">
        <v>38</v>
      </c>
      <c r="B39" s="24"/>
      <c r="C39" s="24"/>
      <c r="D39" s="24"/>
      <c r="E39" s="24"/>
      <c r="F39" s="24"/>
      <c r="G39" s="24"/>
      <c r="H39" s="25"/>
      <c r="I39" s="24"/>
      <c r="J39" s="24">
        <v>38</v>
      </c>
      <c r="K39" s="25" t="str">
        <f t="shared" si="0"/>
        <v>0038-10</v>
      </c>
      <c r="L39" s="24">
        <v>38</v>
      </c>
      <c r="M39" s="24"/>
      <c r="N39" s="14"/>
      <c r="O39" s="15"/>
      <c r="P39" s="16">
        <f>Таблица6[[#This Row],[Столбец11]]+Таблица6[[#This Row],[Столбец12]]</f>
        <v>0</v>
      </c>
      <c r="Q39" s="17"/>
      <c r="R39" s="18"/>
      <c r="S39" s="19"/>
      <c r="T39" s="20"/>
      <c r="U39" s="21"/>
      <c r="V39" s="20"/>
      <c r="W39" s="21"/>
      <c r="X39" s="22">
        <f>Таблица6[[#This Row],[Столбец16]]-Таблица6[[#This Row],[Столбец13]]</f>
        <v>0</v>
      </c>
      <c r="Y39" s="23" t="e">
        <f>Таблица6[[#This Row],[Столбец21]]/Таблица6[[#This Row],[Столбец13]]</f>
        <v>#DIV/0!</v>
      </c>
    </row>
    <row r="40" spans="1:25" ht="16.5" outlineLevel="1" thickBot="1" x14ac:dyDescent="0.3">
      <c r="A40" s="12">
        <v>39</v>
      </c>
      <c r="B40" s="12"/>
      <c r="C40" s="12"/>
      <c r="D40" s="12"/>
      <c r="E40" s="12"/>
      <c r="F40" s="12"/>
      <c r="G40" s="12"/>
      <c r="H40" s="13"/>
      <c r="I40" s="12"/>
      <c r="J40" s="12">
        <v>39</v>
      </c>
      <c r="K40" s="13" t="str">
        <f t="shared" si="0"/>
        <v>0039-10</v>
      </c>
      <c r="L40" s="12">
        <v>39</v>
      </c>
      <c r="M40" s="12"/>
      <c r="N40" s="14"/>
      <c r="O40" s="15"/>
      <c r="P40" s="16">
        <f>Таблица6[[#This Row],[Столбец11]]+Таблица6[[#This Row],[Столбец12]]</f>
        <v>0</v>
      </c>
      <c r="Q40" s="17"/>
      <c r="R40" s="18"/>
      <c r="S40" s="19"/>
      <c r="T40" s="20"/>
      <c r="U40" s="21"/>
      <c r="V40" s="20"/>
      <c r="W40" s="21"/>
      <c r="X40" s="22">
        <f>Таблица6[[#This Row],[Столбец16]]-Таблица6[[#This Row],[Столбец13]]</f>
        <v>0</v>
      </c>
      <c r="Y40" s="23" t="e">
        <f>Таблица6[[#This Row],[Столбец21]]/Таблица6[[#This Row],[Столбец13]]</f>
        <v>#DIV/0!</v>
      </c>
    </row>
    <row r="41" spans="1:25" ht="16.5" outlineLevel="1" thickBot="1" x14ac:dyDescent="0.3">
      <c r="A41" s="24">
        <v>40</v>
      </c>
      <c r="B41" s="24"/>
      <c r="C41" s="24"/>
      <c r="D41" s="24"/>
      <c r="E41" s="24"/>
      <c r="F41" s="24"/>
      <c r="G41" s="24"/>
      <c r="H41" s="25"/>
      <c r="I41" s="24"/>
      <c r="J41" s="24">
        <v>40</v>
      </c>
      <c r="K41" s="25" t="str">
        <f t="shared" si="0"/>
        <v>0040-10</v>
      </c>
      <c r="L41" s="24">
        <v>40</v>
      </c>
      <c r="M41" s="24"/>
      <c r="N41" s="14"/>
      <c r="O41" s="15"/>
      <c r="P41" s="16">
        <f>Таблица6[[#This Row],[Столбец11]]+Таблица6[[#This Row],[Столбец12]]</f>
        <v>0</v>
      </c>
      <c r="Q41" s="17"/>
      <c r="R41" s="18"/>
      <c r="S41" s="19"/>
      <c r="T41" s="20"/>
      <c r="U41" s="21"/>
      <c r="V41" s="20"/>
      <c r="W41" s="21"/>
      <c r="X41" s="22">
        <f>Таблица6[[#This Row],[Столбец16]]-Таблица6[[#This Row],[Столбец13]]</f>
        <v>0</v>
      </c>
      <c r="Y41" s="23" t="e">
        <f>Таблица6[[#This Row],[Столбец21]]/Таблица6[[#This Row],[Столбец13]]</f>
        <v>#DIV/0!</v>
      </c>
    </row>
    <row r="42" spans="1:25" ht="16.5" outlineLevel="1" thickBot="1" x14ac:dyDescent="0.3">
      <c r="A42" s="12">
        <v>41</v>
      </c>
      <c r="B42" s="12"/>
      <c r="C42" s="12"/>
      <c r="D42" s="12"/>
      <c r="E42" s="12"/>
      <c r="F42" s="12"/>
      <c r="G42" s="12"/>
      <c r="H42" s="13"/>
      <c r="I42" s="12"/>
      <c r="J42" s="12">
        <v>41</v>
      </c>
      <c r="K42" s="13" t="str">
        <f t="shared" si="0"/>
        <v>0041-10</v>
      </c>
      <c r="L42" s="12">
        <v>41</v>
      </c>
      <c r="M42" s="12"/>
      <c r="N42" s="14"/>
      <c r="O42" s="15"/>
      <c r="P42" s="16">
        <f>Таблица6[[#This Row],[Столбец11]]+Таблица6[[#This Row],[Столбец12]]</f>
        <v>0</v>
      </c>
      <c r="Q42" s="17"/>
      <c r="R42" s="18"/>
      <c r="S42" s="19"/>
      <c r="T42" s="20"/>
      <c r="U42" s="21"/>
      <c r="V42" s="20"/>
      <c r="W42" s="21"/>
      <c r="X42" s="22">
        <f>Таблица6[[#This Row],[Столбец16]]-Таблица6[[#This Row],[Столбец13]]</f>
        <v>0</v>
      </c>
      <c r="Y42" s="23" t="e">
        <f>Таблица6[[#This Row],[Столбец21]]/Таблица6[[#This Row],[Столбец13]]</f>
        <v>#DIV/0!</v>
      </c>
    </row>
    <row r="43" spans="1:25" ht="16.5" thickBot="1" x14ac:dyDescent="0.3">
      <c r="A43" s="24">
        <v>42</v>
      </c>
      <c r="B43" s="24"/>
      <c r="C43" s="24"/>
      <c r="D43" s="24"/>
      <c r="E43" s="24"/>
      <c r="F43" s="24"/>
      <c r="G43" s="24"/>
      <c r="H43" s="25"/>
      <c r="I43" s="24"/>
      <c r="J43" s="24">
        <v>42</v>
      </c>
      <c r="K43" s="25" t="str">
        <f t="shared" si="0"/>
        <v>0042-10</v>
      </c>
      <c r="L43" s="24">
        <v>42</v>
      </c>
      <c r="M43" s="24"/>
      <c r="N43" s="14"/>
      <c r="O43" s="15"/>
      <c r="P43" s="16">
        <f>Таблица6[[#This Row],[Столбец11]]+Таблица6[[#This Row],[Столбец12]]</f>
        <v>0</v>
      </c>
      <c r="Q43" s="17"/>
      <c r="R43" s="18"/>
      <c r="S43" s="19"/>
      <c r="T43" s="20"/>
      <c r="U43" s="21"/>
      <c r="V43" s="20"/>
      <c r="W43" s="21"/>
      <c r="X43" s="22">
        <f>Таблица6[[#This Row],[Столбец16]]-Таблица6[[#This Row],[Столбец13]]</f>
        <v>0</v>
      </c>
      <c r="Y43" s="23" t="e">
        <f>Таблица6[[#This Row],[Столбец21]]/Таблица6[[#This Row],[Столбец13]]</f>
        <v>#DIV/0!</v>
      </c>
    </row>
    <row r="44" spans="1:25" ht="16.5" thickBot="1" x14ac:dyDescent="0.3">
      <c r="A44" s="12">
        <v>43</v>
      </c>
      <c r="B44" s="12"/>
      <c r="C44" s="12"/>
      <c r="D44" s="12"/>
      <c r="E44" s="12"/>
      <c r="F44" s="12"/>
      <c r="G44" s="12"/>
      <c r="H44" s="13"/>
      <c r="I44" s="12"/>
      <c r="J44" s="12">
        <v>43</v>
      </c>
      <c r="K44" s="13" t="str">
        <f t="shared" si="0"/>
        <v>0043-10</v>
      </c>
      <c r="L44" s="24">
        <v>43</v>
      </c>
      <c r="M44" s="24"/>
      <c r="N44" s="14"/>
      <c r="O44" s="15"/>
      <c r="P44" s="16">
        <f>Таблица6[[#This Row],[Столбец11]]+Таблица6[[#This Row],[Столбец12]]</f>
        <v>0</v>
      </c>
      <c r="Q44" s="17"/>
      <c r="R44" s="18"/>
      <c r="S44" s="19"/>
      <c r="T44" s="20"/>
      <c r="U44" s="21"/>
      <c r="V44" s="20"/>
      <c r="W44" s="21"/>
      <c r="X44" s="22">
        <f>Таблица6[[#This Row],[Столбец16]]-Таблица6[[#This Row],[Столбец13]]</f>
        <v>0</v>
      </c>
      <c r="Y44" s="23" t="e">
        <f>Таблица6[[#This Row],[Столбец21]]/Таблица6[[#This Row],[Столбец13]]</f>
        <v>#DIV/0!</v>
      </c>
    </row>
    <row r="45" spans="1:25" ht="16.5" thickBot="1" x14ac:dyDescent="0.3">
      <c r="A45" s="24">
        <v>44</v>
      </c>
      <c r="B45" s="24"/>
      <c r="C45" s="24"/>
      <c r="D45" s="24"/>
      <c r="E45" s="24"/>
      <c r="F45" s="24"/>
      <c r="G45" s="24"/>
      <c r="H45" s="25"/>
      <c r="I45" s="24"/>
      <c r="J45" s="24">
        <v>1</v>
      </c>
      <c r="K45" s="25" t="str">
        <f t="shared" si="0"/>
        <v>0044-10</v>
      </c>
      <c r="L45" s="24">
        <v>44</v>
      </c>
      <c r="M45" s="24"/>
      <c r="N45" s="14"/>
      <c r="O45" s="15"/>
      <c r="P45" s="16">
        <f>Таблица6[[#This Row],[Столбец11]]+Таблица6[[#This Row],[Столбец12]]</f>
        <v>0</v>
      </c>
      <c r="Q45" s="17"/>
      <c r="R45" s="18"/>
      <c r="S45" s="19"/>
      <c r="T45" s="20"/>
      <c r="U45" s="21"/>
      <c r="V45" s="20"/>
      <c r="W45" s="21"/>
      <c r="X45" s="22">
        <f>Таблица6[[#This Row],[Столбец16]]-Таблица6[[#This Row],[Столбец13]]</f>
        <v>0</v>
      </c>
      <c r="Y45" s="23" t="e">
        <f>Таблица6[[#This Row],[Столбец21]]/Таблица6[[#This Row],[Столбец13]]</f>
        <v>#DIV/0!</v>
      </c>
    </row>
    <row r="46" spans="1:25" ht="16.5" thickBot="1" x14ac:dyDescent="0.3">
      <c r="A46" s="12">
        <v>45</v>
      </c>
      <c r="B46" s="12"/>
      <c r="C46" s="12"/>
      <c r="D46" s="12"/>
      <c r="E46" s="12"/>
      <c r="F46" s="12"/>
      <c r="G46" s="12"/>
      <c r="H46" s="13"/>
      <c r="I46" s="12"/>
      <c r="J46" s="12">
        <v>2</v>
      </c>
      <c r="K46" s="13" t="str">
        <f t="shared" si="0"/>
        <v>0045-10</v>
      </c>
      <c r="L46" s="24">
        <v>45</v>
      </c>
      <c r="M46" s="24"/>
      <c r="N46" s="14"/>
      <c r="O46" s="15"/>
      <c r="P46" s="16">
        <f>Таблица6[[#This Row],[Столбец11]]+Таблица6[[#This Row],[Столбец12]]</f>
        <v>0</v>
      </c>
      <c r="Q46" s="17"/>
      <c r="R46" s="18"/>
      <c r="S46" s="19"/>
      <c r="T46" s="20"/>
      <c r="U46" s="21"/>
      <c r="V46" s="20"/>
      <c r="W46" s="21"/>
      <c r="X46" s="22">
        <f>Таблица6[[#This Row],[Столбец16]]-Таблица6[[#This Row],[Столбец13]]</f>
        <v>0</v>
      </c>
      <c r="Y46" s="23" t="e">
        <f>Таблица6[[#This Row],[Столбец21]]/Таблица6[[#This Row],[Столбец13]]</f>
        <v>#DIV/0!</v>
      </c>
    </row>
    <row r="47" spans="1:25" ht="16.5" thickBot="1" x14ac:dyDescent="0.3">
      <c r="A47" s="24">
        <v>46</v>
      </c>
      <c r="B47" s="24"/>
      <c r="C47" s="24"/>
      <c r="D47" s="24"/>
      <c r="E47" s="24"/>
      <c r="F47" s="24"/>
      <c r="G47" s="24"/>
      <c r="H47" s="25"/>
      <c r="I47" s="24"/>
      <c r="J47" s="24">
        <v>3</v>
      </c>
      <c r="K47" s="25" t="str">
        <f t="shared" si="0"/>
        <v>0046-10</v>
      </c>
      <c r="L47" s="24">
        <v>46</v>
      </c>
      <c r="M47" s="24"/>
      <c r="N47" s="14"/>
      <c r="O47" s="15"/>
      <c r="P47" s="16">
        <f>Таблица6[[#This Row],[Столбец11]]+Таблица6[[#This Row],[Столбец12]]</f>
        <v>0</v>
      </c>
      <c r="Q47" s="17"/>
      <c r="R47" s="17"/>
      <c r="S47" s="19"/>
      <c r="T47" s="20"/>
      <c r="U47" s="21"/>
      <c r="V47" s="20"/>
      <c r="W47" s="21"/>
      <c r="X47" s="22">
        <f>Таблица6[[#This Row],[Столбец16]]-Таблица6[[#This Row],[Столбец13]]</f>
        <v>0</v>
      </c>
      <c r="Y47" s="23" t="e">
        <f>Таблица6[[#This Row],[Столбец21]]/Таблица6[[#This Row],[Столбец13]]</f>
        <v>#DIV/0!</v>
      </c>
    </row>
    <row r="48" spans="1:25" ht="16.5" thickBot="1" x14ac:dyDescent="0.3">
      <c r="A48" s="12">
        <v>47</v>
      </c>
      <c r="B48" s="12"/>
      <c r="C48" s="12"/>
      <c r="D48" s="12"/>
      <c r="E48" s="12"/>
      <c r="F48" s="12"/>
      <c r="G48" s="12"/>
      <c r="H48" s="13"/>
      <c r="I48" s="12"/>
      <c r="J48" s="12">
        <v>4</v>
      </c>
      <c r="K48" s="13" t="str">
        <f t="shared" si="0"/>
        <v>0047-10</v>
      </c>
      <c r="L48" s="24">
        <v>47</v>
      </c>
      <c r="M48" s="24"/>
      <c r="N48" s="14"/>
      <c r="O48" s="15"/>
      <c r="P48" s="16">
        <f>Таблица6[[#This Row],[Столбец11]]+Таблица6[[#This Row],[Столбец12]]</f>
        <v>0</v>
      </c>
      <c r="Q48" s="17"/>
      <c r="R48" s="18"/>
      <c r="S48" s="19"/>
      <c r="T48" s="20"/>
      <c r="U48" s="21"/>
      <c r="V48" s="20"/>
      <c r="W48" s="21"/>
      <c r="X48" s="22">
        <f>Таблица6[[#This Row],[Столбец16]]-Таблица6[[#This Row],[Столбец13]]</f>
        <v>0</v>
      </c>
      <c r="Y48" s="23" t="e">
        <f>Таблица6[[#This Row],[Столбец21]]/Таблица6[[#This Row],[Столбец13]]</f>
        <v>#DIV/0!</v>
      </c>
    </row>
    <row r="49" spans="1:25" ht="16.5" thickBot="1" x14ac:dyDescent="0.3">
      <c r="A49" s="24">
        <v>48</v>
      </c>
      <c r="B49" s="24"/>
      <c r="C49" s="24"/>
      <c r="D49" s="24"/>
      <c r="E49" s="24"/>
      <c r="F49" s="24"/>
      <c r="G49" s="24"/>
      <c r="H49" s="25"/>
      <c r="I49" s="24"/>
      <c r="J49" s="24">
        <v>5</v>
      </c>
      <c r="K49" s="25" t="str">
        <f t="shared" si="0"/>
        <v>0048-10</v>
      </c>
      <c r="L49" s="24">
        <v>48</v>
      </c>
      <c r="M49" s="24"/>
      <c r="N49" s="14"/>
      <c r="O49" s="15"/>
      <c r="P49" s="16">
        <f>Таблица6[[#This Row],[Столбец11]]+Таблица6[[#This Row],[Столбец12]]</f>
        <v>0</v>
      </c>
      <c r="Q49" s="17"/>
      <c r="R49" s="18"/>
      <c r="S49" s="19"/>
      <c r="T49" s="20"/>
      <c r="U49" s="21"/>
      <c r="V49" s="20"/>
      <c r="W49" s="21"/>
      <c r="X49" s="22">
        <f>Таблица6[[#This Row],[Столбец16]]-Таблица6[[#This Row],[Столбец13]]</f>
        <v>0</v>
      </c>
      <c r="Y49" s="23" t="e">
        <f>Таблица6[[#This Row],[Столбец21]]/Таблица6[[#This Row],[Столбец13]]</f>
        <v>#DIV/0!</v>
      </c>
    </row>
    <row r="50" spans="1:25" ht="16.5" thickBot="1" x14ac:dyDescent="0.3">
      <c r="A50" s="12">
        <v>49</v>
      </c>
      <c r="B50" s="12"/>
      <c r="C50" s="12"/>
      <c r="D50" s="12"/>
      <c r="E50" s="12"/>
      <c r="F50" s="12"/>
      <c r="G50" s="12"/>
      <c r="H50" s="13"/>
      <c r="I50" s="12"/>
      <c r="J50" s="12">
        <v>6</v>
      </c>
      <c r="K50" s="13" t="str">
        <f t="shared" si="0"/>
        <v>0049-10</v>
      </c>
      <c r="L50" s="24">
        <v>49</v>
      </c>
      <c r="M50" s="24"/>
      <c r="N50" s="14"/>
      <c r="O50" s="15"/>
      <c r="P50" s="16">
        <f>Таблица6[[#This Row],[Столбец11]]+Таблица6[[#This Row],[Столбец12]]</f>
        <v>0</v>
      </c>
      <c r="Q50" s="17"/>
      <c r="R50" s="17"/>
      <c r="S50" s="19"/>
      <c r="T50" s="20"/>
      <c r="U50" s="21"/>
      <c r="V50" s="20"/>
      <c r="W50" s="21"/>
      <c r="X50" s="22">
        <f>Таблица6[[#This Row],[Столбец16]]-Таблица6[[#This Row],[Столбец13]]</f>
        <v>0</v>
      </c>
      <c r="Y50" s="23" t="e">
        <f>Таблица6[[#This Row],[Столбец21]]/Таблица6[[#This Row],[Столбец13]]</f>
        <v>#DIV/0!</v>
      </c>
    </row>
    <row r="51" spans="1:25" ht="16.5" thickBot="1" x14ac:dyDescent="0.3">
      <c r="A51" s="24">
        <v>50</v>
      </c>
      <c r="B51" s="24"/>
      <c r="C51" s="24"/>
      <c r="D51" s="24"/>
      <c r="E51" s="24"/>
      <c r="F51" s="24"/>
      <c r="G51" s="24"/>
      <c r="H51" s="25"/>
      <c r="I51" s="24"/>
      <c r="J51" s="24">
        <v>7</v>
      </c>
      <c r="K51" s="25" t="str">
        <f t="shared" si="0"/>
        <v>0050-10</v>
      </c>
      <c r="L51" s="24">
        <v>50</v>
      </c>
      <c r="M51" s="24"/>
      <c r="N51" s="14"/>
      <c r="O51" s="15"/>
      <c r="P51" s="16">
        <f>Таблица6[[#This Row],[Столбец11]]+Таблица6[[#This Row],[Столбец12]]</f>
        <v>0</v>
      </c>
      <c r="Q51" s="17"/>
      <c r="R51" s="18"/>
      <c r="S51" s="19"/>
      <c r="T51" s="20"/>
      <c r="U51" s="21"/>
      <c r="V51" s="20"/>
      <c r="W51" s="21"/>
      <c r="X51" s="22">
        <f>Таблица6[[#This Row],[Столбец16]]-Таблица6[[#This Row],[Столбец13]]</f>
        <v>0</v>
      </c>
      <c r="Y51" s="23" t="e">
        <f>Таблица6[[#This Row],[Столбец21]]/Таблица6[[#This Row],[Столбец13]]</f>
        <v>#DIV/0!</v>
      </c>
    </row>
    <row r="52" spans="1:25" ht="16.5" thickBot="1" x14ac:dyDescent="0.3">
      <c r="A52" s="12">
        <v>51</v>
      </c>
      <c r="B52" s="12"/>
      <c r="C52" s="12"/>
      <c r="D52" s="24"/>
      <c r="E52" s="24"/>
      <c r="F52" s="24"/>
      <c r="G52" s="24"/>
      <c r="H52" s="25"/>
      <c r="I52" s="24"/>
      <c r="J52" s="12">
        <v>8</v>
      </c>
      <c r="K52" s="13" t="str">
        <f t="shared" si="0"/>
        <v>0051-10</v>
      </c>
      <c r="L52" s="24">
        <v>51</v>
      </c>
      <c r="M52" s="24"/>
      <c r="N52" s="14"/>
      <c r="O52" s="15"/>
      <c r="P52" s="16">
        <f>Таблица6[[#This Row],[Столбец11]]+Таблица6[[#This Row],[Столбец12]]</f>
        <v>0</v>
      </c>
      <c r="Q52" s="17"/>
      <c r="R52" s="17"/>
      <c r="S52" s="19"/>
      <c r="T52" s="20"/>
      <c r="U52" s="21"/>
      <c r="V52" s="20"/>
      <c r="W52" s="21"/>
      <c r="X52" s="22">
        <f>Таблица6[[#This Row],[Столбец16]]-Таблица6[[#This Row],[Столбец13]]</f>
        <v>0</v>
      </c>
      <c r="Y52" s="23" t="e">
        <f>Таблица6[[#This Row],[Столбец21]]/Таблица6[[#This Row],[Столбец13]]</f>
        <v>#DIV/0!</v>
      </c>
    </row>
    <row r="53" spans="1:25" ht="16.5" thickBot="1" x14ac:dyDescent="0.3">
      <c r="A53" s="24">
        <v>52</v>
      </c>
      <c r="B53" s="24"/>
      <c r="C53" s="24"/>
      <c r="D53" s="24"/>
      <c r="E53" s="24"/>
      <c r="F53" s="24"/>
      <c r="G53" s="24"/>
      <c r="H53" s="25"/>
      <c r="I53" s="24"/>
      <c r="J53" s="24">
        <v>9</v>
      </c>
      <c r="K53" s="25" t="str">
        <f t="shared" si="0"/>
        <v>0052-10</v>
      </c>
      <c r="L53" s="24">
        <v>52</v>
      </c>
      <c r="M53" s="24"/>
      <c r="N53" s="14"/>
      <c r="O53" s="14"/>
      <c r="P53" s="16">
        <f>Таблица6[[#This Row],[Столбец11]]+Таблица6[[#This Row],[Столбец12]]</f>
        <v>0</v>
      </c>
      <c r="Q53" s="17"/>
      <c r="R53" s="17"/>
      <c r="S53" s="19"/>
      <c r="T53" s="20"/>
      <c r="U53" s="21"/>
      <c r="V53" s="20"/>
      <c r="W53" s="21"/>
      <c r="X53" s="22">
        <f>Таблица6[[#This Row],[Столбец16]]-Таблица6[[#This Row],[Столбец13]]</f>
        <v>0</v>
      </c>
      <c r="Y53" s="23" t="e">
        <f>Таблица6[[#This Row],[Столбец21]]/Таблица6[[#This Row],[Столбец13]]</f>
        <v>#DIV/0!</v>
      </c>
    </row>
    <row r="54" spans="1:25" ht="16.5" thickBot="1" x14ac:dyDescent="0.3">
      <c r="A54" s="12">
        <v>53</v>
      </c>
      <c r="B54" s="12"/>
      <c r="C54" s="12"/>
      <c r="D54" s="24"/>
      <c r="E54" s="24"/>
      <c r="F54" s="24"/>
      <c r="G54" s="24"/>
      <c r="H54" s="25"/>
      <c r="I54" s="24"/>
      <c r="J54" s="12">
        <v>10</v>
      </c>
      <c r="K54" s="13" t="str">
        <f t="shared" si="0"/>
        <v>0053-10</v>
      </c>
      <c r="L54" s="24">
        <v>53</v>
      </c>
      <c r="M54" s="24"/>
      <c r="N54" s="14"/>
      <c r="O54" s="15"/>
      <c r="P54" s="16">
        <f>Таблица6[[#This Row],[Столбец11]]+Таблица6[[#This Row],[Столбец12]]</f>
        <v>0</v>
      </c>
      <c r="Q54" s="17"/>
      <c r="R54" s="18"/>
      <c r="S54" s="19"/>
      <c r="T54" s="20"/>
      <c r="U54" s="21"/>
      <c r="V54" s="20"/>
      <c r="W54" s="21"/>
      <c r="X54" s="22">
        <f>Таблица6[[#This Row],[Столбец16]]-Таблица6[[#This Row],[Столбец13]]</f>
        <v>0</v>
      </c>
      <c r="Y54" s="23" t="e">
        <f>Таблица6[[#This Row],[Столбец21]]/Таблица6[[#This Row],[Столбец13]]</f>
        <v>#DIV/0!</v>
      </c>
    </row>
    <row r="55" spans="1:25" ht="16.5" thickBot="1" x14ac:dyDescent="0.3">
      <c r="A55" s="24">
        <v>54</v>
      </c>
      <c r="B55" s="24"/>
      <c r="C55" s="24"/>
      <c r="D55" s="24"/>
      <c r="E55" s="24"/>
      <c r="F55" s="24"/>
      <c r="G55" s="24"/>
      <c r="H55" s="25"/>
      <c r="I55" s="24"/>
      <c r="J55" s="24">
        <v>11</v>
      </c>
      <c r="K55" s="25" t="str">
        <f t="shared" si="0"/>
        <v>0054-10</v>
      </c>
      <c r="L55" s="24">
        <v>54</v>
      </c>
      <c r="M55" s="24"/>
      <c r="N55" s="14"/>
      <c r="O55" s="15"/>
      <c r="P55" s="16">
        <f>Таблица6[[#This Row],[Столбец11]]+Таблица6[[#This Row],[Столбец12]]</f>
        <v>0</v>
      </c>
      <c r="Q55" s="17"/>
      <c r="R55" s="18"/>
      <c r="S55" s="19"/>
      <c r="T55" s="20"/>
      <c r="U55" s="21"/>
      <c r="V55" s="20"/>
      <c r="W55" s="21"/>
      <c r="X55" s="22">
        <f>Таблица6[[#This Row],[Столбец16]]-Таблица6[[#This Row],[Столбец13]]</f>
        <v>0</v>
      </c>
      <c r="Y55" s="23" t="e">
        <f>Таблица6[[#This Row],[Столбец21]]/Таблица6[[#This Row],[Столбец13]]</f>
        <v>#DIV/0!</v>
      </c>
    </row>
    <row r="56" spans="1:25" ht="16.5" thickBot="1" x14ac:dyDescent="0.3">
      <c r="A56" s="12">
        <v>55</v>
      </c>
      <c r="B56" s="12"/>
      <c r="C56" s="12"/>
      <c r="D56" s="24"/>
      <c r="E56" s="24"/>
      <c r="F56" s="24"/>
      <c r="G56" s="24"/>
      <c r="H56" s="25"/>
      <c r="I56" s="24"/>
      <c r="J56" s="12">
        <v>12</v>
      </c>
      <c r="K56" s="13" t="str">
        <f t="shared" si="0"/>
        <v>0055-10</v>
      </c>
      <c r="L56" s="24">
        <v>55</v>
      </c>
      <c r="M56" s="24"/>
      <c r="N56" s="14"/>
      <c r="O56" s="15"/>
      <c r="P56" s="16">
        <f>Таблица6[[#This Row],[Столбец11]]+Таблица6[[#This Row],[Столбец12]]</f>
        <v>0</v>
      </c>
      <c r="Q56" s="17"/>
      <c r="R56" s="18"/>
      <c r="S56" s="19"/>
      <c r="T56" s="20"/>
      <c r="U56" s="21"/>
      <c r="V56" s="20"/>
      <c r="W56" s="21"/>
      <c r="X56" s="22">
        <f>Таблица6[[#This Row],[Столбец16]]-Таблица6[[#This Row],[Столбец13]]</f>
        <v>0</v>
      </c>
      <c r="Y56" s="23" t="e">
        <f>Таблица6[[#This Row],[Столбец21]]/Таблица6[[#This Row],[Столбец13]]</f>
        <v>#DIV/0!</v>
      </c>
    </row>
    <row r="57" spans="1:25" ht="16.5" thickBot="1" x14ac:dyDescent="0.3">
      <c r="A57" s="24">
        <v>56</v>
      </c>
      <c r="B57" s="24"/>
      <c r="C57" s="24"/>
      <c r="D57" s="24"/>
      <c r="E57" s="24"/>
      <c r="F57" s="24"/>
      <c r="G57" s="24"/>
      <c r="H57" s="25"/>
      <c r="I57" s="24"/>
      <c r="J57" s="24">
        <v>13</v>
      </c>
      <c r="K57" s="25" t="str">
        <f t="shared" si="0"/>
        <v>0056-10</v>
      </c>
      <c r="L57" s="24">
        <v>56</v>
      </c>
      <c r="M57" s="24"/>
      <c r="N57" s="14"/>
      <c r="O57" s="15"/>
      <c r="P57" s="16">
        <f>Таблица6[[#This Row],[Столбец11]]+Таблица6[[#This Row],[Столбец12]]</f>
        <v>0</v>
      </c>
      <c r="Q57" s="17"/>
      <c r="R57" s="18"/>
      <c r="S57" s="19"/>
      <c r="T57" s="20"/>
      <c r="U57" s="21"/>
      <c r="V57" s="20"/>
      <c r="W57" s="21"/>
      <c r="X57" s="22">
        <f>Таблица6[[#This Row],[Столбец16]]-Таблица6[[#This Row],[Столбец13]]</f>
        <v>0</v>
      </c>
      <c r="Y57" s="23" t="e">
        <f>Таблица6[[#This Row],[Столбец21]]/Таблица6[[#This Row],[Столбец13]]</f>
        <v>#DIV/0!</v>
      </c>
    </row>
    <row r="58" spans="1:25" ht="16.5" thickBot="1" x14ac:dyDescent="0.3">
      <c r="A58" s="12">
        <v>57</v>
      </c>
      <c r="B58" s="12"/>
      <c r="C58" s="24"/>
      <c r="D58" s="24"/>
      <c r="E58" s="24"/>
      <c r="F58" s="24"/>
      <c r="G58" s="24"/>
      <c r="H58" s="25"/>
      <c r="I58" s="24"/>
      <c r="J58" s="12">
        <v>14</v>
      </c>
      <c r="K58" s="13" t="str">
        <f t="shared" si="0"/>
        <v>0057-10</v>
      </c>
      <c r="L58" s="24">
        <v>57</v>
      </c>
      <c r="M58" s="24"/>
      <c r="N58" s="14"/>
      <c r="O58" s="15"/>
      <c r="P58" s="16">
        <f>Таблица6[[#This Row],[Столбец11]]+Таблица6[[#This Row],[Столбец12]]</f>
        <v>0</v>
      </c>
      <c r="Q58" s="17"/>
      <c r="R58" s="17"/>
      <c r="S58" s="19"/>
      <c r="T58" s="20"/>
      <c r="U58" s="21"/>
      <c r="V58" s="20"/>
      <c r="W58" s="21"/>
      <c r="X58" s="22">
        <f>Таблица6[[#This Row],[Столбец16]]-Таблица6[[#This Row],[Столбец13]]</f>
        <v>0</v>
      </c>
      <c r="Y58" s="23" t="e">
        <f>Таблица6[[#This Row],[Столбец21]]/Таблица6[[#This Row],[Столбец13]]</f>
        <v>#DIV/0!</v>
      </c>
    </row>
    <row r="59" spans="1:25" ht="16.5" thickBot="1" x14ac:dyDescent="0.3">
      <c r="A59" s="24">
        <v>58</v>
      </c>
      <c r="B59" s="24"/>
      <c r="C59" s="24"/>
      <c r="D59" s="24"/>
      <c r="E59" s="24"/>
      <c r="F59" s="24"/>
      <c r="G59" s="24"/>
      <c r="H59" s="25"/>
      <c r="I59" s="24"/>
      <c r="J59" s="24">
        <v>15</v>
      </c>
      <c r="K59" s="25" t="str">
        <f t="shared" si="0"/>
        <v>0058-10</v>
      </c>
      <c r="L59" s="24">
        <v>58</v>
      </c>
      <c r="M59" s="24"/>
      <c r="N59" s="14"/>
      <c r="O59" s="15"/>
      <c r="P59" s="16">
        <f>Таблица6[[#This Row],[Столбец11]]+Таблица6[[#This Row],[Столбец12]]</f>
        <v>0</v>
      </c>
      <c r="Q59" s="17"/>
      <c r="R59" s="17"/>
      <c r="S59" s="19"/>
      <c r="T59" s="20"/>
      <c r="U59" s="21"/>
      <c r="V59" s="20"/>
      <c r="W59" s="21"/>
      <c r="X59" s="22">
        <f>Таблица6[[#This Row],[Столбец16]]-Таблица6[[#This Row],[Столбец13]]</f>
        <v>0</v>
      </c>
      <c r="Y59" s="23" t="e">
        <f>Таблица6[[#This Row],[Столбец21]]/Таблица6[[#This Row],[Столбец13]]</f>
        <v>#DIV/0!</v>
      </c>
    </row>
    <row r="60" spans="1:25" ht="16.5" thickBot="1" x14ac:dyDescent="0.3">
      <c r="A60" s="12">
        <v>59</v>
      </c>
      <c r="B60" s="12"/>
      <c r="C60" s="24"/>
      <c r="D60" s="24"/>
      <c r="E60" s="24"/>
      <c r="F60" s="24"/>
      <c r="G60" s="24"/>
      <c r="H60" s="25"/>
      <c r="I60" s="24"/>
      <c r="J60" s="12">
        <v>16</v>
      </c>
      <c r="K60" s="13" t="str">
        <f t="shared" si="0"/>
        <v>0059-10</v>
      </c>
      <c r="L60" s="24">
        <v>59</v>
      </c>
      <c r="M60" s="24"/>
      <c r="N60" s="14"/>
      <c r="O60" s="15"/>
      <c r="P60" s="16">
        <f>Таблица6[[#This Row],[Столбец11]]+Таблица6[[#This Row],[Столбец12]]</f>
        <v>0</v>
      </c>
      <c r="Q60" s="17"/>
      <c r="R60" s="17"/>
      <c r="S60" s="19"/>
      <c r="T60" s="20"/>
      <c r="U60" s="21"/>
      <c r="V60" s="20"/>
      <c r="W60" s="21"/>
      <c r="X60" s="22">
        <f>Таблица6[[#This Row],[Столбец16]]-Таблица6[[#This Row],[Столбец13]]</f>
        <v>0</v>
      </c>
      <c r="Y60" s="23" t="e">
        <f>Таблица6[[#This Row],[Столбец21]]/Таблица6[[#This Row],[Столбец13]]</f>
        <v>#DIV/0!</v>
      </c>
    </row>
    <row r="61" spans="1:25" ht="16.5" thickBot="1" x14ac:dyDescent="0.3">
      <c r="A61" s="24">
        <v>60</v>
      </c>
      <c r="B61" s="24"/>
      <c r="C61" s="24"/>
      <c r="D61" s="24"/>
      <c r="E61" s="24"/>
      <c r="F61" s="24"/>
      <c r="G61" s="24"/>
      <c r="H61" s="25"/>
      <c r="I61" s="24"/>
      <c r="J61" s="24">
        <v>17</v>
      </c>
      <c r="K61" s="25" t="str">
        <f t="shared" si="0"/>
        <v>0060-10</v>
      </c>
      <c r="L61" s="24">
        <v>60</v>
      </c>
      <c r="M61" s="24"/>
      <c r="N61" s="14"/>
      <c r="O61" s="15"/>
      <c r="P61" s="16">
        <f>Таблица6[[#This Row],[Столбец11]]+Таблица6[[#This Row],[Столбец12]]</f>
        <v>0</v>
      </c>
      <c r="Q61" s="17"/>
      <c r="R61" s="17"/>
      <c r="S61" s="19"/>
      <c r="T61" s="20"/>
      <c r="U61" s="21"/>
      <c r="V61" s="20"/>
      <c r="W61" s="21"/>
      <c r="X61" s="22">
        <f>Таблица6[[#This Row],[Столбец16]]-Таблица6[[#This Row],[Столбец13]]</f>
        <v>0</v>
      </c>
      <c r="Y61" s="23" t="e">
        <f>Таблица6[[#This Row],[Столбец21]]/Таблица6[[#This Row],[Столбец13]]</f>
        <v>#DIV/0!</v>
      </c>
    </row>
    <row r="62" spans="1:25" ht="16.5" thickBot="1" x14ac:dyDescent="0.3">
      <c r="A62" s="24">
        <v>61</v>
      </c>
      <c r="B62" s="12"/>
      <c r="C62" s="24"/>
      <c r="D62" s="24"/>
      <c r="E62" s="24"/>
      <c r="F62" s="24"/>
      <c r="G62" s="24"/>
      <c r="H62" s="25"/>
      <c r="I62" s="24"/>
      <c r="J62" s="12">
        <v>18</v>
      </c>
      <c r="K62" s="13" t="str">
        <f t="shared" si="0"/>
        <v>0061-10</v>
      </c>
      <c r="L62" s="24">
        <v>61</v>
      </c>
      <c r="M62" s="24"/>
      <c r="N62" s="14"/>
      <c r="O62" s="15"/>
      <c r="P62" s="16">
        <f>Таблица6[[#This Row],[Столбец11]]+Таблица6[[#This Row],[Столбец12]]</f>
        <v>0</v>
      </c>
      <c r="Q62" s="17"/>
      <c r="R62" s="17"/>
      <c r="S62" s="19"/>
      <c r="T62" s="20"/>
      <c r="U62" s="21"/>
      <c r="V62" s="20"/>
      <c r="W62" s="21"/>
      <c r="X62" s="22">
        <f>Таблица6[[#This Row],[Столбец16]]-Таблица6[[#This Row],[Столбец13]]</f>
        <v>0</v>
      </c>
      <c r="Y62" s="23" t="e">
        <f>Таблица6[[#This Row],[Столбец21]]/Таблица6[[#This Row],[Столбец13]]</f>
        <v>#DIV/0!</v>
      </c>
    </row>
    <row r="63" spans="1:25" ht="16.5" thickBot="1" x14ac:dyDescent="0.3">
      <c r="A63" s="24">
        <v>62</v>
      </c>
      <c r="B63" s="24"/>
      <c r="C63" s="24"/>
      <c r="D63" s="24"/>
      <c r="E63" s="24"/>
      <c r="F63" s="24"/>
      <c r="G63" s="24"/>
      <c r="H63" s="25"/>
      <c r="I63" s="24"/>
      <c r="J63" s="24">
        <v>19</v>
      </c>
      <c r="K63" s="25" t="str">
        <f t="shared" si="0"/>
        <v>0062-10</v>
      </c>
      <c r="L63" s="24">
        <v>62</v>
      </c>
      <c r="M63" s="24"/>
      <c r="N63" s="14"/>
      <c r="O63" s="15"/>
      <c r="P63" s="16">
        <f>Таблица6[[#This Row],[Столбец11]]+Таблица6[[#This Row],[Столбец12]]</f>
        <v>0</v>
      </c>
      <c r="Q63" s="17"/>
      <c r="R63" s="17"/>
      <c r="S63" s="19"/>
      <c r="T63" s="20"/>
      <c r="U63" s="21"/>
      <c r="V63" s="20"/>
      <c r="W63" s="21"/>
      <c r="X63" s="22">
        <f>Таблица6[[#This Row],[Столбец16]]-Таблица6[[#This Row],[Столбец13]]</f>
        <v>0</v>
      </c>
      <c r="Y63" s="23" t="e">
        <f>Таблица6[[#This Row],[Столбец21]]/Таблица6[[#This Row],[Столбец13]]</f>
        <v>#DIV/0!</v>
      </c>
    </row>
    <row r="64" spans="1:25" ht="16.5" thickBot="1" x14ac:dyDescent="0.3">
      <c r="A64" s="12">
        <v>63</v>
      </c>
      <c r="B64" s="12"/>
      <c r="C64" s="24"/>
      <c r="D64" s="24"/>
      <c r="E64" s="24"/>
      <c r="F64" s="24"/>
      <c r="G64" s="24"/>
      <c r="H64" s="25"/>
      <c r="I64" s="24"/>
      <c r="J64" s="12">
        <v>20</v>
      </c>
      <c r="K64" s="13" t="str">
        <f t="shared" si="0"/>
        <v>0063-10</v>
      </c>
      <c r="L64" s="24">
        <v>63</v>
      </c>
      <c r="M64" s="24"/>
      <c r="N64" s="14"/>
      <c r="O64" s="15"/>
      <c r="P64" s="16">
        <f>Таблица6[[#This Row],[Столбец11]]+Таблица6[[#This Row],[Столбец12]]</f>
        <v>0</v>
      </c>
      <c r="Q64" s="17"/>
      <c r="R64" s="17"/>
      <c r="S64" s="19"/>
      <c r="T64" s="20"/>
      <c r="U64" s="21"/>
      <c r="V64" s="20"/>
      <c r="W64" s="21"/>
      <c r="X64" s="22">
        <f>Таблица6[[#This Row],[Столбец16]]-Таблица6[[#This Row],[Столбец13]]</f>
        <v>0</v>
      </c>
      <c r="Y64" s="23" t="e">
        <f>Таблица6[[#This Row],[Столбец21]]/Таблица6[[#This Row],[Столбец13]]</f>
        <v>#DIV/0!</v>
      </c>
    </row>
    <row r="65" spans="1:25" ht="16.5" thickBot="1" x14ac:dyDescent="0.3">
      <c r="A65" s="24">
        <v>64</v>
      </c>
      <c r="B65" s="24"/>
      <c r="C65" s="24"/>
      <c r="D65" s="24"/>
      <c r="E65" s="24"/>
      <c r="F65" s="24"/>
      <c r="G65" s="24"/>
      <c r="H65" s="25"/>
      <c r="I65" s="24"/>
      <c r="J65" s="24">
        <v>21</v>
      </c>
      <c r="K65" s="25" t="str">
        <f t="shared" si="0"/>
        <v>0063-10</v>
      </c>
      <c r="L65" s="24">
        <v>63</v>
      </c>
      <c r="M65" s="24"/>
      <c r="N65" s="14"/>
      <c r="O65" s="15"/>
      <c r="P65" s="16">
        <f>Таблица6[[#This Row],[Столбец11]]+Таблица6[[#This Row],[Столбец12]]</f>
        <v>0</v>
      </c>
      <c r="Q65" s="17"/>
      <c r="R65" s="17"/>
      <c r="S65" s="19"/>
      <c r="T65" s="20"/>
      <c r="U65" s="21"/>
      <c r="V65" s="20"/>
      <c r="W65" s="21"/>
      <c r="X65" s="22">
        <f>Таблица6[[#This Row],[Столбец16]]-Таблица6[[#This Row],[Столбец13]]</f>
        <v>0</v>
      </c>
      <c r="Y65" s="23" t="e">
        <f>Таблица6[[#This Row],[Столбец21]]/Таблица6[[#This Row],[Столбец13]]</f>
        <v>#DIV/0!</v>
      </c>
    </row>
    <row r="66" spans="1:25" ht="16.5" thickBot="1" x14ac:dyDescent="0.3">
      <c r="A66" s="12">
        <v>65</v>
      </c>
      <c r="B66" s="12"/>
      <c r="C66" s="24"/>
      <c r="D66" s="24"/>
      <c r="E66" s="24"/>
      <c r="F66" s="24"/>
      <c r="G66" s="24"/>
      <c r="H66" s="25"/>
      <c r="I66" s="24"/>
      <c r="J66" s="12">
        <v>22</v>
      </c>
      <c r="K66" s="13" t="str">
        <f t="shared" si="0"/>
        <v>0065-10</v>
      </c>
      <c r="L66" s="24">
        <v>65</v>
      </c>
      <c r="M66" s="24"/>
      <c r="N66" s="14"/>
      <c r="O66" s="15"/>
      <c r="P66" s="16">
        <f>Таблица6[[#This Row],[Столбец11]]+Таблица6[[#This Row],[Столбец12]]</f>
        <v>0</v>
      </c>
      <c r="Q66" s="17"/>
      <c r="R66" s="17"/>
      <c r="S66" s="19"/>
      <c r="T66" s="20"/>
      <c r="U66" s="21"/>
      <c r="V66" s="20"/>
      <c r="W66" s="21"/>
      <c r="X66" s="22">
        <f>Таблица6[[#This Row],[Столбец16]]-Таблица6[[#This Row],[Столбец13]]</f>
        <v>0</v>
      </c>
      <c r="Y66" s="23" t="e">
        <f>Таблица6[[#This Row],[Столбец21]]/Таблица6[[#This Row],[Столбец13]]</f>
        <v>#DIV/0!</v>
      </c>
    </row>
    <row r="67" spans="1:25" ht="16.5" thickBot="1" x14ac:dyDescent="0.3">
      <c r="A67" s="24">
        <v>66</v>
      </c>
      <c r="B67" s="24"/>
      <c r="C67" s="24"/>
      <c r="D67" s="24"/>
      <c r="E67" s="24"/>
      <c r="F67" s="24"/>
      <c r="G67" s="24"/>
      <c r="H67" s="25"/>
      <c r="I67" s="24"/>
      <c r="J67" s="24">
        <v>23</v>
      </c>
      <c r="K67" s="25" t="str">
        <f t="shared" si="0"/>
        <v>0066-10</v>
      </c>
      <c r="L67" s="24">
        <v>66</v>
      </c>
      <c r="M67" s="24"/>
      <c r="N67" s="14"/>
      <c r="O67" s="15"/>
      <c r="P67" s="16">
        <f>Таблица6[[#This Row],[Столбец11]]+Таблица6[[#This Row],[Столбец12]]</f>
        <v>0</v>
      </c>
      <c r="Q67" s="17"/>
      <c r="R67" s="17"/>
      <c r="S67" s="19"/>
      <c r="T67" s="20"/>
      <c r="U67" s="21"/>
      <c r="V67" s="20"/>
      <c r="W67" s="21"/>
      <c r="X67" s="22">
        <f>Таблица6[[#This Row],[Столбец16]]-Таблица6[[#This Row],[Столбец13]]</f>
        <v>0</v>
      </c>
      <c r="Y67" s="23" t="e">
        <f>Таблица6[[#This Row],[Столбец21]]/Таблица6[[#This Row],[Столбец13]]</f>
        <v>#DIV/0!</v>
      </c>
    </row>
    <row r="68" spans="1:25" ht="16.5" thickBot="1" x14ac:dyDescent="0.3">
      <c r="A68" s="12">
        <v>67</v>
      </c>
      <c r="B68" s="12"/>
      <c r="C68" s="24"/>
      <c r="D68" s="24"/>
      <c r="E68" s="24"/>
      <c r="F68" s="24"/>
      <c r="G68" s="24"/>
      <c r="H68" s="25"/>
      <c r="I68" s="24"/>
      <c r="J68" s="12">
        <v>24</v>
      </c>
      <c r="K68" s="13" t="str">
        <f t="shared" si="0"/>
        <v>0067-10</v>
      </c>
      <c r="L68" s="24">
        <v>67</v>
      </c>
      <c r="M68" s="24"/>
      <c r="N68" s="14"/>
      <c r="O68" s="15"/>
      <c r="P68" s="16">
        <f>Таблица6[[#This Row],[Столбец11]]+Таблица6[[#This Row],[Столбец12]]</f>
        <v>0</v>
      </c>
      <c r="Q68" s="17"/>
      <c r="R68" s="17"/>
      <c r="S68" s="19"/>
      <c r="T68" s="20"/>
      <c r="U68" s="21"/>
      <c r="V68" s="20"/>
      <c r="W68" s="21"/>
      <c r="X68" s="22">
        <f>Таблица6[[#This Row],[Столбец16]]-Таблица6[[#This Row],[Столбец13]]</f>
        <v>0</v>
      </c>
      <c r="Y68" s="23" t="e">
        <f>Таблица6[[#This Row],[Столбец21]]/Таблица6[[#This Row],[Столбец13]]</f>
        <v>#DIV/0!</v>
      </c>
    </row>
    <row r="69" spans="1:25" ht="16.5" thickBot="1" x14ac:dyDescent="0.3">
      <c r="A69" s="24">
        <v>68</v>
      </c>
      <c r="B69" s="24"/>
      <c r="C69" s="24"/>
      <c r="D69" s="24"/>
      <c r="E69" s="24"/>
      <c r="F69" s="24"/>
      <c r="G69" s="24"/>
      <c r="H69" s="25"/>
      <c r="I69" s="24"/>
      <c r="J69" s="24">
        <v>25</v>
      </c>
      <c r="K69" s="25" t="str">
        <f t="shared" ref="K69:K119" si="1">"00"&amp;TEXT($L69,"0")&amp;"-10"</f>
        <v>0068-10</v>
      </c>
      <c r="L69" s="24">
        <v>68</v>
      </c>
      <c r="M69" s="24"/>
      <c r="N69" s="14"/>
      <c r="O69" s="15"/>
      <c r="P69" s="16">
        <f>Таблица6[[#This Row],[Столбец11]]+Таблица6[[#This Row],[Столбец12]]</f>
        <v>0</v>
      </c>
      <c r="Q69" s="17"/>
      <c r="R69" s="17"/>
      <c r="S69" s="19"/>
      <c r="T69" s="20"/>
      <c r="U69" s="21"/>
      <c r="V69" s="20"/>
      <c r="W69" s="21"/>
      <c r="X69" s="22">
        <f>Таблица6[[#This Row],[Столбец16]]-Таблица6[[#This Row],[Столбец13]]</f>
        <v>0</v>
      </c>
      <c r="Y69" s="23" t="e">
        <f>Таблица6[[#This Row],[Столбец21]]/Таблица6[[#This Row],[Столбец13]]</f>
        <v>#DIV/0!</v>
      </c>
    </row>
    <row r="70" spans="1:25" ht="16.5" thickBot="1" x14ac:dyDescent="0.3">
      <c r="A70" s="12">
        <v>69</v>
      </c>
      <c r="B70" s="12"/>
      <c r="C70" s="24"/>
      <c r="D70" s="24"/>
      <c r="E70" s="24"/>
      <c r="F70" s="24"/>
      <c r="G70" s="24"/>
      <c r="H70" s="25"/>
      <c r="I70" s="24"/>
      <c r="J70" s="12">
        <v>26</v>
      </c>
      <c r="K70" s="13" t="str">
        <f t="shared" si="1"/>
        <v>0069-10</v>
      </c>
      <c r="L70" s="24">
        <v>69</v>
      </c>
      <c r="M70" s="24"/>
      <c r="N70" s="14"/>
      <c r="O70" s="15"/>
      <c r="P70" s="16">
        <f>Таблица6[[#This Row],[Столбец11]]+Таблица6[[#This Row],[Столбец12]]</f>
        <v>0</v>
      </c>
      <c r="Q70" s="17"/>
      <c r="R70" s="17"/>
      <c r="S70" s="19"/>
      <c r="T70" s="20"/>
      <c r="U70" s="21"/>
      <c r="V70" s="20"/>
      <c r="W70" s="21"/>
      <c r="X70" s="22">
        <f>Таблица6[[#This Row],[Столбец16]]-Таблица6[[#This Row],[Столбец13]]</f>
        <v>0</v>
      </c>
      <c r="Y70" s="23" t="e">
        <f>Таблица6[[#This Row],[Столбец21]]/Таблица6[[#This Row],[Столбец13]]</f>
        <v>#DIV/0!</v>
      </c>
    </row>
    <row r="71" spans="1:25" ht="16.5" thickBot="1" x14ac:dyDescent="0.3">
      <c r="A71" s="24">
        <v>70</v>
      </c>
      <c r="B71" s="24"/>
      <c r="C71" s="24"/>
      <c r="D71" s="24"/>
      <c r="E71" s="24"/>
      <c r="F71" s="24"/>
      <c r="G71" s="24"/>
      <c r="H71" s="25"/>
      <c r="I71" s="24"/>
      <c r="J71" s="24">
        <v>27</v>
      </c>
      <c r="K71" s="25" t="str">
        <f t="shared" si="1"/>
        <v>0070-10</v>
      </c>
      <c r="L71" s="24">
        <v>70</v>
      </c>
      <c r="M71" s="24"/>
      <c r="N71" s="14"/>
      <c r="O71" s="15"/>
      <c r="P71" s="16">
        <f>Таблица6[[#This Row],[Столбец11]]+Таблица6[[#This Row],[Столбец12]]</f>
        <v>0</v>
      </c>
      <c r="Q71" s="17"/>
      <c r="R71" s="17"/>
      <c r="S71" s="19"/>
      <c r="T71" s="20"/>
      <c r="U71" s="21"/>
      <c r="V71" s="20"/>
      <c r="W71" s="21"/>
      <c r="X71" s="22">
        <f>Таблица6[[#This Row],[Столбец16]]-Таблица6[[#This Row],[Столбец13]]</f>
        <v>0</v>
      </c>
      <c r="Y71" s="23" t="e">
        <f>Таблица6[[#This Row],[Столбец21]]/Таблица6[[#This Row],[Столбец13]]</f>
        <v>#DIV/0!</v>
      </c>
    </row>
    <row r="72" spans="1:25" ht="16.5" thickBot="1" x14ac:dyDescent="0.3">
      <c r="A72" s="12">
        <v>71</v>
      </c>
      <c r="B72" s="12"/>
      <c r="C72" s="24"/>
      <c r="D72" s="24"/>
      <c r="E72" s="24"/>
      <c r="F72" s="24"/>
      <c r="G72" s="24"/>
      <c r="H72" s="25"/>
      <c r="I72" s="24"/>
      <c r="J72" s="12">
        <v>28</v>
      </c>
      <c r="K72" s="13" t="str">
        <f t="shared" si="1"/>
        <v>0071-10</v>
      </c>
      <c r="L72" s="24">
        <v>71</v>
      </c>
      <c r="M72" s="24"/>
      <c r="N72" s="14"/>
      <c r="O72" s="15"/>
      <c r="P72" s="16">
        <f>Таблица6[[#This Row],[Столбец11]]+Таблица6[[#This Row],[Столбец12]]</f>
        <v>0</v>
      </c>
      <c r="Q72" s="17"/>
      <c r="R72" s="17"/>
      <c r="S72" s="19"/>
      <c r="T72" s="20"/>
      <c r="U72" s="21"/>
      <c r="V72" s="20"/>
      <c r="W72" s="21"/>
      <c r="X72" s="22">
        <f>Таблица6[[#This Row],[Столбец16]]-Таблица6[[#This Row],[Столбец13]]</f>
        <v>0</v>
      </c>
      <c r="Y72" s="23" t="e">
        <f>Таблица6[[#This Row],[Столбец21]]/Таблица6[[#This Row],[Столбец13]]</f>
        <v>#DIV/0!</v>
      </c>
    </row>
    <row r="73" spans="1:25" ht="16.5" thickBot="1" x14ac:dyDescent="0.3">
      <c r="A73" s="24">
        <v>72</v>
      </c>
      <c r="B73" s="24"/>
      <c r="C73" s="24"/>
      <c r="D73" s="24"/>
      <c r="E73" s="24"/>
      <c r="F73" s="24"/>
      <c r="G73" s="24"/>
      <c r="H73" s="25"/>
      <c r="I73" s="24"/>
      <c r="J73" s="24">
        <v>29</v>
      </c>
      <c r="K73" s="25" t="str">
        <f t="shared" si="1"/>
        <v>0072-10</v>
      </c>
      <c r="L73" s="24">
        <v>72</v>
      </c>
      <c r="M73" s="24"/>
      <c r="N73" s="14"/>
      <c r="O73" s="15"/>
      <c r="P73" s="16">
        <f>Таблица6[[#This Row],[Столбец11]]+Таблица6[[#This Row],[Столбец12]]</f>
        <v>0</v>
      </c>
      <c r="Q73" s="17"/>
      <c r="R73" s="17"/>
      <c r="S73" s="19"/>
      <c r="T73" s="20"/>
      <c r="U73" s="21"/>
      <c r="V73" s="20"/>
      <c r="W73" s="21"/>
      <c r="X73" s="22">
        <f>Таблица6[[#This Row],[Столбец16]]-Таблица6[[#This Row],[Столбец13]]</f>
        <v>0</v>
      </c>
      <c r="Y73" s="23" t="e">
        <f>Таблица6[[#This Row],[Столбец21]]/Таблица6[[#This Row],[Столбец13]]</f>
        <v>#DIV/0!</v>
      </c>
    </row>
    <row r="74" spans="1:25" ht="16.5" thickBot="1" x14ac:dyDescent="0.3">
      <c r="A74" s="12">
        <v>73</v>
      </c>
      <c r="B74" s="12"/>
      <c r="C74" s="24"/>
      <c r="D74" s="24"/>
      <c r="E74" s="24"/>
      <c r="F74" s="24"/>
      <c r="G74" s="24"/>
      <c r="H74" s="25"/>
      <c r="I74" s="24"/>
      <c r="J74" s="12">
        <v>30</v>
      </c>
      <c r="K74" s="13" t="str">
        <f t="shared" si="1"/>
        <v>0073-10</v>
      </c>
      <c r="L74" s="24">
        <v>73</v>
      </c>
      <c r="M74" s="24"/>
      <c r="N74" s="14"/>
      <c r="O74" s="15"/>
      <c r="P74" s="16">
        <f>Таблица6[[#This Row],[Столбец11]]+Таблица6[[#This Row],[Столбец12]]</f>
        <v>0</v>
      </c>
      <c r="Q74" s="17"/>
      <c r="R74" s="17"/>
      <c r="S74" s="19"/>
      <c r="T74" s="20"/>
      <c r="U74" s="21"/>
      <c r="V74" s="20"/>
      <c r="W74" s="21"/>
      <c r="X74" s="22">
        <f>Таблица6[[#This Row],[Столбец16]]-Таблица6[[#This Row],[Столбец13]]</f>
        <v>0</v>
      </c>
      <c r="Y74" s="23" t="e">
        <f>Таблица6[[#This Row],[Столбец21]]/Таблица6[[#This Row],[Столбец13]]</f>
        <v>#DIV/0!</v>
      </c>
    </row>
    <row r="75" spans="1:25" ht="16.5" thickBot="1" x14ac:dyDescent="0.3">
      <c r="A75" s="24">
        <v>74</v>
      </c>
      <c r="B75" s="24"/>
      <c r="C75" s="24"/>
      <c r="D75" s="24"/>
      <c r="E75" s="24"/>
      <c r="F75" s="24"/>
      <c r="G75" s="24"/>
      <c r="H75" s="25"/>
      <c r="I75" s="24"/>
      <c r="J75" s="24">
        <v>31</v>
      </c>
      <c r="K75" s="25" t="str">
        <f t="shared" si="1"/>
        <v>0074-10</v>
      </c>
      <c r="L75" s="24">
        <v>74</v>
      </c>
      <c r="M75" s="24"/>
      <c r="N75" s="14"/>
      <c r="O75" s="15"/>
      <c r="P75" s="16">
        <f>Таблица6[[#This Row],[Столбец11]]+Таблица6[[#This Row],[Столбец12]]</f>
        <v>0</v>
      </c>
      <c r="Q75" s="17"/>
      <c r="R75" s="17"/>
      <c r="S75" s="19"/>
      <c r="T75" s="20"/>
      <c r="U75" s="21"/>
      <c r="V75" s="20"/>
      <c r="W75" s="21"/>
      <c r="X75" s="22">
        <f>Таблица6[[#This Row],[Столбец16]]-Таблица6[[#This Row],[Столбец13]]</f>
        <v>0</v>
      </c>
      <c r="Y75" s="23" t="e">
        <f>Таблица6[[#This Row],[Столбец21]]/Таблица6[[#This Row],[Столбец13]]</f>
        <v>#DIV/0!</v>
      </c>
    </row>
    <row r="76" spans="1:25" ht="16.5" thickBot="1" x14ac:dyDescent="0.3">
      <c r="A76" s="12">
        <v>75</v>
      </c>
      <c r="B76" s="12"/>
      <c r="C76" s="24"/>
      <c r="D76" s="24"/>
      <c r="E76" s="24"/>
      <c r="F76" s="24"/>
      <c r="G76" s="24"/>
      <c r="H76" s="25"/>
      <c r="I76" s="24"/>
      <c r="J76" s="12">
        <v>1</v>
      </c>
      <c r="K76" s="13" t="str">
        <f t="shared" si="1"/>
        <v>0075-10</v>
      </c>
      <c r="L76" s="24">
        <v>75</v>
      </c>
      <c r="M76" s="24"/>
      <c r="N76" s="14"/>
      <c r="O76" s="15"/>
      <c r="P76" s="16">
        <f>Таблица6[[#This Row],[Столбец11]]+Таблица6[[#This Row],[Столбец12]]</f>
        <v>0</v>
      </c>
      <c r="Q76" s="17"/>
      <c r="R76" s="17"/>
      <c r="S76" s="19"/>
      <c r="T76" s="20"/>
      <c r="U76" s="21"/>
      <c r="V76" s="20"/>
      <c r="W76" s="21"/>
      <c r="X76" s="22">
        <f>Таблица6[[#This Row],[Столбец16]]-Таблица6[[#This Row],[Столбец13]]</f>
        <v>0</v>
      </c>
      <c r="Y76" s="23" t="e">
        <f>Таблица6[[#This Row],[Столбец21]]/Таблица6[[#This Row],[Столбец13]]</f>
        <v>#DIV/0!</v>
      </c>
    </row>
    <row r="77" spans="1:25" ht="16.5" thickBot="1" x14ac:dyDescent="0.3">
      <c r="A77" s="24">
        <v>76</v>
      </c>
      <c r="B77" s="24"/>
      <c r="C77" s="24"/>
      <c r="D77" s="24"/>
      <c r="E77" s="24"/>
      <c r="F77" s="24"/>
      <c r="G77" s="24"/>
      <c r="H77" s="25"/>
      <c r="I77" s="24"/>
      <c r="J77" s="24">
        <v>2</v>
      </c>
      <c r="K77" s="25" t="str">
        <f t="shared" si="1"/>
        <v>0076-10</v>
      </c>
      <c r="L77" s="24">
        <v>76</v>
      </c>
      <c r="M77" s="24"/>
      <c r="N77" s="14"/>
      <c r="O77" s="15"/>
      <c r="P77" s="16">
        <f>Таблица6[[#This Row],[Столбец11]]+Таблица6[[#This Row],[Столбец12]]</f>
        <v>0</v>
      </c>
      <c r="Q77" s="17"/>
      <c r="R77" s="17"/>
      <c r="S77" s="19"/>
      <c r="T77" s="20"/>
      <c r="U77" s="21"/>
      <c r="V77" s="20"/>
      <c r="W77" s="21"/>
      <c r="X77" s="22">
        <f>Таблица6[[#This Row],[Столбец16]]-Таблица6[[#This Row],[Столбец13]]</f>
        <v>0</v>
      </c>
      <c r="Y77" s="23" t="e">
        <f>Таблица6[[#This Row],[Столбец21]]/Таблица6[[#This Row],[Столбец13]]</f>
        <v>#DIV/0!</v>
      </c>
    </row>
    <row r="78" spans="1:25" ht="16.5" thickBot="1" x14ac:dyDescent="0.3">
      <c r="A78" s="12">
        <v>77</v>
      </c>
      <c r="B78" s="12"/>
      <c r="C78" s="24"/>
      <c r="D78" s="24"/>
      <c r="E78" s="24"/>
      <c r="F78" s="24"/>
      <c r="G78" s="24"/>
      <c r="H78" s="25"/>
      <c r="I78" s="24"/>
      <c r="J78" s="12">
        <v>3</v>
      </c>
      <c r="K78" s="13" t="str">
        <f t="shared" si="1"/>
        <v>0077-10</v>
      </c>
      <c r="L78" s="24">
        <v>77</v>
      </c>
      <c r="M78" s="24"/>
      <c r="N78" s="14"/>
      <c r="O78" s="15"/>
      <c r="P78" s="16">
        <f>Таблица6[[#This Row],[Столбец11]]+Таблица6[[#This Row],[Столбец12]]</f>
        <v>0</v>
      </c>
      <c r="Q78" s="17"/>
      <c r="R78" s="17"/>
      <c r="S78" s="19"/>
      <c r="T78" s="20"/>
      <c r="U78" s="21"/>
      <c r="V78" s="20"/>
      <c r="W78" s="21"/>
      <c r="X78" s="22">
        <f>Таблица6[[#This Row],[Столбец16]]-Таблица6[[#This Row],[Столбец13]]</f>
        <v>0</v>
      </c>
      <c r="Y78" s="23" t="e">
        <f>Таблица6[[#This Row],[Столбец21]]/Таблица6[[#This Row],[Столбец13]]</f>
        <v>#DIV/0!</v>
      </c>
    </row>
    <row r="79" spans="1:25" ht="16.5" thickBot="1" x14ac:dyDescent="0.3">
      <c r="A79" s="24">
        <v>78</v>
      </c>
      <c r="B79" s="24"/>
      <c r="C79" s="24"/>
      <c r="D79" s="24"/>
      <c r="E79" s="24"/>
      <c r="F79" s="24"/>
      <c r="G79" s="24"/>
      <c r="H79" s="25"/>
      <c r="I79" s="24"/>
      <c r="J79" s="24">
        <v>4</v>
      </c>
      <c r="K79" s="25" t="str">
        <f t="shared" si="1"/>
        <v>0078-10</v>
      </c>
      <c r="L79" s="24">
        <v>78</v>
      </c>
      <c r="M79" s="24"/>
      <c r="N79" s="14"/>
      <c r="O79" s="15"/>
      <c r="P79" s="16">
        <f>Таблица6[[#This Row],[Столбец11]]+Таблица6[[#This Row],[Столбец12]]</f>
        <v>0</v>
      </c>
      <c r="Q79" s="17"/>
      <c r="R79" s="17"/>
      <c r="S79" s="19"/>
      <c r="T79" s="20"/>
      <c r="U79" s="21"/>
      <c r="V79" s="20"/>
      <c r="W79" s="21"/>
      <c r="X79" s="22">
        <f>Таблица6[[#This Row],[Столбец16]]-Таблица6[[#This Row],[Столбец13]]</f>
        <v>0</v>
      </c>
      <c r="Y79" s="23" t="e">
        <f>Таблица6[[#This Row],[Столбец21]]/Таблица6[[#This Row],[Столбец13]]</f>
        <v>#DIV/0!</v>
      </c>
    </row>
    <row r="80" spans="1:25" ht="16.5" thickBot="1" x14ac:dyDescent="0.3">
      <c r="A80" s="12">
        <v>79</v>
      </c>
      <c r="B80" s="12"/>
      <c r="C80" s="24"/>
      <c r="D80" s="24"/>
      <c r="E80" s="24"/>
      <c r="F80" s="24"/>
      <c r="G80" s="24"/>
      <c r="H80" s="25"/>
      <c r="I80" s="24"/>
      <c r="J80" s="12">
        <v>5</v>
      </c>
      <c r="K80" s="13" t="str">
        <f t="shared" si="1"/>
        <v>0079-10</v>
      </c>
      <c r="L80" s="24">
        <v>79</v>
      </c>
      <c r="M80" s="24"/>
      <c r="N80" s="14"/>
      <c r="O80" s="15"/>
      <c r="P80" s="16">
        <f>Таблица6[[#This Row],[Столбец11]]+Таблица6[[#This Row],[Столбец12]]</f>
        <v>0</v>
      </c>
      <c r="Q80" s="17"/>
      <c r="R80" s="17"/>
      <c r="S80" s="19"/>
      <c r="T80" s="20"/>
      <c r="U80" s="21"/>
      <c r="V80" s="20"/>
      <c r="W80" s="21"/>
      <c r="X80" s="22">
        <f>Таблица6[[#This Row],[Столбец16]]-Таблица6[[#This Row],[Столбец13]]</f>
        <v>0</v>
      </c>
      <c r="Y80" s="23" t="e">
        <f>Таблица6[[#This Row],[Столбец21]]/Таблица6[[#This Row],[Столбец13]]</f>
        <v>#DIV/0!</v>
      </c>
    </row>
    <row r="81" spans="1:25" ht="16.5" thickBot="1" x14ac:dyDescent="0.3">
      <c r="A81" s="24">
        <v>80</v>
      </c>
      <c r="B81" s="24"/>
      <c r="C81" s="24"/>
      <c r="D81" s="24"/>
      <c r="E81" s="24"/>
      <c r="F81" s="24"/>
      <c r="G81" s="24"/>
      <c r="H81" s="25"/>
      <c r="I81" s="24"/>
      <c r="J81" s="24">
        <v>6</v>
      </c>
      <c r="K81" s="25" t="str">
        <f t="shared" si="1"/>
        <v>0080-10</v>
      </c>
      <c r="L81" s="24">
        <v>80</v>
      </c>
      <c r="M81" s="24"/>
      <c r="N81" s="14"/>
      <c r="O81" s="15"/>
      <c r="P81" s="16">
        <f>Таблица6[[#This Row],[Столбец11]]+Таблица6[[#This Row],[Столбец12]]</f>
        <v>0</v>
      </c>
      <c r="Q81" s="17"/>
      <c r="R81" s="17"/>
      <c r="S81" s="19"/>
      <c r="T81" s="20"/>
      <c r="U81" s="21"/>
      <c r="V81" s="20"/>
      <c r="W81" s="21"/>
      <c r="X81" s="22">
        <f>Таблица6[[#This Row],[Столбец16]]-Таблица6[[#This Row],[Столбец13]]</f>
        <v>0</v>
      </c>
      <c r="Y81" s="23" t="e">
        <f>Таблица6[[#This Row],[Столбец21]]/Таблица6[[#This Row],[Столбец13]]</f>
        <v>#DIV/0!</v>
      </c>
    </row>
    <row r="82" spans="1:25" ht="16.5" thickBot="1" x14ac:dyDescent="0.3">
      <c r="A82" s="12">
        <v>81</v>
      </c>
      <c r="B82" s="12"/>
      <c r="C82" s="24"/>
      <c r="D82" s="24"/>
      <c r="E82" s="24"/>
      <c r="F82" s="24"/>
      <c r="G82" s="24"/>
      <c r="H82" s="25"/>
      <c r="I82" s="24"/>
      <c r="J82" s="12">
        <v>7</v>
      </c>
      <c r="K82" s="13" t="str">
        <f t="shared" si="1"/>
        <v>0081-10</v>
      </c>
      <c r="L82" s="24">
        <v>81</v>
      </c>
      <c r="M82" s="24"/>
      <c r="N82" s="14"/>
      <c r="O82" s="15"/>
      <c r="P82" s="16">
        <f>Таблица6[[#This Row],[Столбец11]]+Таблица6[[#This Row],[Столбец12]]</f>
        <v>0</v>
      </c>
      <c r="Q82" s="17"/>
      <c r="R82" s="17"/>
      <c r="S82" s="19"/>
      <c r="T82" s="20"/>
      <c r="U82" s="21"/>
      <c r="V82" s="20"/>
      <c r="W82" s="21"/>
      <c r="X82" s="22">
        <f>Таблица6[[#This Row],[Столбец16]]-Таблица6[[#This Row],[Столбец13]]</f>
        <v>0</v>
      </c>
      <c r="Y82" s="23" t="e">
        <f>Таблица6[[#This Row],[Столбец21]]/Таблица6[[#This Row],[Столбец13]]</f>
        <v>#DIV/0!</v>
      </c>
    </row>
    <row r="83" spans="1:25" ht="16.5" thickBot="1" x14ac:dyDescent="0.3">
      <c r="A83" s="24">
        <v>82</v>
      </c>
      <c r="B83" s="24"/>
      <c r="C83" s="24"/>
      <c r="D83" s="24"/>
      <c r="E83" s="24"/>
      <c r="F83" s="24"/>
      <c r="G83" s="24"/>
      <c r="H83" s="25"/>
      <c r="I83" s="24"/>
      <c r="J83" s="24">
        <v>8</v>
      </c>
      <c r="K83" s="25" t="str">
        <f t="shared" si="1"/>
        <v>0082-10</v>
      </c>
      <c r="L83" s="24">
        <v>82</v>
      </c>
      <c r="M83" s="24"/>
      <c r="N83" s="14"/>
      <c r="O83" s="15"/>
      <c r="P83" s="16">
        <f>Таблица6[[#This Row],[Столбец11]]+Таблица6[[#This Row],[Столбец12]]</f>
        <v>0</v>
      </c>
      <c r="Q83" s="17"/>
      <c r="R83" s="17"/>
      <c r="S83" s="19"/>
      <c r="T83" s="20"/>
      <c r="U83" s="21"/>
      <c r="V83" s="20"/>
      <c r="W83" s="21"/>
      <c r="X83" s="22">
        <f>Таблица6[[#This Row],[Столбец16]]-Таблица6[[#This Row],[Столбец13]]</f>
        <v>0</v>
      </c>
      <c r="Y83" s="23" t="e">
        <f>Таблица6[[#This Row],[Столбец21]]/Таблица6[[#This Row],[Столбец13]]</f>
        <v>#DIV/0!</v>
      </c>
    </row>
    <row r="84" spans="1:25" ht="16.5" thickBot="1" x14ac:dyDescent="0.3">
      <c r="A84" s="12">
        <v>83</v>
      </c>
      <c r="B84" s="12"/>
      <c r="C84" s="24"/>
      <c r="D84" s="24"/>
      <c r="E84" s="24"/>
      <c r="F84" s="24"/>
      <c r="G84" s="24"/>
      <c r="H84" s="25"/>
      <c r="I84" s="24"/>
      <c r="J84" s="12">
        <v>9</v>
      </c>
      <c r="K84" s="13" t="str">
        <f t="shared" si="1"/>
        <v>0083-10</v>
      </c>
      <c r="L84" s="24">
        <v>83</v>
      </c>
      <c r="M84" s="24"/>
      <c r="N84" s="14"/>
      <c r="O84" s="15"/>
      <c r="P84" s="16">
        <f>Таблица6[[#This Row],[Столбец11]]+Таблица6[[#This Row],[Столбец12]]</f>
        <v>0</v>
      </c>
      <c r="Q84" s="17"/>
      <c r="R84" s="17"/>
      <c r="S84" s="19"/>
      <c r="T84" s="20"/>
      <c r="U84" s="21"/>
      <c r="V84" s="20"/>
      <c r="W84" s="21"/>
      <c r="X84" s="22">
        <f>Таблица6[[#This Row],[Столбец16]]-Таблица6[[#This Row],[Столбец13]]</f>
        <v>0</v>
      </c>
      <c r="Y84" s="23" t="e">
        <f>Таблица6[[#This Row],[Столбец21]]/Таблица6[[#This Row],[Столбец13]]</f>
        <v>#DIV/0!</v>
      </c>
    </row>
    <row r="85" spans="1:25" ht="16.5" thickBot="1" x14ac:dyDescent="0.3">
      <c r="A85" s="24">
        <v>84</v>
      </c>
      <c r="B85" s="24"/>
      <c r="C85" s="24"/>
      <c r="D85" s="24"/>
      <c r="E85" s="24"/>
      <c r="F85" s="24"/>
      <c r="G85" s="24"/>
      <c r="H85" s="25"/>
      <c r="I85" s="24"/>
      <c r="J85" s="24">
        <v>10</v>
      </c>
      <c r="K85" s="25" t="str">
        <f t="shared" si="1"/>
        <v>0084-10</v>
      </c>
      <c r="L85" s="24">
        <v>84</v>
      </c>
      <c r="M85" s="24"/>
      <c r="N85" s="14"/>
      <c r="O85" s="15"/>
      <c r="P85" s="16">
        <f>Таблица6[[#This Row],[Столбец11]]+Таблица6[[#This Row],[Столбец12]]</f>
        <v>0</v>
      </c>
      <c r="Q85" s="17"/>
      <c r="R85" s="17"/>
      <c r="S85" s="19"/>
      <c r="T85" s="20"/>
      <c r="U85" s="21"/>
      <c r="V85" s="20"/>
      <c r="W85" s="21"/>
      <c r="X85" s="22">
        <f>Таблица6[[#This Row],[Столбец16]]-Таблица6[[#This Row],[Столбец13]]</f>
        <v>0</v>
      </c>
      <c r="Y85" s="23" t="e">
        <f>Таблица6[[#This Row],[Столбец21]]/Таблица6[[#This Row],[Столбец13]]</f>
        <v>#DIV/0!</v>
      </c>
    </row>
    <row r="86" spans="1:25" ht="16.5" thickBot="1" x14ac:dyDescent="0.3">
      <c r="A86" s="12">
        <v>85</v>
      </c>
      <c r="B86" s="12"/>
      <c r="C86" s="24"/>
      <c r="D86" s="24"/>
      <c r="E86" s="24"/>
      <c r="F86" s="24"/>
      <c r="G86" s="24"/>
      <c r="H86" s="25"/>
      <c r="I86" s="24"/>
      <c r="J86" s="12">
        <v>11</v>
      </c>
      <c r="K86" s="13" t="str">
        <f t="shared" si="1"/>
        <v>0085-10</v>
      </c>
      <c r="L86" s="24">
        <v>85</v>
      </c>
      <c r="M86" s="24"/>
      <c r="N86" s="14"/>
      <c r="O86" s="15"/>
      <c r="P86" s="16">
        <f>Таблица6[[#This Row],[Столбец11]]+Таблица6[[#This Row],[Столбец12]]</f>
        <v>0</v>
      </c>
      <c r="Q86" s="17"/>
      <c r="R86" s="17"/>
      <c r="S86" s="19"/>
      <c r="T86" s="20"/>
      <c r="U86" s="21"/>
      <c r="V86" s="20"/>
      <c r="W86" s="21"/>
      <c r="X86" s="22">
        <f>Таблица6[[#This Row],[Столбец16]]-Таблица6[[#This Row],[Столбец13]]</f>
        <v>0</v>
      </c>
      <c r="Y86" s="23" t="e">
        <f>Таблица6[[#This Row],[Столбец21]]/Таблица6[[#This Row],[Столбец13]]</f>
        <v>#DIV/0!</v>
      </c>
    </row>
    <row r="87" spans="1:25" ht="16.5" thickBot="1" x14ac:dyDescent="0.3">
      <c r="A87" s="24">
        <v>86</v>
      </c>
      <c r="B87" s="24"/>
      <c r="C87" s="24"/>
      <c r="D87" s="24"/>
      <c r="E87" s="24"/>
      <c r="F87" s="24"/>
      <c r="G87" s="24"/>
      <c r="H87" s="25"/>
      <c r="I87" s="24"/>
      <c r="J87" s="24">
        <v>12</v>
      </c>
      <c r="K87" s="25" t="str">
        <f t="shared" si="1"/>
        <v>0086-10</v>
      </c>
      <c r="L87" s="24">
        <v>86</v>
      </c>
      <c r="M87" s="24"/>
      <c r="N87" s="14"/>
      <c r="O87" s="15"/>
      <c r="P87" s="16">
        <f>Таблица6[[#This Row],[Столбец11]]+Таблица6[[#This Row],[Столбец12]]</f>
        <v>0</v>
      </c>
      <c r="Q87" s="17"/>
      <c r="R87" s="17"/>
      <c r="S87" s="19"/>
      <c r="T87" s="20"/>
      <c r="U87" s="21"/>
      <c r="V87" s="20"/>
      <c r="W87" s="21"/>
      <c r="X87" s="22">
        <f>Таблица6[[#This Row],[Столбец16]]-Таблица6[[#This Row],[Столбец13]]</f>
        <v>0</v>
      </c>
      <c r="Y87" s="23" t="e">
        <f>Таблица6[[#This Row],[Столбец21]]/Таблица6[[#This Row],[Столбец13]]</f>
        <v>#DIV/0!</v>
      </c>
    </row>
    <row r="88" spans="1:25" ht="16.5" thickBot="1" x14ac:dyDescent="0.3">
      <c r="A88" s="12">
        <v>87</v>
      </c>
      <c r="B88" s="12"/>
      <c r="C88" s="24"/>
      <c r="D88" s="24"/>
      <c r="E88" s="24"/>
      <c r="F88" s="24"/>
      <c r="G88" s="24"/>
      <c r="H88" s="25"/>
      <c r="I88" s="24"/>
      <c r="J88" s="12">
        <v>13</v>
      </c>
      <c r="K88" s="13" t="str">
        <f t="shared" si="1"/>
        <v>0087-10</v>
      </c>
      <c r="L88" s="24">
        <v>87</v>
      </c>
      <c r="M88" s="24"/>
      <c r="N88" s="14"/>
      <c r="O88" s="15"/>
      <c r="P88" s="16">
        <f>Таблица6[[#This Row],[Столбец11]]+Таблица6[[#This Row],[Столбец12]]</f>
        <v>0</v>
      </c>
      <c r="Q88" s="17"/>
      <c r="R88" s="17"/>
      <c r="S88" s="19"/>
      <c r="T88" s="20"/>
      <c r="U88" s="21"/>
      <c r="V88" s="20"/>
      <c r="W88" s="21"/>
      <c r="X88" s="22">
        <f>Таблица6[[#This Row],[Столбец16]]-Таблица6[[#This Row],[Столбец13]]</f>
        <v>0</v>
      </c>
      <c r="Y88" s="23" t="e">
        <f>Таблица6[[#This Row],[Столбец21]]/Таблица6[[#This Row],[Столбец13]]</f>
        <v>#DIV/0!</v>
      </c>
    </row>
    <row r="89" spans="1:25" ht="16.5" thickBot="1" x14ac:dyDescent="0.3">
      <c r="A89" s="24">
        <v>88</v>
      </c>
      <c r="B89" s="24"/>
      <c r="C89" s="24"/>
      <c r="D89" s="24"/>
      <c r="E89" s="24"/>
      <c r="F89" s="24"/>
      <c r="G89" s="24"/>
      <c r="H89" s="25"/>
      <c r="I89" s="24"/>
      <c r="J89" s="24">
        <v>14</v>
      </c>
      <c r="K89" s="25" t="str">
        <f t="shared" si="1"/>
        <v>0088-10</v>
      </c>
      <c r="L89" s="24">
        <v>88</v>
      </c>
      <c r="M89" s="24"/>
      <c r="N89" s="14"/>
      <c r="O89" s="15"/>
      <c r="P89" s="16">
        <f>Таблица6[[#This Row],[Столбец11]]+Таблица6[[#This Row],[Столбец12]]</f>
        <v>0</v>
      </c>
      <c r="Q89" s="17"/>
      <c r="R89" s="17"/>
      <c r="S89" s="19"/>
      <c r="T89" s="20"/>
      <c r="U89" s="21"/>
      <c r="V89" s="20"/>
      <c r="W89" s="21"/>
      <c r="X89" s="22">
        <f>Таблица6[[#This Row],[Столбец16]]-Таблица6[[#This Row],[Столбец13]]</f>
        <v>0</v>
      </c>
      <c r="Y89" s="23" t="e">
        <f>Таблица6[[#This Row],[Столбец21]]/Таблица6[[#This Row],[Столбец13]]</f>
        <v>#DIV/0!</v>
      </c>
    </row>
    <row r="90" spans="1:25" ht="16.5" thickBot="1" x14ac:dyDescent="0.3">
      <c r="A90" s="12">
        <v>89</v>
      </c>
      <c r="B90" s="12"/>
      <c r="C90" s="24"/>
      <c r="D90" s="24"/>
      <c r="E90" s="24"/>
      <c r="F90" s="24"/>
      <c r="G90" s="24"/>
      <c r="H90" s="25"/>
      <c r="I90" s="24"/>
      <c r="J90" s="12">
        <v>15</v>
      </c>
      <c r="K90" s="13" t="str">
        <f t="shared" si="1"/>
        <v>0089-10</v>
      </c>
      <c r="L90" s="24">
        <v>89</v>
      </c>
      <c r="M90" s="24"/>
      <c r="N90" s="14"/>
      <c r="O90" s="15"/>
      <c r="P90" s="16">
        <f>Таблица6[[#This Row],[Столбец11]]+Таблица6[[#This Row],[Столбец12]]</f>
        <v>0</v>
      </c>
      <c r="Q90" s="17"/>
      <c r="R90" s="17"/>
      <c r="S90" s="19"/>
      <c r="T90" s="20"/>
      <c r="U90" s="21"/>
      <c r="V90" s="20"/>
      <c r="W90" s="21"/>
      <c r="X90" s="22">
        <f>Таблица6[[#This Row],[Столбец16]]-Таблица6[[#This Row],[Столбец13]]</f>
        <v>0</v>
      </c>
      <c r="Y90" s="23" t="e">
        <f>Таблица6[[#This Row],[Столбец21]]/Таблица6[[#This Row],[Столбец13]]</f>
        <v>#DIV/0!</v>
      </c>
    </row>
    <row r="91" spans="1:25" ht="16.5" thickBot="1" x14ac:dyDescent="0.3">
      <c r="A91" s="24">
        <v>90</v>
      </c>
      <c r="B91" s="24"/>
      <c r="C91" s="24"/>
      <c r="D91" s="24"/>
      <c r="E91" s="24"/>
      <c r="F91" s="24"/>
      <c r="G91" s="24"/>
      <c r="H91" s="25"/>
      <c r="I91" s="24"/>
      <c r="J91" s="24">
        <v>16</v>
      </c>
      <c r="K91" s="25" t="str">
        <f t="shared" si="1"/>
        <v>0090-10</v>
      </c>
      <c r="L91" s="24">
        <v>90</v>
      </c>
      <c r="M91" s="24"/>
      <c r="N91" s="14"/>
      <c r="O91" s="15"/>
      <c r="P91" s="16">
        <f>Таблица6[[#This Row],[Столбец11]]+Таблица6[[#This Row],[Столбец12]]</f>
        <v>0</v>
      </c>
      <c r="Q91" s="17"/>
      <c r="R91" s="17"/>
      <c r="S91" s="19"/>
      <c r="T91" s="20"/>
      <c r="U91" s="21"/>
      <c r="V91" s="20"/>
      <c r="W91" s="21"/>
      <c r="X91" s="22">
        <f>Таблица6[[#This Row],[Столбец16]]-Таблица6[[#This Row],[Столбец13]]</f>
        <v>0</v>
      </c>
      <c r="Y91" s="23" t="e">
        <f>Таблица6[[#This Row],[Столбец21]]/Таблица6[[#This Row],[Столбец13]]</f>
        <v>#DIV/0!</v>
      </c>
    </row>
    <row r="92" spans="1:25" ht="16.5" thickBot="1" x14ac:dyDescent="0.3">
      <c r="A92" s="12">
        <v>91</v>
      </c>
      <c r="B92" s="12"/>
      <c r="C92" s="24"/>
      <c r="D92" s="24"/>
      <c r="E92" s="24"/>
      <c r="F92" s="24"/>
      <c r="G92" s="24"/>
      <c r="H92" s="25"/>
      <c r="I92" s="24"/>
      <c r="J92" s="12">
        <v>17</v>
      </c>
      <c r="K92" s="13" t="str">
        <f t="shared" si="1"/>
        <v>0091-10</v>
      </c>
      <c r="L92" s="24">
        <v>91</v>
      </c>
      <c r="M92" s="24"/>
      <c r="N92" s="14"/>
      <c r="O92" s="15"/>
      <c r="P92" s="16"/>
      <c r="Q92" s="17"/>
      <c r="R92" s="17"/>
      <c r="S92" s="19"/>
      <c r="T92" s="20"/>
      <c r="U92" s="21"/>
      <c r="V92" s="20"/>
      <c r="W92" s="21"/>
      <c r="X92" s="22">
        <f>Таблица6[[#This Row],[Столбец16]]-Таблица6[[#This Row],[Столбец13]]</f>
        <v>0</v>
      </c>
      <c r="Y92" s="23"/>
    </row>
    <row r="93" spans="1:25" ht="16.5" thickBot="1" x14ac:dyDescent="0.3">
      <c r="A93" s="24">
        <v>92</v>
      </c>
      <c r="B93" s="24"/>
      <c r="C93" s="24"/>
      <c r="D93" s="24"/>
      <c r="E93" s="24"/>
      <c r="F93" s="24"/>
      <c r="G93" s="24"/>
      <c r="H93" s="25"/>
      <c r="I93" s="24"/>
      <c r="J93" s="24">
        <v>18</v>
      </c>
      <c r="K93" s="25" t="str">
        <f t="shared" si="1"/>
        <v>0092-10</v>
      </c>
      <c r="L93" s="24">
        <v>92</v>
      </c>
      <c r="M93" s="24"/>
      <c r="N93" s="14"/>
      <c r="O93" s="15"/>
      <c r="P93" s="16">
        <f>Таблица6[[#This Row],[Столбец11]]+Таблица6[[#This Row],[Столбец12]]</f>
        <v>0</v>
      </c>
      <c r="Q93" s="17"/>
      <c r="R93" s="17"/>
      <c r="S93" s="19"/>
      <c r="T93" s="20"/>
      <c r="U93" s="21"/>
      <c r="V93" s="20"/>
      <c r="W93" s="21"/>
      <c r="X93" s="22">
        <f>Таблица6[[#This Row],[Столбец16]]-Таблица6[[#This Row],[Столбец13]]</f>
        <v>0</v>
      </c>
      <c r="Y93" s="23" t="e">
        <f>Таблица6[[#This Row],[Столбец21]]/Таблица6[[#This Row],[Столбец13]]</f>
        <v>#DIV/0!</v>
      </c>
    </row>
    <row r="94" spans="1:25" ht="16.5" outlineLevel="1" thickBot="1" x14ac:dyDescent="0.3">
      <c r="A94" s="12">
        <v>93</v>
      </c>
      <c r="B94" s="12"/>
      <c r="C94" s="24"/>
      <c r="D94" s="24"/>
      <c r="E94" s="24"/>
      <c r="F94" s="24"/>
      <c r="G94" s="24"/>
      <c r="H94" s="25"/>
      <c r="I94" s="24"/>
      <c r="J94" s="12">
        <v>19</v>
      </c>
      <c r="K94" s="13" t="str">
        <f t="shared" si="1"/>
        <v>0093-10</v>
      </c>
      <c r="L94" s="24">
        <v>93</v>
      </c>
      <c r="M94" s="24"/>
      <c r="N94" s="14"/>
      <c r="O94" s="15"/>
      <c r="P94" s="16">
        <f>Таблица6[[#This Row],[Столбец11]]+Таблица6[[#This Row],[Столбец12]]</f>
        <v>0</v>
      </c>
      <c r="Q94" s="17"/>
      <c r="R94" s="17"/>
      <c r="S94" s="19"/>
      <c r="T94" s="20"/>
      <c r="U94" s="21"/>
      <c r="V94" s="20"/>
      <c r="W94" s="21"/>
      <c r="X94" s="22">
        <f>Таблица6[[#This Row],[Столбец16]]-Таблица6[[#This Row],[Столбец13]]</f>
        <v>0</v>
      </c>
      <c r="Y94" s="23" t="e">
        <f>Таблица6[[#This Row],[Столбец21]]/Таблица6[[#This Row],[Столбец13]]</f>
        <v>#DIV/0!</v>
      </c>
    </row>
    <row r="95" spans="1:25" ht="16.5" outlineLevel="1" thickBot="1" x14ac:dyDescent="0.3">
      <c r="A95" s="24">
        <v>94</v>
      </c>
      <c r="B95" s="24"/>
      <c r="C95" s="24"/>
      <c r="D95" s="24"/>
      <c r="E95" s="24"/>
      <c r="F95" s="24"/>
      <c r="G95" s="24"/>
      <c r="H95" s="25"/>
      <c r="I95" s="24"/>
      <c r="J95" s="24">
        <v>20</v>
      </c>
      <c r="K95" s="25" t="str">
        <f t="shared" si="1"/>
        <v>0094-10</v>
      </c>
      <c r="L95" s="24">
        <v>94</v>
      </c>
      <c r="M95" s="24"/>
      <c r="N95" s="14"/>
      <c r="O95" s="15"/>
      <c r="P95" s="16">
        <f>Таблица6[[#This Row],[Столбец11]]+Таблица6[[#This Row],[Столбец12]]</f>
        <v>0</v>
      </c>
      <c r="Q95" s="17"/>
      <c r="R95" s="17"/>
      <c r="S95" s="19"/>
      <c r="T95" s="20"/>
      <c r="U95" s="21"/>
      <c r="V95" s="20"/>
      <c r="W95" s="21"/>
      <c r="X95" s="22">
        <f>Таблица6[[#This Row],[Столбец16]]-Таблица6[[#This Row],[Столбец13]]</f>
        <v>0</v>
      </c>
      <c r="Y95" s="23" t="e">
        <f>Таблица6[[#This Row],[Столбец21]]/Таблица6[[#This Row],[Столбец13]]</f>
        <v>#DIV/0!</v>
      </c>
    </row>
    <row r="96" spans="1:25" ht="16.5" outlineLevel="1" thickBot="1" x14ac:dyDescent="0.3">
      <c r="A96" s="12">
        <v>95</v>
      </c>
      <c r="B96" s="12"/>
      <c r="C96" s="24"/>
      <c r="D96" s="24"/>
      <c r="E96" s="24"/>
      <c r="F96" s="24"/>
      <c r="G96" s="24"/>
      <c r="H96" s="25"/>
      <c r="I96" s="24"/>
      <c r="J96" s="12">
        <v>21</v>
      </c>
      <c r="K96" s="13" t="str">
        <f t="shared" si="1"/>
        <v>0095-10</v>
      </c>
      <c r="L96" s="24">
        <v>95</v>
      </c>
      <c r="M96" s="24"/>
      <c r="N96" s="14"/>
      <c r="O96" s="15"/>
      <c r="P96" s="16">
        <f>Таблица6[[#This Row],[Столбец11]]+Таблица6[[#This Row],[Столбец12]]</f>
        <v>0</v>
      </c>
      <c r="Q96" s="17"/>
      <c r="R96" s="17"/>
      <c r="S96" s="28"/>
      <c r="T96" s="20"/>
      <c r="U96" s="21"/>
      <c r="V96" s="20"/>
      <c r="W96" s="21"/>
      <c r="X96" s="22">
        <f>Таблица6[[#This Row],[Столбец16]]-Таблица6[[#This Row],[Столбец13]]</f>
        <v>0</v>
      </c>
      <c r="Y96" s="23" t="e">
        <f>Таблица6[[#This Row],[Столбец21]]/Таблица6[[#This Row],[Столбец13]]</f>
        <v>#DIV/0!</v>
      </c>
    </row>
    <row r="97" spans="1:29" ht="16.5" outlineLevel="1" thickBot="1" x14ac:dyDescent="0.3">
      <c r="A97" s="24">
        <v>96</v>
      </c>
      <c r="B97" s="24"/>
      <c r="C97" s="24"/>
      <c r="D97" s="24"/>
      <c r="E97" s="24"/>
      <c r="F97" s="24"/>
      <c r="G97" s="24"/>
      <c r="H97" s="25"/>
      <c r="I97" s="24"/>
      <c r="J97" s="24">
        <v>22</v>
      </c>
      <c r="K97" s="25" t="str">
        <f t="shared" si="1"/>
        <v>0096-10</v>
      </c>
      <c r="L97" s="24">
        <v>96</v>
      </c>
      <c r="M97" s="24"/>
      <c r="N97" s="14"/>
      <c r="O97" s="15"/>
      <c r="P97" s="16">
        <f>Таблица6[[#This Row],[Столбец11]]+Таблица6[[#This Row],[Столбец12]]</f>
        <v>0</v>
      </c>
      <c r="Q97" s="17"/>
      <c r="R97" s="17"/>
      <c r="S97" s="19"/>
      <c r="T97" s="20"/>
      <c r="U97" s="21"/>
      <c r="V97" s="20"/>
      <c r="W97" s="21"/>
      <c r="X97" s="22">
        <f>Таблица6[[#This Row],[Столбец16]]-Таблица6[[#This Row],[Столбец13]]</f>
        <v>0</v>
      </c>
      <c r="Y97" s="23" t="e">
        <f>Таблица6[[#This Row],[Столбец21]]/Таблица6[[#This Row],[Столбец13]]</f>
        <v>#DIV/0!</v>
      </c>
    </row>
    <row r="98" spans="1:29" ht="16.5" outlineLevel="1" thickBot="1" x14ac:dyDescent="0.3">
      <c r="A98" s="12">
        <v>97</v>
      </c>
      <c r="B98" s="12"/>
      <c r="C98" s="24"/>
      <c r="D98" s="24"/>
      <c r="E98" s="24"/>
      <c r="F98" s="24"/>
      <c r="G98" s="24"/>
      <c r="H98" s="25"/>
      <c r="I98" s="24"/>
      <c r="J98" s="12">
        <v>23</v>
      </c>
      <c r="K98" s="13" t="str">
        <f t="shared" si="1"/>
        <v>0097-10</v>
      </c>
      <c r="L98" s="24">
        <v>97</v>
      </c>
      <c r="M98" s="24"/>
      <c r="N98" s="14"/>
      <c r="O98" s="15"/>
      <c r="P98" s="16">
        <f>Таблица6[[#This Row],[Столбец11]]+Таблица6[[#This Row],[Столбец12]]</f>
        <v>0</v>
      </c>
      <c r="Q98" s="17"/>
      <c r="R98" s="17"/>
      <c r="S98" s="19"/>
      <c r="T98" s="20"/>
      <c r="U98" s="21"/>
      <c r="V98" s="20"/>
      <c r="W98" s="21"/>
      <c r="X98" s="22">
        <f>Таблица6[[#This Row],[Столбец16]]-Таблица6[[#This Row],[Столбец13]]</f>
        <v>0</v>
      </c>
      <c r="Y98" s="23" t="e">
        <f>Таблица6[[#This Row],[Столбец21]]/Таблица6[[#This Row],[Столбец13]]</f>
        <v>#DIV/0!</v>
      </c>
    </row>
    <row r="99" spans="1:29" ht="16.5" outlineLevel="1" thickBot="1" x14ac:dyDescent="0.3">
      <c r="A99" s="24">
        <v>98</v>
      </c>
      <c r="B99" s="24"/>
      <c r="C99" s="24"/>
      <c r="D99" s="24"/>
      <c r="E99" s="24"/>
      <c r="F99" s="24"/>
      <c r="G99" s="24"/>
      <c r="H99" s="25"/>
      <c r="I99" s="24"/>
      <c r="J99" s="24">
        <v>24</v>
      </c>
      <c r="K99" s="25" t="str">
        <f t="shared" si="1"/>
        <v>0098-10</v>
      </c>
      <c r="L99" s="24">
        <v>98</v>
      </c>
      <c r="M99" s="24"/>
      <c r="N99" s="14"/>
      <c r="O99" s="15"/>
      <c r="P99" s="16">
        <f>Таблица6[[#This Row],[Столбец11]]+Таблица6[[#This Row],[Столбец12]]</f>
        <v>0</v>
      </c>
      <c r="Q99" s="17"/>
      <c r="R99" s="17"/>
      <c r="S99" s="28"/>
      <c r="T99" s="20"/>
      <c r="U99" s="21"/>
      <c r="V99" s="20"/>
      <c r="W99" s="21"/>
      <c r="X99" s="22">
        <f>Таблица6[[#This Row],[Столбец16]]-Таблица6[[#This Row],[Столбец13]]</f>
        <v>0</v>
      </c>
      <c r="Y99" s="23" t="e">
        <f>Таблица6[[#This Row],[Столбец21]]/Таблица6[[#This Row],[Столбец13]]</f>
        <v>#DIV/0!</v>
      </c>
    </row>
    <row r="100" spans="1:29" ht="16.5" outlineLevel="1" thickBot="1" x14ac:dyDescent="0.3">
      <c r="A100" s="12">
        <v>99</v>
      </c>
      <c r="B100" s="12"/>
      <c r="C100" s="24"/>
      <c r="D100" s="24"/>
      <c r="E100" s="24"/>
      <c r="F100" s="24"/>
      <c r="G100" s="24"/>
      <c r="H100" s="25"/>
      <c r="I100" s="24"/>
      <c r="J100" s="12">
        <v>25</v>
      </c>
      <c r="K100" s="13" t="str">
        <f t="shared" si="1"/>
        <v>0099-10</v>
      </c>
      <c r="L100" s="24">
        <v>99</v>
      </c>
      <c r="M100" s="12"/>
      <c r="N100" s="14"/>
      <c r="O100" s="15"/>
      <c r="P100" s="16">
        <f>Таблица6[[#This Row],[Столбец11]]+Таблица6[[#This Row],[Столбец12]]</f>
        <v>0</v>
      </c>
      <c r="Q100" s="17"/>
      <c r="R100" s="17"/>
      <c r="S100" s="28"/>
      <c r="T100" s="20"/>
      <c r="U100" s="21"/>
      <c r="V100" s="20"/>
      <c r="W100" s="21"/>
      <c r="X100" s="22">
        <f>Таблица6[[#This Row],[Столбец16]]-Таблица6[[#This Row],[Столбец13]]</f>
        <v>0</v>
      </c>
      <c r="Y100" s="23" t="e">
        <f>Таблица6[[#This Row],[Столбец21]]/Таблица6[[#This Row],[Столбец13]]</f>
        <v>#DIV/0!</v>
      </c>
    </row>
    <row r="101" spans="1:29" ht="16.5" outlineLevel="1" thickBot="1" x14ac:dyDescent="0.3">
      <c r="A101" s="24">
        <v>100</v>
      </c>
      <c r="B101" s="24"/>
      <c r="C101" s="24"/>
      <c r="D101" s="24"/>
      <c r="E101" s="24"/>
      <c r="F101" s="24"/>
      <c r="G101" s="24"/>
      <c r="H101" s="25"/>
      <c r="I101" s="24"/>
      <c r="J101" s="24">
        <v>26</v>
      </c>
      <c r="K101" s="25" t="str">
        <f t="shared" si="1"/>
        <v>00100-10</v>
      </c>
      <c r="L101" s="24">
        <v>100</v>
      </c>
      <c r="M101" s="24"/>
      <c r="N101" s="14"/>
      <c r="O101" s="15"/>
      <c r="P101" s="16">
        <f>Таблица6[[#This Row],[Столбец11]]+Таблица6[[#This Row],[Столбец12]]</f>
        <v>0</v>
      </c>
      <c r="Q101" s="17"/>
      <c r="R101" s="17"/>
      <c r="S101" s="28"/>
      <c r="T101" s="20"/>
      <c r="U101" s="21"/>
      <c r="V101" s="20"/>
      <c r="W101" s="21"/>
      <c r="X101" s="22">
        <f>Таблица6[[#This Row],[Столбец16]]-Таблица6[[#This Row],[Столбец13]]</f>
        <v>0</v>
      </c>
      <c r="Y101" s="23" t="e">
        <f>Таблица6[[#This Row],[Столбец21]]/Таблица6[[#This Row],[Столбец13]]</f>
        <v>#DIV/0!</v>
      </c>
    </row>
    <row r="102" spans="1:29" ht="16.5" outlineLevel="1" thickBot="1" x14ac:dyDescent="0.3">
      <c r="A102" s="12">
        <v>101</v>
      </c>
      <c r="B102" s="12"/>
      <c r="C102" s="24"/>
      <c r="D102" s="24"/>
      <c r="E102" s="24"/>
      <c r="F102" s="24"/>
      <c r="G102" s="24"/>
      <c r="H102" s="25"/>
      <c r="I102" s="24"/>
      <c r="J102" s="12">
        <v>27</v>
      </c>
      <c r="K102" s="13" t="str">
        <f t="shared" si="1"/>
        <v>00101-10</v>
      </c>
      <c r="L102" s="24">
        <v>101</v>
      </c>
      <c r="M102" s="12"/>
      <c r="N102" s="14"/>
      <c r="O102" s="15"/>
      <c r="P102" s="16">
        <f>Таблица6[[#This Row],[Столбец11]]+Таблица6[[#This Row],[Столбец12]]</f>
        <v>0</v>
      </c>
      <c r="Q102" s="17"/>
      <c r="R102" s="17"/>
      <c r="S102" s="28"/>
      <c r="T102" s="20"/>
      <c r="U102" s="21"/>
      <c r="V102" s="20"/>
      <c r="W102" s="21"/>
      <c r="X102" s="22">
        <f>Таблица6[[#This Row],[Столбец16]]-Таблица6[[#This Row],[Столбец13]]</f>
        <v>0</v>
      </c>
      <c r="Y102" s="23" t="e">
        <f>Таблица6[[#This Row],[Столбец21]]/Таблица6[[#This Row],[Столбец13]]</f>
        <v>#DIV/0!</v>
      </c>
    </row>
    <row r="103" spans="1:29" ht="16.5" outlineLevel="1" thickBot="1" x14ac:dyDescent="0.3">
      <c r="A103" s="24">
        <v>102</v>
      </c>
      <c r="B103" s="24"/>
      <c r="C103" s="24"/>
      <c r="D103" s="24"/>
      <c r="E103" s="24"/>
      <c r="F103" s="24"/>
      <c r="G103" s="24"/>
      <c r="H103" s="25"/>
      <c r="I103" s="24"/>
      <c r="J103" s="24">
        <v>28</v>
      </c>
      <c r="K103" s="25" t="str">
        <f t="shared" si="1"/>
        <v>00102-10</v>
      </c>
      <c r="L103" s="24">
        <v>102</v>
      </c>
      <c r="M103" s="24"/>
      <c r="N103" s="14"/>
      <c r="O103" s="15"/>
      <c r="P103" s="16">
        <f>Таблица6[[#This Row],[Столбец11]]+Таблица6[[#This Row],[Столбец12]]</f>
        <v>0</v>
      </c>
      <c r="Q103" s="17"/>
      <c r="R103" s="17"/>
      <c r="S103" s="28"/>
      <c r="T103" s="20"/>
      <c r="U103" s="21"/>
      <c r="V103" s="20"/>
      <c r="W103" s="21"/>
      <c r="X103" s="22">
        <f>Таблица6[[#This Row],[Столбец16]]-Таблица6[[#This Row],[Столбец13]]</f>
        <v>0</v>
      </c>
      <c r="Y103" s="23" t="e">
        <f>Таблица6[[#This Row],[Столбец21]]/Таблица6[[#This Row],[Столбец13]]</f>
        <v>#DIV/0!</v>
      </c>
    </row>
    <row r="104" spans="1:29" ht="16.5" outlineLevel="1" thickBot="1" x14ac:dyDescent="0.3">
      <c r="A104" s="12">
        <v>103</v>
      </c>
      <c r="B104" s="12"/>
      <c r="C104" s="24"/>
      <c r="D104" s="24"/>
      <c r="E104" s="24"/>
      <c r="F104" s="24"/>
      <c r="G104" s="24"/>
      <c r="H104" s="25"/>
      <c r="I104" s="24"/>
      <c r="J104" s="12">
        <v>29</v>
      </c>
      <c r="K104" s="13" t="str">
        <f t="shared" si="1"/>
        <v>00103-10</v>
      </c>
      <c r="L104" s="24">
        <v>103</v>
      </c>
      <c r="M104" s="12"/>
      <c r="N104" s="14"/>
      <c r="O104" s="15"/>
      <c r="P104" s="16">
        <f>Таблица6[[#This Row],[Столбец11]]+Таблица6[[#This Row],[Столбец12]]</f>
        <v>0</v>
      </c>
      <c r="Q104" s="17"/>
      <c r="R104" s="17"/>
      <c r="S104" s="29"/>
      <c r="T104" s="20"/>
      <c r="U104" s="21"/>
      <c r="V104" s="20"/>
      <c r="W104" s="21"/>
      <c r="X104" s="22">
        <f>Таблица6[[#This Row],[Столбец16]]-Таблица6[[#This Row],[Столбец13]]</f>
        <v>0</v>
      </c>
      <c r="Y104" s="23" t="e">
        <f>Таблица6[[#This Row],[Столбец21]]/Таблица6[[#This Row],[Столбец13]]</f>
        <v>#DIV/0!</v>
      </c>
    </row>
    <row r="105" spans="1:29" ht="16.5" outlineLevel="1" thickBot="1" x14ac:dyDescent="0.3">
      <c r="A105" s="24">
        <v>104</v>
      </c>
      <c r="B105" s="24"/>
      <c r="C105" s="24"/>
      <c r="D105" s="24"/>
      <c r="E105" s="24"/>
      <c r="F105" s="24"/>
      <c r="G105" s="24"/>
      <c r="H105" s="25"/>
      <c r="I105" s="24"/>
      <c r="J105" s="12">
        <v>30</v>
      </c>
      <c r="K105" s="25" t="str">
        <f t="shared" si="1"/>
        <v>00104-10</v>
      </c>
      <c r="L105" s="24">
        <v>104</v>
      </c>
      <c r="M105" s="24"/>
      <c r="N105" s="14"/>
      <c r="O105" s="15"/>
      <c r="P105" s="16">
        <f>Таблица6[[#This Row],[Столбец11]]+Таблица6[[#This Row],[Столбец12]]</f>
        <v>0</v>
      </c>
      <c r="Q105" s="17"/>
      <c r="R105" s="17"/>
      <c r="S105" s="28"/>
      <c r="T105" s="20"/>
      <c r="U105" s="21"/>
      <c r="V105" s="20"/>
      <c r="W105" s="21"/>
      <c r="X105" s="22">
        <f>Таблица6[[#This Row],[Столбец16]]-Таблица6[[#This Row],[Столбец13]]</f>
        <v>0</v>
      </c>
      <c r="Y105" s="23" t="e">
        <f>Таблица6[[#This Row],[Столбец21]]/Таблица6[[#This Row],[Столбец13]]</f>
        <v>#DIV/0!</v>
      </c>
    </row>
    <row r="106" spans="1:29" ht="16.5" outlineLevel="1" thickBot="1" x14ac:dyDescent="0.3">
      <c r="A106" s="12">
        <v>105</v>
      </c>
      <c r="B106" s="12"/>
      <c r="C106" s="24"/>
      <c r="D106" s="24"/>
      <c r="E106" s="24"/>
      <c r="F106" s="24"/>
      <c r="G106" s="24"/>
      <c r="H106" s="25"/>
      <c r="I106" s="24"/>
      <c r="J106" s="12">
        <v>31</v>
      </c>
      <c r="K106" s="13" t="str">
        <f t="shared" si="1"/>
        <v>00105-10</v>
      </c>
      <c r="L106" s="24">
        <v>105</v>
      </c>
      <c r="M106" s="12"/>
      <c r="N106" s="14"/>
      <c r="O106" s="15"/>
      <c r="P106" s="16">
        <f>Таблица6[[#This Row],[Столбец11]]+Таблица6[[#This Row],[Столбец12]]</f>
        <v>0</v>
      </c>
      <c r="Q106" s="17"/>
      <c r="R106" s="17"/>
      <c r="S106" s="28"/>
      <c r="T106" s="20"/>
      <c r="U106" s="21"/>
      <c r="V106" s="20"/>
      <c r="W106" s="21"/>
      <c r="X106" s="22">
        <f>Таблица6[[#This Row],[Столбец16]]-Таблица6[[#This Row],[Столбец13]]</f>
        <v>0</v>
      </c>
      <c r="Y106" s="23" t="e">
        <f>Таблица6[[#This Row],[Столбец21]]/Таблица6[[#This Row],[Столбец13]]</f>
        <v>#DIV/0!</v>
      </c>
      <c r="AB106" s="30"/>
    </row>
    <row r="107" spans="1:29" ht="16.5" outlineLevel="1" thickBot="1" x14ac:dyDescent="0.3">
      <c r="A107" s="24">
        <v>106</v>
      </c>
      <c r="B107" s="24"/>
      <c r="C107" s="24"/>
      <c r="D107" s="24"/>
      <c r="E107" s="24"/>
      <c r="F107" s="24"/>
      <c r="G107" s="24"/>
      <c r="H107" s="25"/>
      <c r="I107" s="24"/>
      <c r="J107" s="12">
        <v>32</v>
      </c>
      <c r="K107" s="25" t="str">
        <f t="shared" si="1"/>
        <v>00106-10</v>
      </c>
      <c r="L107" s="24">
        <v>106</v>
      </c>
      <c r="M107" s="24"/>
      <c r="N107" s="14"/>
      <c r="O107" s="15"/>
      <c r="P107" s="16">
        <f>Таблица6[[#This Row],[Столбец11]]+Таблица6[[#This Row],[Столбец12]]</f>
        <v>0</v>
      </c>
      <c r="Q107" s="17"/>
      <c r="R107" s="17"/>
      <c r="S107" s="29"/>
      <c r="T107" s="20"/>
      <c r="U107" s="21"/>
      <c r="V107" s="20"/>
      <c r="W107" s="21"/>
      <c r="X107" s="22">
        <f>Таблица6[[#This Row],[Столбец16]]-Таблица6[[#This Row],[Столбец13]]</f>
        <v>0</v>
      </c>
      <c r="Y107" s="23" t="e">
        <f>Таблица6[[#This Row],[Столбец21]]/Таблица6[[#This Row],[Столбец13]]</f>
        <v>#DIV/0!</v>
      </c>
    </row>
    <row r="108" spans="1:29" ht="16.5" outlineLevel="1" thickBot="1" x14ac:dyDescent="0.3">
      <c r="A108" s="12">
        <v>107</v>
      </c>
      <c r="B108" s="12"/>
      <c r="C108" s="24"/>
      <c r="D108" s="24"/>
      <c r="E108" s="24"/>
      <c r="F108" s="24"/>
      <c r="G108" s="24"/>
      <c r="H108" s="25"/>
      <c r="I108" s="24"/>
      <c r="J108" s="12">
        <v>33</v>
      </c>
      <c r="K108" s="13" t="str">
        <f t="shared" si="1"/>
        <v>00107-10</v>
      </c>
      <c r="L108" s="24">
        <v>107</v>
      </c>
      <c r="M108" s="12"/>
      <c r="N108" s="14"/>
      <c r="O108" s="15"/>
      <c r="P108" s="16">
        <f>Таблица6[[#This Row],[Столбец11]]+Таблица6[[#This Row],[Столбец12]]</f>
        <v>0</v>
      </c>
      <c r="Q108" s="17"/>
      <c r="R108" s="17"/>
      <c r="S108" s="28"/>
      <c r="T108" s="20"/>
      <c r="U108" s="21"/>
      <c r="V108" s="20"/>
      <c r="W108" s="21"/>
      <c r="X108" s="22">
        <f>Таблица6[[#This Row],[Столбец16]]-Таблица6[[#This Row],[Столбец13]]</f>
        <v>0</v>
      </c>
      <c r="Y108" s="23" t="e">
        <f>Таблица6[[#This Row],[Столбец21]]/Таблица6[[#This Row],[Столбец13]]</f>
        <v>#DIV/0!</v>
      </c>
    </row>
    <row r="109" spans="1:29" ht="16.5" outlineLevel="1" thickBot="1" x14ac:dyDescent="0.3">
      <c r="A109" s="24">
        <v>108</v>
      </c>
      <c r="B109" s="24"/>
      <c r="C109" s="24"/>
      <c r="D109" s="24"/>
      <c r="E109" s="24"/>
      <c r="F109" s="24"/>
      <c r="G109" s="24"/>
      <c r="H109" s="25"/>
      <c r="I109" s="24"/>
      <c r="J109" s="12">
        <v>34</v>
      </c>
      <c r="K109" s="25" t="str">
        <f t="shared" si="1"/>
        <v>00108-10</v>
      </c>
      <c r="L109" s="24">
        <v>108</v>
      </c>
      <c r="M109" s="24"/>
      <c r="N109" s="14"/>
      <c r="O109" s="15"/>
      <c r="P109" s="16">
        <f>Таблица6[[#This Row],[Столбец11]]+Таблица6[[#This Row],[Столбец12]]</f>
        <v>0</v>
      </c>
      <c r="Q109" s="17"/>
      <c r="R109" s="17"/>
      <c r="S109" s="29"/>
      <c r="T109" s="20"/>
      <c r="U109" s="21"/>
      <c r="V109" s="20"/>
      <c r="W109" s="21"/>
      <c r="X109" s="22">
        <f>Таблица6[[#This Row],[Столбец16]]-Таблица6[[#This Row],[Столбец13]]</f>
        <v>0</v>
      </c>
      <c r="Y109" s="23" t="e">
        <f>Таблица6[[#This Row],[Столбец21]]/Таблица6[[#This Row],[Столбец13]]</f>
        <v>#DIV/0!</v>
      </c>
    </row>
    <row r="110" spans="1:29" ht="16.5" outlineLevel="1" thickBot="1" x14ac:dyDescent="0.3">
      <c r="A110" s="12">
        <v>109</v>
      </c>
      <c r="B110" s="12"/>
      <c r="C110" s="24"/>
      <c r="D110" s="24"/>
      <c r="E110" s="24"/>
      <c r="F110" s="24"/>
      <c r="G110" s="24"/>
      <c r="H110" s="25"/>
      <c r="I110" s="24"/>
      <c r="J110" s="12">
        <v>35</v>
      </c>
      <c r="K110" s="13" t="str">
        <f t="shared" si="1"/>
        <v>00109-10</v>
      </c>
      <c r="L110" s="24">
        <v>109</v>
      </c>
      <c r="M110" s="12"/>
      <c r="N110" s="14"/>
      <c r="O110" s="15"/>
      <c r="P110" s="16">
        <f>Таблица6[[#This Row],[Столбец11]]+Таблица6[[#This Row],[Столбец12]]</f>
        <v>0</v>
      </c>
      <c r="Q110" s="17"/>
      <c r="R110" s="17"/>
      <c r="S110" s="29"/>
      <c r="T110" s="20"/>
      <c r="U110" s="21"/>
      <c r="V110" s="20"/>
      <c r="W110" s="21"/>
      <c r="X110" s="22">
        <f>Таблица6[[#This Row],[Столбец16]]-Таблица6[[#This Row],[Столбец13]]</f>
        <v>0</v>
      </c>
      <c r="Y110" s="23" t="e">
        <f>Таблица6[[#This Row],[Столбец21]]/Таблица6[[#This Row],[Столбец13]]</f>
        <v>#DIV/0!</v>
      </c>
    </row>
    <row r="111" spans="1:29" ht="16.5" outlineLevel="1" thickBot="1" x14ac:dyDescent="0.3">
      <c r="A111" s="24">
        <v>110</v>
      </c>
      <c r="B111" s="24"/>
      <c r="C111" s="24"/>
      <c r="D111" s="24"/>
      <c r="E111" s="24"/>
      <c r="F111" s="24"/>
      <c r="G111" s="24"/>
      <c r="H111" s="25"/>
      <c r="I111" s="24"/>
      <c r="J111" s="12">
        <v>36</v>
      </c>
      <c r="K111" s="25" t="str">
        <f t="shared" si="1"/>
        <v>00110-10</v>
      </c>
      <c r="L111" s="24">
        <v>110</v>
      </c>
      <c r="M111" s="24"/>
      <c r="N111" s="14"/>
      <c r="O111" s="15"/>
      <c r="P111" s="16">
        <f>Таблица6[[#This Row],[Столбец11]]+Таблица6[[#This Row],[Столбец12]]</f>
        <v>0</v>
      </c>
      <c r="Q111" s="17"/>
      <c r="R111" s="17"/>
      <c r="S111" s="29"/>
      <c r="T111" s="20"/>
      <c r="U111" s="21"/>
      <c r="V111" s="20"/>
      <c r="W111" s="21"/>
      <c r="X111" s="22">
        <f>Таблица6[[#This Row],[Столбец16]]-Таблица6[[#This Row],[Столбец13]]</f>
        <v>0</v>
      </c>
      <c r="Y111" s="23" t="e">
        <f>Таблица6[[#This Row],[Столбец21]]/Таблица6[[#This Row],[Столбец13]]</f>
        <v>#DIV/0!</v>
      </c>
    </row>
    <row r="112" spans="1:29" ht="16.5" outlineLevel="1" thickBot="1" x14ac:dyDescent="0.3">
      <c r="A112" s="12">
        <v>111</v>
      </c>
      <c r="B112" s="12"/>
      <c r="C112" s="24"/>
      <c r="D112" s="24"/>
      <c r="E112" s="24"/>
      <c r="F112" s="24"/>
      <c r="G112" s="24"/>
      <c r="H112" s="25"/>
      <c r="I112" s="24"/>
      <c r="J112" s="12">
        <v>37</v>
      </c>
      <c r="K112" s="13" t="str">
        <f t="shared" si="1"/>
        <v>00111-10</v>
      </c>
      <c r="L112" s="24">
        <v>111</v>
      </c>
      <c r="M112" s="12"/>
      <c r="N112" s="14"/>
      <c r="O112" s="15"/>
      <c r="P112" s="16">
        <f>Таблица6[[#This Row],[Столбец11]]+Таблица6[[#This Row],[Столбец12]]</f>
        <v>0</v>
      </c>
      <c r="Q112" s="17"/>
      <c r="R112" s="17"/>
      <c r="S112" s="29"/>
      <c r="T112" s="20"/>
      <c r="U112" s="21"/>
      <c r="V112" s="20"/>
      <c r="W112" s="21"/>
      <c r="X112" s="22">
        <f>Таблица6[[#This Row],[Столбец16]]-Таблица6[[#This Row],[Столбец13]]</f>
        <v>0</v>
      </c>
      <c r="Y112" s="23" t="e">
        <f>Таблица6[[#This Row],[Столбец21]]/Таблица6[[#This Row],[Столбец13]]</f>
        <v>#DIV/0!</v>
      </c>
      <c r="AB112" s="30"/>
      <c r="AC112" s="30"/>
    </row>
    <row r="113" spans="1:30" ht="16.5" outlineLevel="1" thickBot="1" x14ac:dyDescent="0.3">
      <c r="A113" s="24">
        <v>112</v>
      </c>
      <c r="B113" s="24"/>
      <c r="C113" s="24"/>
      <c r="D113" s="24"/>
      <c r="E113" s="24"/>
      <c r="F113" s="24"/>
      <c r="G113" s="24"/>
      <c r="H113" s="25"/>
      <c r="I113" s="24"/>
      <c r="J113" s="12">
        <v>38</v>
      </c>
      <c r="K113" s="25" t="str">
        <f t="shared" si="1"/>
        <v>00112-10</v>
      </c>
      <c r="L113" s="24">
        <v>112</v>
      </c>
      <c r="M113" s="24"/>
      <c r="N113" s="14"/>
      <c r="O113" s="15"/>
      <c r="P113" s="16">
        <f>Таблица6[[#This Row],[Столбец11]]+Таблица6[[#This Row],[Столбец12]]</f>
        <v>0</v>
      </c>
      <c r="Q113" s="17"/>
      <c r="R113" s="17"/>
      <c r="S113" s="29"/>
      <c r="T113" s="20"/>
      <c r="U113" s="21"/>
      <c r="V113" s="20"/>
      <c r="W113" s="21"/>
      <c r="X113" s="22">
        <f>Таблица6[[#This Row],[Столбец16]]-Таблица6[[#This Row],[Столбец13]]</f>
        <v>0</v>
      </c>
      <c r="Y113" s="23" t="e">
        <f>Таблица6[[#This Row],[Столбец21]]/Таблица6[[#This Row],[Столбец13]]</f>
        <v>#DIV/0!</v>
      </c>
    </row>
    <row r="114" spans="1:30" ht="16.5" outlineLevel="1" thickBot="1" x14ac:dyDescent="0.3">
      <c r="A114" s="12">
        <v>113</v>
      </c>
      <c r="B114" s="12"/>
      <c r="C114" s="24"/>
      <c r="D114" s="24"/>
      <c r="E114" s="24"/>
      <c r="F114" s="24"/>
      <c r="G114" s="24"/>
      <c r="H114" s="25"/>
      <c r="I114" s="24"/>
      <c r="J114" s="12">
        <v>39</v>
      </c>
      <c r="K114" s="13" t="str">
        <f t="shared" si="1"/>
        <v>00113-10</v>
      </c>
      <c r="L114" s="24">
        <v>113</v>
      </c>
      <c r="M114" s="12"/>
      <c r="N114" s="14"/>
      <c r="O114" s="15"/>
      <c r="P114" s="16">
        <f>Таблица6[[#This Row],[Столбец11]]+Таблица6[[#This Row],[Столбец12]]</f>
        <v>0</v>
      </c>
      <c r="Q114" s="17"/>
      <c r="R114" s="17"/>
      <c r="S114" s="29"/>
      <c r="T114" s="20"/>
      <c r="U114" s="21"/>
      <c r="V114" s="20"/>
      <c r="W114" s="21"/>
      <c r="X114" s="22">
        <f>Таблица6[[#This Row],[Столбец16]]-Таблица6[[#This Row],[Столбец13]]</f>
        <v>0</v>
      </c>
      <c r="Y114" s="23" t="e">
        <f>Таблица6[[#This Row],[Столбец21]]/Таблица6[[#This Row],[Столбец13]]</f>
        <v>#DIV/0!</v>
      </c>
    </row>
    <row r="115" spans="1:30" ht="16.5" outlineLevel="1" thickBot="1" x14ac:dyDescent="0.3">
      <c r="A115" s="24">
        <v>114</v>
      </c>
      <c r="B115" s="24"/>
      <c r="C115" s="24"/>
      <c r="D115" s="24"/>
      <c r="E115" s="24"/>
      <c r="F115" s="24"/>
      <c r="G115" s="24"/>
      <c r="H115" s="25"/>
      <c r="I115" s="24"/>
      <c r="J115" s="12">
        <v>40</v>
      </c>
      <c r="K115" s="25" t="str">
        <f t="shared" si="1"/>
        <v>00114-10</v>
      </c>
      <c r="L115" s="24">
        <v>114</v>
      </c>
      <c r="M115" s="24"/>
      <c r="N115" s="14"/>
      <c r="O115" s="15"/>
      <c r="P115" s="16">
        <f>Таблица6[[#This Row],[Столбец11]]+Таблица6[[#This Row],[Столбец12]]</f>
        <v>0</v>
      </c>
      <c r="Q115" s="17"/>
      <c r="R115" s="17"/>
      <c r="S115" s="29"/>
      <c r="T115" s="20"/>
      <c r="U115" s="21"/>
      <c r="V115" s="20"/>
      <c r="W115" s="21"/>
      <c r="X115" s="22">
        <f>Таблица6[[#This Row],[Столбец16]]-Таблица6[[#This Row],[Столбец13]]</f>
        <v>0</v>
      </c>
      <c r="Y115" s="23" t="e">
        <f>Таблица6[[#This Row],[Столбец21]]/Таблица6[[#This Row],[Столбец13]]</f>
        <v>#DIV/0!</v>
      </c>
    </row>
    <row r="116" spans="1:30" ht="16.5" outlineLevel="1" thickBot="1" x14ac:dyDescent="0.3">
      <c r="A116" s="12">
        <v>115</v>
      </c>
      <c r="B116" s="12"/>
      <c r="C116" s="24"/>
      <c r="D116" s="24"/>
      <c r="E116" s="24"/>
      <c r="F116" s="24"/>
      <c r="G116" s="24"/>
      <c r="H116" s="25"/>
      <c r="I116" s="24"/>
      <c r="J116" s="12">
        <v>41</v>
      </c>
      <c r="K116" s="13" t="str">
        <f t="shared" si="1"/>
        <v>00115-10</v>
      </c>
      <c r="L116" s="24">
        <v>115</v>
      </c>
      <c r="M116" s="27"/>
      <c r="N116" s="14"/>
      <c r="O116" s="15"/>
      <c r="P116" s="16"/>
      <c r="Q116" s="17"/>
      <c r="R116" s="17"/>
      <c r="S116" s="29"/>
      <c r="T116" s="20"/>
      <c r="U116" s="21"/>
      <c r="V116" s="20"/>
      <c r="W116" s="21"/>
      <c r="X116" s="22"/>
      <c r="Y116" s="23"/>
    </row>
    <row r="117" spans="1:30" ht="16.5" outlineLevel="1" thickBot="1" x14ac:dyDescent="0.3">
      <c r="A117" s="24">
        <v>116</v>
      </c>
      <c r="B117" s="24"/>
      <c r="C117" s="24"/>
      <c r="D117" s="24"/>
      <c r="E117" s="24"/>
      <c r="F117" s="24"/>
      <c r="G117" s="24"/>
      <c r="H117" s="25"/>
      <c r="I117" s="24"/>
      <c r="J117" s="12">
        <v>42</v>
      </c>
      <c r="K117" s="25" t="str">
        <f t="shared" si="1"/>
        <v>00116-10</v>
      </c>
      <c r="L117" s="24">
        <v>116</v>
      </c>
      <c r="M117" s="12"/>
      <c r="N117" s="14"/>
      <c r="O117" s="15"/>
      <c r="P117" s="16">
        <f>Таблица6[[#This Row],[Столбец11]]+Таблица6[[#This Row],[Столбец12]]</f>
        <v>0</v>
      </c>
      <c r="Q117" s="17"/>
      <c r="R117" s="17"/>
      <c r="S117" s="29"/>
      <c r="T117" s="20"/>
      <c r="U117" s="21"/>
      <c r="V117" s="20"/>
      <c r="W117" s="21"/>
      <c r="X117" s="22">
        <f>Таблица6[[#This Row],[Столбец16]]-Таблица6[[#This Row],[Столбец13]]</f>
        <v>0</v>
      </c>
      <c r="Y117" s="23" t="e">
        <f>Таблица6[[#This Row],[Столбец21]]/Таблица6[[#This Row],[Столбец13]]</f>
        <v>#DIV/0!</v>
      </c>
    </row>
    <row r="118" spans="1:30" ht="16.5" outlineLevel="1" thickBot="1" x14ac:dyDescent="0.3">
      <c r="A118" s="12">
        <v>117</v>
      </c>
      <c r="B118" s="12"/>
      <c r="C118" s="24"/>
      <c r="D118" s="24"/>
      <c r="E118" s="24"/>
      <c r="F118" s="24"/>
      <c r="G118" s="24"/>
      <c r="H118" s="25"/>
      <c r="I118" s="24"/>
      <c r="J118" s="12">
        <v>43</v>
      </c>
      <c r="K118" s="13" t="str">
        <f t="shared" si="1"/>
        <v>00117-10</v>
      </c>
      <c r="L118" s="24">
        <v>117</v>
      </c>
      <c r="M118" s="27"/>
      <c r="N118" s="14"/>
      <c r="O118" s="15"/>
      <c r="P118" s="16"/>
      <c r="Q118" s="17"/>
      <c r="R118" s="18"/>
      <c r="S118" s="29"/>
      <c r="T118" s="20"/>
      <c r="U118" s="21"/>
      <c r="V118" s="20"/>
      <c r="W118" s="21"/>
      <c r="X118" s="22"/>
      <c r="Y118" s="23"/>
    </row>
    <row r="119" spans="1:30" ht="16.5" outlineLevel="1" thickBot="1" x14ac:dyDescent="0.3">
      <c r="A119" s="24">
        <v>118</v>
      </c>
      <c r="B119" s="24"/>
      <c r="C119" s="24"/>
      <c r="D119" s="24"/>
      <c r="E119" s="24"/>
      <c r="F119" s="24"/>
      <c r="G119" s="24"/>
      <c r="H119" s="25"/>
      <c r="I119" s="24"/>
      <c r="J119" s="12">
        <v>44</v>
      </c>
      <c r="K119" s="25" t="str">
        <f t="shared" si="1"/>
        <v>00118-10</v>
      </c>
      <c r="L119" s="24">
        <v>118</v>
      </c>
      <c r="M119" s="26"/>
      <c r="N119" s="14"/>
      <c r="O119" s="15"/>
      <c r="P119" s="16"/>
      <c r="Q119" s="17"/>
      <c r="R119" s="18"/>
      <c r="S119" s="29"/>
      <c r="T119" s="20"/>
      <c r="U119" s="21"/>
      <c r="V119" s="20"/>
      <c r="W119" s="21"/>
      <c r="X119" s="22"/>
      <c r="Y119" s="23"/>
    </row>
    <row r="120" spans="1:30" ht="16.5" outlineLevel="1" thickBot="1" x14ac:dyDescent="0.3">
      <c r="A120" s="12">
        <v>119</v>
      </c>
      <c r="B120" s="12"/>
      <c r="C120" s="24"/>
      <c r="D120" s="24"/>
      <c r="E120" s="24"/>
      <c r="F120" s="24"/>
      <c r="G120" s="24"/>
      <c r="H120" s="25"/>
      <c r="I120" s="24"/>
      <c r="J120" s="12"/>
      <c r="K120" s="13"/>
      <c r="L120" s="24"/>
      <c r="M120" s="12"/>
      <c r="N120" s="14"/>
      <c r="O120" s="15"/>
      <c r="P120" s="16"/>
      <c r="Q120" s="17"/>
      <c r="R120" s="18"/>
      <c r="S120" s="29"/>
      <c r="T120" s="20"/>
      <c r="U120" s="21"/>
      <c r="V120" s="20"/>
      <c r="W120" s="21"/>
      <c r="X120" s="22"/>
      <c r="Y120" s="23"/>
    </row>
    <row r="121" spans="1:30" ht="16.5" outlineLevel="1" thickBot="1" x14ac:dyDescent="0.3">
      <c r="A121" s="24">
        <v>120</v>
      </c>
      <c r="B121" s="24"/>
      <c r="C121" s="24"/>
      <c r="D121" s="24"/>
      <c r="E121" s="24"/>
      <c r="F121" s="24"/>
      <c r="G121" s="24"/>
      <c r="H121" s="25"/>
      <c r="I121" s="24"/>
      <c r="J121" s="12"/>
      <c r="K121" s="13"/>
      <c r="L121" s="24"/>
      <c r="M121" s="24"/>
      <c r="N121" s="14"/>
      <c r="O121" s="15"/>
      <c r="P121" s="16"/>
      <c r="Q121" s="17"/>
      <c r="R121" s="18"/>
      <c r="S121" s="29"/>
      <c r="T121" s="20"/>
      <c r="U121" s="21"/>
      <c r="V121" s="20"/>
      <c r="W121" s="21"/>
      <c r="X121" s="22"/>
      <c r="Y121" s="23"/>
    </row>
    <row r="122" spans="1:30" ht="35.25" outlineLevel="1" thickBot="1" x14ac:dyDescent="0.5">
      <c r="A122" s="12">
        <v>121</v>
      </c>
      <c r="B122" s="12"/>
      <c r="C122" s="24"/>
      <c r="D122" s="24"/>
      <c r="E122" s="24"/>
      <c r="F122" s="24"/>
      <c r="G122" s="24"/>
      <c r="H122" s="25"/>
      <c r="I122" s="24"/>
      <c r="J122" s="24"/>
      <c r="K122" s="13"/>
      <c r="L122" s="24"/>
      <c r="M122" s="12"/>
      <c r="N122" s="14"/>
      <c r="O122" s="15"/>
      <c r="P122" s="31">
        <f>SUM(P2:P103)+P105+P106+P108+P126</f>
        <v>5000</v>
      </c>
      <c r="Q122" s="32"/>
      <c r="R122" s="33"/>
      <c r="S122" s="34">
        <f>SUM(S2:S103)+S105+S106+S108</f>
        <v>0</v>
      </c>
      <c r="T122" s="35"/>
      <c r="U122" s="36"/>
      <c r="V122" s="35"/>
      <c r="W122" s="36"/>
      <c r="X122" s="37">
        <f>Таблица6[[#This Row],[Столбец16]]-Таблица6[[#This Row],[Столбец13]]</f>
        <v>-5000</v>
      </c>
      <c r="Y122" s="38">
        <f>(Таблица6[[#This Row],[Столбец21]]-S32)/Таблица6[[#This Row],[Столбец13]]</f>
        <v>-1</v>
      </c>
      <c r="Z122" s="39"/>
      <c r="AA122" s="30"/>
      <c r="AB122" s="30"/>
      <c r="AC122" s="30"/>
      <c r="AD122" s="30"/>
    </row>
    <row r="123" spans="1:30" ht="25.5" outlineLevel="1" thickBot="1" x14ac:dyDescent="0.65">
      <c r="A123" s="24">
        <v>122</v>
      </c>
      <c r="B123" s="24"/>
      <c r="C123" s="24"/>
      <c r="D123" s="24"/>
      <c r="E123" s="24"/>
      <c r="F123" s="24"/>
      <c r="G123" s="24"/>
      <c r="H123" s="25"/>
      <c r="I123" s="24"/>
      <c r="J123" s="24"/>
      <c r="K123" s="13"/>
      <c r="L123" s="24"/>
      <c r="M123" s="24"/>
      <c r="N123" s="14"/>
      <c r="O123" s="15"/>
      <c r="P123" s="16"/>
      <c r="Q123" s="17"/>
      <c r="R123" s="18"/>
      <c r="S123" s="29"/>
      <c r="T123" s="20"/>
      <c r="U123" s="21"/>
      <c r="V123" s="20"/>
      <c r="W123" s="21"/>
      <c r="X123" s="40"/>
      <c r="Y123" s="23"/>
      <c r="Z123" s="41"/>
      <c r="AB123" s="42"/>
    </row>
    <row r="124" spans="1:30" ht="16.5" outlineLevel="1" thickBot="1" x14ac:dyDescent="0.3">
      <c r="A124" s="12">
        <v>123</v>
      </c>
      <c r="B124" s="12"/>
      <c r="C124" s="24"/>
      <c r="D124" s="24"/>
      <c r="E124" s="24"/>
      <c r="F124" s="24"/>
      <c r="G124" s="24"/>
      <c r="H124" s="25"/>
      <c r="I124" s="24"/>
      <c r="J124" s="24"/>
      <c r="K124" s="24"/>
      <c r="L124" s="24"/>
      <c r="M124" s="12"/>
      <c r="N124" s="14"/>
      <c r="O124" s="15"/>
      <c r="P124" s="16"/>
      <c r="Q124" s="17"/>
      <c r="R124" s="18"/>
      <c r="S124" s="29"/>
      <c r="T124" s="20"/>
      <c r="U124" s="21"/>
      <c r="V124" s="20"/>
      <c r="W124" s="21"/>
      <c r="X124" s="22"/>
      <c r="Y124" s="23"/>
    </row>
    <row r="125" spans="1:30" ht="16.5" thickBot="1" x14ac:dyDescent="0.3">
      <c r="A125" s="12">
        <v>124</v>
      </c>
      <c r="B125" s="12"/>
      <c r="C125" s="24" t="s">
        <v>23</v>
      </c>
      <c r="D125" s="24" t="s">
        <v>24</v>
      </c>
      <c r="E125" s="24"/>
      <c r="F125" s="24"/>
      <c r="G125" s="24"/>
      <c r="H125" s="25"/>
      <c r="I125" s="24"/>
      <c r="J125" s="24"/>
      <c r="K125" s="43"/>
      <c r="L125" s="12"/>
      <c r="M125" s="12"/>
      <c r="N125" s="14"/>
      <c r="O125" s="15"/>
      <c r="P125" s="16">
        <v>74800</v>
      </c>
      <c r="Q125" s="17"/>
      <c r="R125" s="17"/>
      <c r="S125" s="29"/>
      <c r="T125" s="20"/>
      <c r="U125" s="21"/>
      <c r="V125" s="20"/>
      <c r="W125" s="21"/>
      <c r="X125" s="22"/>
      <c r="Y125" s="23"/>
    </row>
    <row r="126" spans="1:30" ht="16.5" thickBot="1" x14ac:dyDescent="0.3">
      <c r="A126" s="12">
        <v>125</v>
      </c>
      <c r="B126" s="12"/>
      <c r="C126" s="24" t="s">
        <v>23</v>
      </c>
      <c r="D126" s="24" t="s">
        <v>24</v>
      </c>
      <c r="E126" s="24"/>
      <c r="F126" s="24"/>
      <c r="G126" s="24"/>
      <c r="H126" s="25">
        <v>46075</v>
      </c>
      <c r="I126" s="24"/>
      <c r="J126" s="24">
        <v>125</v>
      </c>
      <c r="K126" s="43"/>
      <c r="L126" s="12"/>
      <c r="M126" s="12">
        <v>100087</v>
      </c>
      <c r="N126" s="14" t="str">
        <f>'[1]TANK M083277'!H9</f>
        <v>5 000,00</v>
      </c>
      <c r="O126" s="15"/>
      <c r="P126" s="16">
        <f>Таблица6[[#This Row],[Столбец11]]+Таблица6[[#This Row],[Столбец12]]</f>
        <v>5000</v>
      </c>
      <c r="Q126" s="17"/>
      <c r="R126" s="17"/>
      <c r="S126" s="29"/>
      <c r="T126" s="20"/>
      <c r="U126" s="21"/>
      <c r="V126" s="20"/>
      <c r="W126" s="21"/>
      <c r="X126" s="22"/>
      <c r="Y126" s="23"/>
    </row>
    <row r="127" spans="1:30" s="57" customFormat="1" ht="25.5" x14ac:dyDescent="0.35">
      <c r="A127" s="24"/>
      <c r="B127" s="44"/>
      <c r="C127" s="24"/>
      <c r="D127" s="24"/>
      <c r="E127" s="24"/>
      <c r="F127" s="24"/>
      <c r="G127" s="24"/>
      <c r="H127" s="24"/>
      <c r="I127" s="24"/>
      <c r="J127" s="24"/>
      <c r="K127" s="45" t="s">
        <v>25</v>
      </c>
      <c r="L127" s="24"/>
      <c r="M127" s="24"/>
      <c r="N127" s="46">
        <f>SUM( N2:N126)</f>
        <v>0</v>
      </c>
      <c r="O127" s="47">
        <f>SUM(O2:O126)</f>
        <v>0</v>
      </c>
      <c r="P127" s="48">
        <f>SUM(P2:P120)+P125+P126</f>
        <v>79800</v>
      </c>
      <c r="Q127" s="49">
        <f>SUM(Q2:Q126)</f>
        <v>0</v>
      </c>
      <c r="R127" s="50">
        <f>SUM(R2:R126)</f>
        <v>0</v>
      </c>
      <c r="S127" s="51">
        <f>SUM(S2:S120)</f>
        <v>0</v>
      </c>
      <c r="T127" s="52">
        <f>Таблица6[[#This Row],[Столбец14]]-Таблица6[[#This Row],[Столбец11]]</f>
        <v>0</v>
      </c>
      <c r="U127" s="53" t="e">
        <f>Таблица6[[#This Row],[Столбец17]]/Таблица6[[#This Row],[Столбец11]]</f>
        <v>#DIV/0!</v>
      </c>
      <c r="V127" s="52">
        <f>Таблица6[[#This Row],[Столбец15]]-Таблица6[[#This Row],[Столбец12]]</f>
        <v>0</v>
      </c>
      <c r="W127" s="53" t="e">
        <f>Таблица6[[#This Row],[Столбец19]]/Таблица6[[#This Row],[Столбец12]]</f>
        <v>#DIV/0!</v>
      </c>
      <c r="X127" s="54">
        <f>Таблица6[[#This Row],[Столбец16]]-Таблица6[[#This Row],[Столбец13]]</f>
        <v>-79800</v>
      </c>
      <c r="Y127" s="55">
        <f>(Таблица6[[#This Row],[Столбец21]])/Таблица6[[#This Row],[Столбец13]]</f>
        <v>-1</v>
      </c>
      <c r="Z127" s="56"/>
      <c r="AC127" s="11"/>
      <c r="AD127" s="11"/>
    </row>
    <row r="128" spans="1:30" ht="21" x14ac:dyDescent="0.35">
      <c r="A128" s="12"/>
      <c r="B128" s="24"/>
      <c r="C128" s="24"/>
      <c r="D128" s="24"/>
      <c r="E128" s="24"/>
      <c r="F128" s="24"/>
      <c r="G128" s="24"/>
      <c r="H128" s="25"/>
      <c r="I128" s="24"/>
      <c r="J128" s="24"/>
      <c r="K128" s="58" t="s">
        <v>26</v>
      </c>
      <c r="L128" s="59"/>
      <c r="M128" s="59"/>
      <c r="N128" s="60"/>
      <c r="O128" s="60"/>
      <c r="P128" s="60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C128" s="62"/>
    </row>
    <row r="129" spans="1:26" ht="21" x14ac:dyDescent="0.35">
      <c r="A129" s="24"/>
      <c r="B129" s="24"/>
      <c r="C129" s="24"/>
      <c r="D129" s="24"/>
      <c r="E129" s="24"/>
      <c r="F129" s="24"/>
      <c r="G129" s="24"/>
      <c r="H129" s="25"/>
      <c r="I129" s="24"/>
      <c r="J129" s="24"/>
      <c r="K129" s="63" t="s">
        <v>27</v>
      </c>
      <c r="L129" s="64"/>
      <c r="M129" s="24"/>
      <c r="N129" s="60"/>
      <c r="O129" s="60"/>
      <c r="P129" s="65"/>
      <c r="Q129" s="61"/>
      <c r="R129" s="61"/>
      <c r="S129" s="61"/>
      <c r="T129" s="61"/>
      <c r="U129" s="61"/>
      <c r="V129" s="61"/>
      <c r="W129" s="61"/>
      <c r="X129" s="61"/>
      <c r="Y129" s="61"/>
    </row>
    <row r="130" spans="1:26" ht="21" x14ac:dyDescent="0.35">
      <c r="A130" s="12"/>
      <c r="B130" s="24"/>
      <c r="C130" s="24"/>
      <c r="D130" s="24"/>
      <c r="E130" s="24"/>
      <c r="F130" s="24"/>
      <c r="G130" s="24"/>
      <c r="H130" s="25"/>
      <c r="I130" s="24"/>
      <c r="J130" s="24"/>
      <c r="K130" s="66" t="s">
        <v>28</v>
      </c>
      <c r="L130" s="59"/>
      <c r="M130" s="67"/>
      <c r="N130" s="60"/>
      <c r="O130" s="68"/>
      <c r="P130" s="69"/>
      <c r="Q130" s="61"/>
      <c r="R130" s="61"/>
      <c r="S130" s="61"/>
      <c r="T130" s="61"/>
      <c r="U130" s="61"/>
      <c r="V130" s="61"/>
      <c r="W130" s="61"/>
      <c r="X130" s="61"/>
      <c r="Y130" s="61"/>
      <c r="Z130" s="30"/>
    </row>
    <row r="131" spans="1:26" ht="23.25" x14ac:dyDescent="0.35">
      <c r="A131" s="12"/>
      <c r="B131" s="24"/>
      <c r="C131" s="24"/>
      <c r="D131" s="24"/>
      <c r="E131" s="24"/>
      <c r="F131" s="24"/>
      <c r="G131" s="70"/>
      <c r="H131" s="70"/>
      <c r="I131" s="70"/>
      <c r="J131" s="70"/>
      <c r="K131" s="71" t="s">
        <v>29</v>
      </c>
      <c r="L131" s="72"/>
      <c r="M131" s="73"/>
      <c r="N131" s="60"/>
      <c r="O131" s="74"/>
      <c r="P131" s="74"/>
      <c r="Q131" s="74"/>
      <c r="R131" s="74"/>
      <c r="S131" s="61"/>
      <c r="T131" s="61"/>
      <c r="U131" s="61"/>
      <c r="V131" s="61"/>
      <c r="W131" s="61"/>
      <c r="X131" s="61"/>
      <c r="Y131" s="61"/>
    </row>
    <row r="132" spans="1:26" ht="25.5" hidden="1" outlineLevel="1" x14ac:dyDescent="0.25">
      <c r="A132" s="24"/>
      <c r="B132" s="24"/>
      <c r="C132" s="24"/>
      <c r="D132" s="24"/>
      <c r="E132" s="24"/>
      <c r="F132" s="24"/>
      <c r="G132" s="75"/>
      <c r="H132" s="75"/>
      <c r="I132" s="75"/>
      <c r="J132" s="75"/>
      <c r="K132" s="76" t="s">
        <v>30</v>
      </c>
      <c r="L132" s="77" t="s">
        <v>31</v>
      </c>
      <c r="M132" s="77" t="s">
        <v>32</v>
      </c>
      <c r="N132" s="77" t="s">
        <v>27</v>
      </c>
      <c r="O132" s="77" t="s">
        <v>28</v>
      </c>
      <c r="P132" s="60"/>
      <c r="Q132" s="61"/>
      <c r="R132" s="61"/>
      <c r="S132" s="61"/>
      <c r="T132" s="61"/>
      <c r="U132" s="61"/>
      <c r="V132" s="61"/>
      <c r="W132" s="61"/>
      <c r="X132" s="61"/>
      <c r="Y132" s="61"/>
    </row>
    <row r="133" spans="1:26" ht="27.75" hidden="1" outlineLevel="1" x14ac:dyDescent="0.25">
      <c r="A133" s="12"/>
      <c r="B133" s="12"/>
      <c r="C133" s="12"/>
      <c r="D133" s="12"/>
      <c r="E133" s="12"/>
      <c r="F133" s="12"/>
      <c r="G133" s="70"/>
      <c r="H133" s="70"/>
      <c r="I133" s="70"/>
      <c r="J133" s="70"/>
      <c r="K133" s="78" t="s">
        <v>33</v>
      </c>
      <c r="L133" s="79">
        <v>74</v>
      </c>
      <c r="M133" s="80">
        <v>71</v>
      </c>
      <c r="N133" s="80">
        <v>58</v>
      </c>
      <c r="O133" s="80"/>
      <c r="P133" s="81"/>
      <c r="Q133" s="82"/>
      <c r="R133" s="82"/>
      <c r="S133" s="61"/>
      <c r="T133" s="82"/>
      <c r="U133" s="82"/>
      <c r="V133" s="82"/>
      <c r="W133" s="82"/>
      <c r="X133" s="82"/>
      <c r="Y133" s="82"/>
    </row>
    <row r="134" spans="1:26" ht="31.5" hidden="1" outlineLevel="1" x14ac:dyDescent="0.5">
      <c r="A134" s="24"/>
      <c r="B134" s="24"/>
      <c r="C134" s="24"/>
      <c r="D134" s="24"/>
      <c r="E134" s="24"/>
      <c r="F134" s="24"/>
      <c r="G134" s="75"/>
      <c r="H134" s="75"/>
      <c r="I134" s="75"/>
      <c r="J134" s="75"/>
      <c r="K134" s="83" t="s">
        <v>34</v>
      </c>
      <c r="L134" s="84"/>
      <c r="M134" s="85">
        <v>3680304.9999999995</v>
      </c>
      <c r="N134" s="86">
        <v>2775790.73</v>
      </c>
      <c r="O134" s="86"/>
      <c r="P134" s="60"/>
      <c r="Q134" s="61"/>
      <c r="R134" s="61"/>
      <c r="S134" s="61"/>
      <c r="T134" s="61"/>
      <c r="U134" s="61"/>
      <c r="V134" s="61"/>
      <c r="W134" s="61"/>
      <c r="X134" s="61"/>
      <c r="Y134" s="61"/>
    </row>
    <row r="135" spans="1:26" ht="28.5" hidden="1" outlineLevel="1" x14ac:dyDescent="0.45">
      <c r="A135" s="12"/>
      <c r="B135" s="12"/>
      <c r="C135" s="12"/>
      <c r="D135" s="12"/>
      <c r="E135" s="12"/>
      <c r="F135" s="12"/>
      <c r="G135" s="70"/>
      <c r="H135" s="70"/>
      <c r="I135" s="70"/>
      <c r="J135" s="70"/>
      <c r="K135" s="87"/>
      <c r="L135" s="87"/>
      <c r="M135" s="87"/>
      <c r="N135" s="87">
        <f>N134-M134</f>
        <v>-904514.26999999955</v>
      </c>
      <c r="O135" s="87"/>
      <c r="P135" s="81"/>
      <c r="Q135" s="82"/>
      <c r="R135" s="82"/>
      <c r="S135" s="61"/>
      <c r="T135" s="82"/>
      <c r="U135" s="82"/>
      <c r="V135" s="82"/>
      <c r="W135" s="82"/>
      <c r="X135" s="82"/>
      <c r="Y135" s="82"/>
    </row>
    <row r="136" spans="1:26" ht="25.5" hidden="1" outlineLevel="1" x14ac:dyDescent="0.25">
      <c r="G136" s="75"/>
      <c r="H136" s="75"/>
      <c r="I136" s="75"/>
      <c r="J136" s="75"/>
      <c r="K136" s="88" t="s">
        <v>35</v>
      </c>
      <c r="L136" s="77" t="s">
        <v>31</v>
      </c>
      <c r="M136" s="77" t="s">
        <v>32</v>
      </c>
      <c r="N136" s="77" t="s">
        <v>27</v>
      </c>
      <c r="O136" s="77" t="s">
        <v>28</v>
      </c>
      <c r="P136" s="60"/>
      <c r="Q136" s="61"/>
      <c r="R136" s="61"/>
      <c r="S136" s="61"/>
      <c r="T136" s="61"/>
      <c r="U136" s="61"/>
      <c r="V136" s="61"/>
      <c r="W136" s="61"/>
      <c r="X136" s="61"/>
      <c r="Y136" s="61"/>
    </row>
    <row r="137" spans="1:26" ht="27.75" hidden="1" outlineLevel="1" x14ac:dyDescent="0.25">
      <c r="A137" s="12"/>
      <c r="B137" s="12"/>
      <c r="C137" s="12"/>
      <c r="D137" s="12"/>
      <c r="E137" s="12"/>
      <c r="F137" s="12"/>
      <c r="G137" s="70"/>
      <c r="H137" s="70"/>
      <c r="I137" s="70"/>
      <c r="J137" s="70"/>
      <c r="K137" s="78" t="s">
        <v>33</v>
      </c>
      <c r="L137" s="79">
        <v>24</v>
      </c>
      <c r="M137" s="80">
        <v>24</v>
      </c>
      <c r="N137" s="80">
        <v>22</v>
      </c>
      <c r="O137" s="80"/>
      <c r="P137" s="81"/>
      <c r="Q137" s="82"/>
      <c r="R137" s="82"/>
      <c r="S137" s="61"/>
      <c r="T137" s="89"/>
      <c r="U137" s="82"/>
      <c r="V137" s="82"/>
      <c r="W137" s="90"/>
      <c r="X137" s="82"/>
      <c r="Y137" s="82"/>
    </row>
    <row r="138" spans="1:26" ht="31.5" hidden="1" outlineLevel="1" x14ac:dyDescent="0.5">
      <c r="A138" s="24"/>
      <c r="B138" s="24"/>
      <c r="C138" s="24"/>
      <c r="D138" s="24"/>
      <c r="E138" s="24"/>
      <c r="F138" s="24"/>
      <c r="G138" s="75"/>
      <c r="H138" s="75"/>
      <c r="I138" s="75"/>
      <c r="J138" s="75"/>
      <c r="K138" s="83" t="s">
        <v>34</v>
      </c>
      <c r="L138" s="84"/>
      <c r="M138" s="85">
        <v>3587970.4600000004</v>
      </c>
      <c r="N138" s="86">
        <v>3287119.6900000004</v>
      </c>
      <c r="O138" s="86"/>
      <c r="P138" s="60"/>
      <c r="Q138" s="61"/>
      <c r="R138" s="61"/>
      <c r="S138" s="61"/>
      <c r="T138" s="91"/>
      <c r="U138" s="61"/>
      <c r="V138" s="61"/>
      <c r="W138" s="92"/>
      <c r="X138" s="61"/>
      <c r="Y138" s="61"/>
    </row>
    <row r="139" spans="1:26" ht="28.5" hidden="1" outlineLevel="1" x14ac:dyDescent="0.45">
      <c r="A139" s="12"/>
      <c r="B139" s="12"/>
      <c r="C139" s="12"/>
      <c r="D139" s="12"/>
      <c r="E139" s="12"/>
      <c r="F139" s="12"/>
      <c r="G139" s="70"/>
      <c r="H139" s="70"/>
      <c r="I139" s="70"/>
      <c r="J139" s="70"/>
      <c r="K139" s="87"/>
      <c r="L139" s="87"/>
      <c r="M139" s="87"/>
      <c r="N139" s="87">
        <f>N138-M138</f>
        <v>-300850.77</v>
      </c>
      <c r="O139" s="87"/>
      <c r="P139" s="81"/>
      <c r="Q139" s="82"/>
      <c r="R139" s="82"/>
      <c r="S139" s="61"/>
      <c r="T139" s="82"/>
      <c r="U139" s="82"/>
      <c r="V139" s="82"/>
      <c r="W139" s="82"/>
      <c r="X139" s="82"/>
      <c r="Y139" s="82"/>
    </row>
    <row r="140" spans="1:26" ht="27.75" hidden="1" outlineLevel="1" x14ac:dyDescent="0.25">
      <c r="A140" s="24"/>
      <c r="B140" s="24"/>
      <c r="C140" s="24"/>
      <c r="D140" s="24"/>
      <c r="E140" s="24"/>
      <c r="F140" s="24"/>
      <c r="G140" s="75"/>
      <c r="H140" s="75"/>
      <c r="I140" s="75"/>
      <c r="J140" s="75"/>
      <c r="K140" s="93" t="s">
        <v>36</v>
      </c>
      <c r="L140" s="77" t="s">
        <v>31</v>
      </c>
      <c r="M140" s="94" t="s">
        <v>32</v>
      </c>
      <c r="N140" s="94" t="s">
        <v>27</v>
      </c>
      <c r="O140" s="94" t="s">
        <v>28</v>
      </c>
      <c r="P140" s="60"/>
      <c r="Q140" s="61"/>
      <c r="R140" s="61"/>
      <c r="S140" s="61"/>
      <c r="T140" s="91"/>
      <c r="U140" s="61"/>
      <c r="V140" s="61"/>
      <c r="W140" s="92"/>
      <c r="X140" s="61"/>
      <c r="Y140" s="61"/>
    </row>
    <row r="141" spans="1:26" ht="27.75" hidden="1" outlineLevel="1" x14ac:dyDescent="0.25">
      <c r="A141" s="12"/>
      <c r="B141" s="12"/>
      <c r="C141" s="12"/>
      <c r="D141" s="12"/>
      <c r="E141" s="12"/>
      <c r="F141" s="12"/>
      <c r="G141" s="70"/>
      <c r="H141" s="70"/>
      <c r="I141" s="70"/>
      <c r="J141" s="70"/>
      <c r="K141" s="78" t="s">
        <v>33</v>
      </c>
      <c r="L141" s="95" t="s">
        <v>37</v>
      </c>
      <c r="M141" s="96" t="s">
        <v>38</v>
      </c>
      <c r="N141" s="96" t="s">
        <v>39</v>
      </c>
      <c r="O141" s="96"/>
      <c r="P141" s="81"/>
      <c r="Q141" s="82"/>
      <c r="R141" s="82"/>
      <c r="S141" s="61"/>
      <c r="T141" s="89"/>
      <c r="U141" s="82"/>
      <c r="V141" s="82"/>
      <c r="W141" s="90"/>
      <c r="X141" s="82"/>
      <c r="Y141" s="82"/>
    </row>
    <row r="142" spans="1:26" ht="31.5" hidden="1" outlineLevel="1" x14ac:dyDescent="0.5">
      <c r="A142" s="24"/>
      <c r="B142" s="24"/>
      <c r="C142" s="24"/>
      <c r="D142" s="24"/>
      <c r="E142" s="24"/>
      <c r="F142" s="24"/>
      <c r="G142" s="75"/>
      <c r="H142" s="75"/>
      <c r="I142" s="75"/>
      <c r="J142" s="75"/>
      <c r="K142" s="97" t="s">
        <v>34</v>
      </c>
      <c r="L142" s="98"/>
      <c r="M142" s="85">
        <f>M138+M134</f>
        <v>7268275.46</v>
      </c>
      <c r="N142" s="86">
        <f>N138+N134</f>
        <v>6062910.4199999999</v>
      </c>
      <c r="O142" s="86"/>
      <c r="P142" s="60"/>
      <c r="Q142" s="61"/>
      <c r="R142" s="61"/>
      <c r="S142" s="61"/>
      <c r="T142" s="91"/>
      <c r="U142" s="61"/>
      <c r="V142" s="61"/>
      <c r="W142" s="92"/>
      <c r="X142" s="61"/>
      <c r="Y142" s="61"/>
    </row>
    <row r="143" spans="1:26" ht="28.5" hidden="1" outlineLevel="1" x14ac:dyDescent="0.45">
      <c r="A143" s="12"/>
      <c r="B143" s="12"/>
      <c r="C143" s="12"/>
      <c r="D143" s="12"/>
      <c r="E143" s="12"/>
      <c r="F143" s="12"/>
      <c r="G143" s="75"/>
      <c r="H143" s="99"/>
      <c r="I143" s="100"/>
      <c r="J143" s="100"/>
      <c r="K143" s="97"/>
      <c r="L143" s="101"/>
      <c r="M143" s="102"/>
      <c r="N143" s="103">
        <f>N142-M142</f>
        <v>-1205365.04</v>
      </c>
      <c r="O143" s="103"/>
      <c r="P143" s="81"/>
      <c r="Q143" s="82"/>
      <c r="R143" s="82"/>
      <c r="S143" s="61"/>
      <c r="T143" s="89"/>
      <c r="U143" s="82"/>
      <c r="V143" s="82"/>
      <c r="W143" s="90"/>
      <c r="X143" s="82"/>
      <c r="Y143" s="82"/>
    </row>
    <row r="144" spans="1:26" ht="23.25" collapsed="1" x14ac:dyDescent="0.35">
      <c r="A144" s="24"/>
      <c r="B144" s="24"/>
      <c r="C144" s="24"/>
      <c r="D144" s="24"/>
      <c r="E144" s="24"/>
      <c r="F144" s="24"/>
      <c r="G144" s="24"/>
      <c r="H144" s="25"/>
      <c r="I144" s="104"/>
      <c r="J144" s="104"/>
      <c r="K144" s="24"/>
      <c r="L144" s="24"/>
      <c r="M144" s="24"/>
      <c r="N144" s="105"/>
      <c r="O144" s="105"/>
      <c r="P144" s="60"/>
      <c r="Q144" s="61"/>
      <c r="R144" s="61"/>
      <c r="S144" s="61"/>
      <c r="T144" s="91"/>
      <c r="U144" s="61"/>
      <c r="V144" s="61"/>
      <c r="W144" s="92"/>
      <c r="X144" s="61"/>
      <c r="Y144" s="61"/>
    </row>
    <row r="145" spans="1:25" ht="25.5" hidden="1" outlineLevel="1" x14ac:dyDescent="0.25">
      <c r="A145" s="12"/>
      <c r="B145" s="12"/>
      <c r="C145" s="12"/>
      <c r="D145" s="12"/>
      <c r="E145" s="12"/>
      <c r="F145" s="12"/>
      <c r="G145" s="12"/>
      <c r="H145" s="13"/>
      <c r="I145" s="12"/>
      <c r="J145" s="12"/>
      <c r="K145" s="88" t="s">
        <v>30</v>
      </c>
      <c r="L145" s="77" t="s">
        <v>31</v>
      </c>
      <c r="M145" s="77" t="s">
        <v>32</v>
      </c>
      <c r="N145" s="77" t="s">
        <v>27</v>
      </c>
      <c r="O145" s="77" t="s">
        <v>28</v>
      </c>
      <c r="P145" s="81"/>
      <c r="Q145" s="82"/>
      <c r="R145" s="82"/>
      <c r="S145" s="61"/>
      <c r="T145" s="89"/>
      <c r="U145" s="82"/>
      <c r="V145" s="82"/>
      <c r="W145" s="90"/>
      <c r="X145" s="82"/>
      <c r="Y145" s="82"/>
    </row>
    <row r="146" spans="1:25" ht="27.75" hidden="1" outlineLevel="1" x14ac:dyDescent="0.25">
      <c r="K146" s="78" t="s">
        <v>40</v>
      </c>
      <c r="L146" s="79">
        <v>93</v>
      </c>
      <c r="M146" s="80">
        <v>73</v>
      </c>
      <c r="N146" s="80">
        <v>71</v>
      </c>
      <c r="O146" s="80">
        <v>39</v>
      </c>
      <c r="P146" s="60"/>
      <c r="Q146" s="61"/>
      <c r="R146" s="61"/>
      <c r="S146" s="61"/>
      <c r="T146" s="91"/>
      <c r="U146" s="61"/>
      <c r="V146" s="61"/>
      <c r="W146" s="92"/>
      <c r="X146" s="61"/>
      <c r="Y146" s="61"/>
    </row>
    <row r="147" spans="1:25" ht="31.5" hidden="1" outlineLevel="1" x14ac:dyDescent="0.5">
      <c r="A147" s="12"/>
      <c r="B147" s="12"/>
      <c r="C147" s="24"/>
      <c r="D147" s="24"/>
      <c r="E147" s="24"/>
      <c r="F147" s="24"/>
      <c r="G147" s="24"/>
      <c r="H147" s="25"/>
      <c r="I147" s="24"/>
      <c r="J147" s="12"/>
      <c r="K147" s="83" t="s">
        <v>41</v>
      </c>
      <c r="L147" s="84"/>
      <c r="M147" s="85">
        <v>3846021.9999999995</v>
      </c>
      <c r="N147" s="86">
        <v>3680304.9999999995</v>
      </c>
      <c r="O147" s="106">
        <v>1359053.2600000002</v>
      </c>
      <c r="P147" s="81"/>
      <c r="Q147" s="82"/>
      <c r="R147" s="82"/>
      <c r="S147" s="61"/>
      <c r="T147" s="89"/>
      <c r="U147" s="82"/>
      <c r="V147" s="82"/>
      <c r="W147" s="90"/>
      <c r="X147" s="82"/>
      <c r="Y147" s="82"/>
    </row>
    <row r="148" spans="1:25" ht="28.5" hidden="1" outlineLevel="1" x14ac:dyDescent="0.45">
      <c r="A148" s="24"/>
      <c r="B148" s="24"/>
      <c r="C148" s="24"/>
      <c r="D148" s="24"/>
      <c r="E148" s="24"/>
      <c r="F148" s="24"/>
      <c r="G148" s="24"/>
      <c r="H148" s="25"/>
      <c r="I148" s="24"/>
      <c r="J148" s="24"/>
      <c r="K148" s="97"/>
      <c r="L148" s="101"/>
      <c r="M148" s="102"/>
      <c r="N148" s="107">
        <f>N147-M147</f>
        <v>-165717</v>
      </c>
      <c r="O148" s="108">
        <f>O147-N147</f>
        <v>-2321251.7399999993</v>
      </c>
      <c r="P148" s="60"/>
      <c r="Q148" s="61"/>
      <c r="R148" s="61"/>
      <c r="S148" s="61"/>
      <c r="T148" s="91"/>
      <c r="U148" s="61"/>
      <c r="V148" s="61"/>
      <c r="W148" s="92"/>
      <c r="X148" s="61"/>
      <c r="Y148" s="61"/>
    </row>
    <row r="149" spans="1:25" ht="25.5" hidden="1" outlineLevel="1" x14ac:dyDescent="0.25">
      <c r="A149" s="12"/>
      <c r="B149" s="12"/>
      <c r="C149" s="12"/>
      <c r="D149" s="12"/>
      <c r="E149" s="12"/>
      <c r="F149" s="12"/>
      <c r="G149" s="12"/>
      <c r="H149" s="13"/>
      <c r="I149" s="12"/>
      <c r="J149" s="12"/>
      <c r="K149" s="88" t="s">
        <v>35</v>
      </c>
      <c r="L149" s="77" t="s">
        <v>31</v>
      </c>
      <c r="M149" s="77" t="s">
        <v>32</v>
      </c>
      <c r="N149" s="77" t="s">
        <v>27</v>
      </c>
      <c r="O149" s="77" t="s">
        <v>28</v>
      </c>
      <c r="P149" s="81"/>
      <c r="Q149" s="82"/>
      <c r="R149" s="82"/>
      <c r="S149" s="61"/>
      <c r="T149" s="89"/>
      <c r="U149" s="82"/>
      <c r="V149" s="82"/>
      <c r="W149" s="90"/>
      <c r="X149" s="82"/>
      <c r="Y149" s="82"/>
    </row>
    <row r="150" spans="1:25" ht="27.75" hidden="1" outlineLevel="1" x14ac:dyDescent="0.25">
      <c r="A150" s="24"/>
      <c r="B150" s="24"/>
      <c r="C150" s="24"/>
      <c r="D150" s="24"/>
      <c r="E150" s="24"/>
      <c r="F150" s="24"/>
      <c r="G150" s="24"/>
      <c r="H150" s="25"/>
      <c r="I150" s="24"/>
      <c r="J150" s="24"/>
      <c r="K150" s="78" t="s">
        <v>40</v>
      </c>
      <c r="L150" s="79">
        <v>29</v>
      </c>
      <c r="M150" s="80">
        <v>29</v>
      </c>
      <c r="N150" s="80">
        <v>24</v>
      </c>
      <c r="O150" s="80">
        <v>13</v>
      </c>
      <c r="P150" s="60"/>
      <c r="Q150" s="61"/>
      <c r="R150" s="61"/>
      <c r="S150" s="61"/>
      <c r="T150" s="91"/>
      <c r="U150" s="61"/>
      <c r="V150" s="61"/>
      <c r="W150" s="92"/>
      <c r="X150" s="61"/>
      <c r="Y150" s="61"/>
    </row>
    <row r="151" spans="1:25" ht="31.5" hidden="1" outlineLevel="1" x14ac:dyDescent="0.5">
      <c r="A151" s="12"/>
      <c r="B151" s="12"/>
      <c r="C151" s="12"/>
      <c r="D151" s="12"/>
      <c r="E151" s="12"/>
      <c r="F151" s="12"/>
      <c r="G151" s="12"/>
      <c r="H151" s="13"/>
      <c r="I151" s="12"/>
      <c r="J151" s="12"/>
      <c r="K151" s="83" t="s">
        <v>41</v>
      </c>
      <c r="L151" s="84"/>
      <c r="M151" s="85">
        <v>4000889.3700000006</v>
      </c>
      <c r="N151" s="86">
        <v>3587970.4600000004</v>
      </c>
      <c r="O151" s="106">
        <v>1152812.73</v>
      </c>
      <c r="P151" s="81"/>
      <c r="Q151" s="82"/>
      <c r="R151" s="82"/>
      <c r="S151" s="61"/>
      <c r="T151" s="89"/>
      <c r="U151" s="82"/>
      <c r="V151" s="82"/>
      <c r="W151" s="90"/>
      <c r="X151" s="82"/>
      <c r="Y151" s="82"/>
    </row>
    <row r="152" spans="1:25" ht="28.5" hidden="1" outlineLevel="1" x14ac:dyDescent="0.45">
      <c r="A152" s="24"/>
      <c r="B152" s="24"/>
      <c r="C152" s="24"/>
      <c r="D152" s="24"/>
      <c r="E152" s="24"/>
      <c r="F152" s="24"/>
      <c r="G152" s="24"/>
      <c r="H152" s="25"/>
      <c r="I152" s="24"/>
      <c r="J152" s="24"/>
      <c r="K152" s="97"/>
      <c r="L152" s="101"/>
      <c r="M152" s="102"/>
      <c r="N152" s="107">
        <f>N151-M151</f>
        <v>-412918.91000000015</v>
      </c>
      <c r="O152" s="108">
        <f>O151-N151</f>
        <v>-2435157.7300000004</v>
      </c>
      <c r="P152" s="109"/>
      <c r="Q152" s="110"/>
      <c r="R152" s="111"/>
      <c r="S152" s="61"/>
      <c r="T152" s="112"/>
      <c r="U152" s="113"/>
      <c r="V152" s="114"/>
      <c r="W152" s="114"/>
      <c r="X152" s="114"/>
      <c r="Y152" s="114"/>
    </row>
    <row r="153" spans="1:25" ht="27.75" hidden="1" outlineLevel="1" x14ac:dyDescent="0.25">
      <c r="A153" s="12"/>
      <c r="B153" s="12"/>
      <c r="C153" s="12"/>
      <c r="D153" s="12"/>
      <c r="E153" s="12"/>
      <c r="F153" s="12"/>
      <c r="G153" s="12"/>
      <c r="H153" s="13"/>
      <c r="I153" s="12"/>
      <c r="J153" s="12"/>
      <c r="K153" s="93" t="s">
        <v>36</v>
      </c>
      <c r="L153" s="77" t="s">
        <v>31</v>
      </c>
      <c r="M153" s="94" t="s">
        <v>32</v>
      </c>
      <c r="N153" s="94" t="s">
        <v>27</v>
      </c>
      <c r="O153" s="94" t="s">
        <v>28</v>
      </c>
      <c r="P153" s="81"/>
      <c r="Q153" s="82"/>
      <c r="R153" s="82"/>
      <c r="S153" s="61"/>
      <c r="T153" s="89"/>
      <c r="U153" s="82"/>
      <c r="V153" s="82"/>
      <c r="W153" s="90"/>
      <c r="X153" s="82"/>
      <c r="Y153" s="82"/>
    </row>
    <row r="154" spans="1:25" ht="27.75" hidden="1" outlineLevel="1" x14ac:dyDescent="0.25">
      <c r="A154" s="24"/>
      <c r="B154" s="24"/>
      <c r="C154" s="24"/>
      <c r="D154" s="24"/>
      <c r="E154" s="24"/>
      <c r="F154" s="24"/>
      <c r="G154" s="24"/>
      <c r="H154" s="25"/>
      <c r="I154" s="24"/>
      <c r="J154" s="24"/>
      <c r="K154" s="78" t="s">
        <v>40</v>
      </c>
      <c r="L154" s="95" t="s">
        <v>42</v>
      </c>
      <c r="M154" s="96" t="s">
        <v>43</v>
      </c>
      <c r="N154" s="96" t="s">
        <v>44</v>
      </c>
      <c r="O154" s="96" t="s">
        <v>45</v>
      </c>
      <c r="P154" s="60"/>
      <c r="Q154" s="61"/>
      <c r="R154" s="61"/>
      <c r="S154" s="61"/>
      <c r="T154" s="91"/>
      <c r="U154" s="61"/>
      <c r="V154" s="61"/>
      <c r="W154" s="92"/>
      <c r="X154" s="61"/>
      <c r="Y154" s="61"/>
    </row>
    <row r="155" spans="1:25" ht="31.5" hidden="1" outlineLevel="1" x14ac:dyDescent="0.5">
      <c r="A155" s="12"/>
      <c r="B155" s="12"/>
      <c r="C155" s="12"/>
      <c r="D155" s="12"/>
      <c r="E155" s="12"/>
      <c r="F155" s="12"/>
      <c r="G155" s="12"/>
      <c r="H155" s="13"/>
      <c r="I155" s="12"/>
      <c r="J155" s="12"/>
      <c r="K155" s="97" t="s">
        <v>41</v>
      </c>
      <c r="L155" s="98"/>
      <c r="M155" s="85">
        <f>M151+M147</f>
        <v>7846911.3700000001</v>
      </c>
      <c r="N155" s="86">
        <f>N151+N147</f>
        <v>7268275.46</v>
      </c>
      <c r="O155" s="106">
        <f>(O151+O147)</f>
        <v>2511865.9900000002</v>
      </c>
      <c r="P155" s="81"/>
      <c r="Q155" s="82"/>
      <c r="R155" s="82"/>
      <c r="S155" s="61"/>
      <c r="T155" s="89"/>
      <c r="U155" s="82"/>
      <c r="V155" s="82"/>
      <c r="W155" s="90"/>
      <c r="X155" s="82"/>
      <c r="Y155" s="82"/>
    </row>
    <row r="156" spans="1:25" ht="28.5" hidden="1" outlineLevel="1" x14ac:dyDescent="0.45">
      <c r="A156" s="24"/>
      <c r="B156" s="24"/>
      <c r="C156" s="24"/>
      <c r="D156" s="24"/>
      <c r="E156" s="24"/>
      <c r="F156" s="24"/>
      <c r="G156" s="24"/>
      <c r="H156" s="25"/>
      <c r="I156" s="24"/>
      <c r="J156" s="24"/>
      <c r="K156" s="97"/>
      <c r="L156" s="101"/>
      <c r="M156" s="102"/>
      <c r="N156" s="115">
        <f>N155-M155</f>
        <v>-578635.91000000015</v>
      </c>
      <c r="O156" s="116">
        <f>(O151+O147)-(N151+N147)</f>
        <v>-4756409.47</v>
      </c>
      <c r="P156" s="60"/>
      <c r="Q156" s="61"/>
      <c r="R156" s="61"/>
      <c r="S156" s="61"/>
      <c r="T156" s="91"/>
      <c r="U156" s="61"/>
      <c r="V156" s="61"/>
      <c r="W156" s="92"/>
      <c r="X156" s="61"/>
      <c r="Y156" s="61"/>
    </row>
    <row r="157" spans="1:25" ht="23.25" hidden="1" outlineLevel="1" x14ac:dyDescent="0.35">
      <c r="A157" s="24"/>
      <c r="B157" s="24"/>
      <c r="C157" s="24"/>
      <c r="D157" s="24"/>
      <c r="E157" s="24"/>
      <c r="F157" s="24"/>
      <c r="G157" s="24"/>
      <c r="H157" s="25"/>
      <c r="I157" s="104"/>
      <c r="J157" s="104"/>
      <c r="K157" s="105"/>
      <c r="L157" s="105"/>
      <c r="M157" s="105"/>
      <c r="N157" s="105"/>
      <c r="O157" s="105"/>
      <c r="P157" s="60"/>
      <c r="Q157" s="61"/>
      <c r="R157" s="61"/>
      <c r="S157" s="61"/>
      <c r="T157" s="91"/>
      <c r="U157" s="61"/>
      <c r="V157" s="61"/>
      <c r="W157" s="92"/>
      <c r="X157" s="61"/>
      <c r="Y157" s="61"/>
    </row>
    <row r="158" spans="1:25" ht="25.5" hidden="1" outlineLevel="1" x14ac:dyDescent="0.25">
      <c r="A158" s="24"/>
      <c r="B158" s="24"/>
      <c r="C158" s="24"/>
      <c r="D158" s="24"/>
      <c r="E158" s="24"/>
      <c r="F158" s="24"/>
      <c r="G158" s="24"/>
      <c r="H158" s="25"/>
      <c r="I158" s="24"/>
      <c r="J158" s="24"/>
      <c r="K158" s="88" t="s">
        <v>30</v>
      </c>
      <c r="L158" s="77" t="s">
        <v>31</v>
      </c>
      <c r="M158" s="77" t="s">
        <v>32</v>
      </c>
      <c r="N158" s="77" t="s">
        <v>27</v>
      </c>
      <c r="O158" s="77" t="s">
        <v>28</v>
      </c>
      <c r="P158" s="60"/>
      <c r="Q158" s="61"/>
      <c r="R158" s="61"/>
      <c r="S158" s="61"/>
      <c r="T158" s="91"/>
      <c r="U158" s="61"/>
      <c r="V158" s="61"/>
      <c r="W158" s="92"/>
      <c r="X158" s="61"/>
      <c r="Y158" s="61"/>
    </row>
    <row r="159" spans="1:25" ht="27.75" hidden="1" outlineLevel="1" x14ac:dyDescent="0.25">
      <c r="A159" s="12"/>
      <c r="B159" s="12"/>
      <c r="C159" s="12"/>
      <c r="D159" s="12"/>
      <c r="E159" s="12"/>
      <c r="F159" s="12"/>
      <c r="G159" s="12"/>
      <c r="H159" s="13"/>
      <c r="I159" s="12"/>
      <c r="J159" s="12"/>
      <c r="K159" s="78" t="s">
        <v>40</v>
      </c>
      <c r="L159" s="79">
        <v>102</v>
      </c>
      <c r="M159" s="80">
        <v>96</v>
      </c>
      <c r="N159" s="80">
        <v>78</v>
      </c>
      <c r="O159" s="80">
        <v>39</v>
      </c>
      <c r="P159" s="81"/>
      <c r="Q159" s="82"/>
      <c r="R159" s="82"/>
      <c r="S159" s="61"/>
      <c r="T159" s="89"/>
      <c r="U159" s="82"/>
      <c r="V159" s="82"/>
      <c r="W159" s="90"/>
      <c r="X159" s="82"/>
      <c r="Y159" s="82"/>
    </row>
    <row r="160" spans="1:25" ht="31.5" hidden="1" outlineLevel="1" x14ac:dyDescent="0.5">
      <c r="A160" s="24"/>
      <c r="B160" s="24"/>
      <c r="C160" s="24"/>
      <c r="D160" s="24"/>
      <c r="E160" s="24"/>
      <c r="F160" s="24"/>
      <c r="G160" s="24"/>
      <c r="H160" s="25"/>
      <c r="I160" s="24"/>
      <c r="J160" s="24"/>
      <c r="K160" s="83" t="s">
        <v>46</v>
      </c>
      <c r="L160" s="84"/>
      <c r="M160" s="85">
        <v>4717406.5999999996</v>
      </c>
      <c r="N160" s="86">
        <v>4002699.35</v>
      </c>
      <c r="O160" s="106">
        <v>1359053.2600000002</v>
      </c>
      <c r="P160" s="60"/>
      <c r="Q160" s="61"/>
      <c r="R160" s="61"/>
      <c r="S160" s="61"/>
      <c r="T160" s="91"/>
      <c r="U160" s="61"/>
      <c r="V160" s="61"/>
      <c r="W160" s="92"/>
      <c r="X160" s="61"/>
      <c r="Y160" s="61"/>
    </row>
    <row r="161" spans="1:25" ht="28.5" hidden="1" outlineLevel="1" x14ac:dyDescent="0.45">
      <c r="A161" s="12"/>
      <c r="B161" s="12"/>
      <c r="C161" s="12"/>
      <c r="D161" s="12"/>
      <c r="E161" s="12"/>
      <c r="F161" s="12"/>
      <c r="G161" s="12"/>
      <c r="H161" s="13"/>
      <c r="I161" s="12"/>
      <c r="J161" s="12"/>
      <c r="K161" s="97"/>
      <c r="L161" s="101"/>
      <c r="M161" s="102"/>
      <c r="N161" s="107">
        <f>N160-M160</f>
        <v>-714707.24999999953</v>
      </c>
      <c r="O161" s="108">
        <f>O160-N160</f>
        <v>-2643646.09</v>
      </c>
      <c r="P161" s="81"/>
      <c r="Q161" s="82"/>
      <c r="R161" s="82"/>
      <c r="S161" s="61"/>
      <c r="T161" s="89"/>
      <c r="U161" s="82"/>
      <c r="V161" s="82"/>
      <c r="W161" s="90"/>
      <c r="X161" s="82"/>
      <c r="Y161" s="82"/>
    </row>
    <row r="162" spans="1:25" ht="25.5" hidden="1" outlineLevel="1" x14ac:dyDescent="0.25">
      <c r="A162" s="24"/>
      <c r="B162" s="24"/>
      <c r="C162" s="24"/>
      <c r="D162" s="24"/>
      <c r="E162" s="24"/>
      <c r="F162" s="24"/>
      <c r="G162" s="24"/>
      <c r="H162" s="25"/>
      <c r="I162" s="24"/>
      <c r="J162" s="24"/>
      <c r="K162" s="88" t="s">
        <v>35</v>
      </c>
      <c r="L162" s="77" t="s">
        <v>31</v>
      </c>
      <c r="M162" s="77" t="s">
        <v>32</v>
      </c>
      <c r="N162" s="77" t="s">
        <v>27</v>
      </c>
      <c r="O162" s="77" t="s">
        <v>28</v>
      </c>
      <c r="P162" s="60"/>
      <c r="Q162" s="61"/>
      <c r="R162" s="61"/>
      <c r="S162" s="61"/>
      <c r="T162" s="91"/>
      <c r="U162" s="61"/>
      <c r="V162" s="61"/>
      <c r="W162" s="92"/>
      <c r="X162" s="61"/>
      <c r="Y162" s="61"/>
    </row>
    <row r="163" spans="1:25" ht="27.75" hidden="1" outlineLevel="1" x14ac:dyDescent="0.25">
      <c r="A163" s="12"/>
      <c r="B163" s="12"/>
      <c r="C163" s="12"/>
      <c r="D163" s="12"/>
      <c r="E163" s="12"/>
      <c r="F163" s="12"/>
      <c r="G163" s="12"/>
      <c r="H163" s="13"/>
      <c r="I163" s="12"/>
      <c r="J163" s="12"/>
      <c r="K163" s="78" t="s">
        <v>40</v>
      </c>
      <c r="L163" s="79">
        <v>32</v>
      </c>
      <c r="M163" s="80">
        <v>29</v>
      </c>
      <c r="N163" s="80">
        <v>29</v>
      </c>
      <c r="O163" s="80">
        <v>13</v>
      </c>
      <c r="P163" s="81"/>
      <c r="Q163" s="82"/>
      <c r="R163" s="82"/>
      <c r="S163" s="61"/>
      <c r="T163" s="89"/>
      <c r="U163" s="82"/>
      <c r="V163" s="82"/>
      <c r="W163" s="90"/>
      <c r="X163" s="82"/>
      <c r="Y163" s="82"/>
    </row>
    <row r="164" spans="1:25" ht="31.5" hidden="1" outlineLevel="1" x14ac:dyDescent="0.5">
      <c r="A164" s="24"/>
      <c r="B164" s="24"/>
      <c r="C164" s="24"/>
      <c r="D164" s="24"/>
      <c r="E164" s="24"/>
      <c r="F164" s="24"/>
      <c r="G164" s="24"/>
      <c r="H164" s="25"/>
      <c r="I164" s="24"/>
      <c r="J164" s="24"/>
      <c r="K164" s="83" t="s">
        <v>46</v>
      </c>
      <c r="L164" s="84"/>
      <c r="M164" s="85">
        <v>3986394.4400000004</v>
      </c>
      <c r="N164" s="86">
        <v>3986394.4400000004</v>
      </c>
      <c r="O164" s="106">
        <v>1152812.73</v>
      </c>
      <c r="P164" s="60"/>
      <c r="Q164" s="61"/>
      <c r="R164" s="61"/>
      <c r="S164" s="61"/>
      <c r="T164" s="91"/>
      <c r="U164" s="61"/>
      <c r="V164" s="61"/>
      <c r="W164" s="92"/>
      <c r="X164" s="61"/>
      <c r="Y164" s="61"/>
    </row>
    <row r="165" spans="1:25" ht="28.5" hidden="1" outlineLevel="1" x14ac:dyDescent="0.45">
      <c r="A165" s="12"/>
      <c r="B165" s="12"/>
      <c r="C165" s="12"/>
      <c r="D165" s="12"/>
      <c r="E165" s="12"/>
      <c r="F165" s="12"/>
      <c r="G165" s="12"/>
      <c r="H165" s="13"/>
      <c r="I165" s="12"/>
      <c r="J165" s="12"/>
      <c r="K165" s="97"/>
      <c r="L165" s="101"/>
      <c r="M165" s="102"/>
      <c r="N165" s="107">
        <f>N164-M164</f>
        <v>0</v>
      </c>
      <c r="O165" s="108">
        <f>O164-N164</f>
        <v>-2833581.7100000004</v>
      </c>
      <c r="P165" s="81"/>
      <c r="Q165" s="82"/>
      <c r="R165" s="82"/>
      <c r="S165" s="61"/>
      <c r="T165" s="89"/>
      <c r="U165" s="82"/>
      <c r="V165" s="82"/>
      <c r="W165" s="90"/>
      <c r="X165" s="82"/>
      <c r="Y165" s="82"/>
    </row>
    <row r="166" spans="1:25" ht="27.75" hidden="1" outlineLevel="1" x14ac:dyDescent="0.25">
      <c r="A166" s="24"/>
      <c r="B166" s="24"/>
      <c r="C166" s="24"/>
      <c r="D166" s="24"/>
      <c r="E166" s="24"/>
      <c r="F166" s="24"/>
      <c r="G166" s="24"/>
      <c r="H166" s="25"/>
      <c r="I166" s="24"/>
      <c r="J166" s="24"/>
      <c r="K166" s="93" t="s">
        <v>36</v>
      </c>
      <c r="L166" s="77" t="s">
        <v>31</v>
      </c>
      <c r="M166" s="94" t="s">
        <v>32</v>
      </c>
      <c r="N166" s="94" t="s">
        <v>27</v>
      </c>
      <c r="O166" s="94" t="s">
        <v>28</v>
      </c>
      <c r="P166" s="60"/>
      <c r="Q166" s="61"/>
      <c r="R166" s="61"/>
      <c r="S166" s="61"/>
      <c r="T166" s="91"/>
      <c r="U166" s="61"/>
      <c r="V166" s="61"/>
      <c r="W166" s="92"/>
      <c r="X166" s="61"/>
      <c r="Y166" s="61"/>
    </row>
    <row r="167" spans="1:25" ht="27.75" hidden="1" outlineLevel="1" x14ac:dyDescent="0.25">
      <c r="A167" s="12"/>
      <c r="B167" s="12"/>
      <c r="C167" s="12"/>
      <c r="D167" s="12"/>
      <c r="E167" s="12"/>
      <c r="F167" s="12"/>
      <c r="G167" s="12"/>
      <c r="H167" s="13"/>
      <c r="I167" s="12"/>
      <c r="J167" s="12"/>
      <c r="K167" s="78" t="s">
        <v>40</v>
      </c>
      <c r="L167" s="95" t="s">
        <v>47</v>
      </c>
      <c r="M167" s="96" t="s">
        <v>48</v>
      </c>
      <c r="N167" s="96" t="s">
        <v>49</v>
      </c>
      <c r="O167" s="96" t="s">
        <v>45</v>
      </c>
      <c r="P167" s="81"/>
      <c r="Q167" s="82"/>
      <c r="R167" s="82"/>
      <c r="S167" s="61"/>
      <c r="T167" s="89"/>
      <c r="U167" s="82"/>
      <c r="V167" s="82"/>
      <c r="W167" s="90"/>
      <c r="X167" s="82"/>
      <c r="Y167" s="82"/>
    </row>
    <row r="168" spans="1:25" ht="31.5" hidden="1" outlineLevel="1" x14ac:dyDescent="0.5">
      <c r="K168" s="83" t="s">
        <v>46</v>
      </c>
      <c r="L168" s="98"/>
      <c r="M168" s="85">
        <f>M164+M160</f>
        <v>8703801.0399999991</v>
      </c>
      <c r="N168" s="86">
        <f>N164+N160</f>
        <v>7989093.790000001</v>
      </c>
      <c r="O168" s="106">
        <f>(O164+O160)</f>
        <v>2511865.9900000002</v>
      </c>
      <c r="P168" s="109"/>
      <c r="Q168" s="110"/>
      <c r="R168" s="111"/>
      <c r="S168" s="61"/>
      <c r="T168" s="112"/>
      <c r="U168" s="113"/>
      <c r="V168" s="114"/>
      <c r="W168" s="114"/>
      <c r="X168" s="114"/>
      <c r="Y168" s="114"/>
    </row>
    <row r="169" spans="1:25" ht="28.5" hidden="1" outlineLevel="1" x14ac:dyDescent="0.45">
      <c r="A169" s="12"/>
      <c r="B169" s="12"/>
      <c r="C169" s="12"/>
      <c r="D169" s="12"/>
      <c r="E169" s="12"/>
      <c r="F169" s="12"/>
      <c r="G169" s="12"/>
      <c r="H169" s="13"/>
      <c r="I169" s="12"/>
      <c r="J169" s="12"/>
      <c r="K169" s="97"/>
      <c r="L169" s="101"/>
      <c r="M169" s="102"/>
      <c r="N169" s="115">
        <f>N168-M168</f>
        <v>-714707.24999999814</v>
      </c>
      <c r="O169" s="116">
        <f>(O164+O160)-(N164+N160)</f>
        <v>-5477227.8000000007</v>
      </c>
      <c r="P169" s="81"/>
      <c r="Q169" s="82"/>
      <c r="R169" s="82"/>
      <c r="S169" s="61"/>
      <c r="T169" s="89"/>
      <c r="U169" s="82"/>
      <c r="V169" s="82"/>
      <c r="W169" s="90"/>
      <c r="X169" s="82"/>
      <c r="Y169" s="82"/>
    </row>
    <row r="170" spans="1:25" hidden="1" outlineLevel="1" x14ac:dyDescent="0.25">
      <c r="A170" s="24"/>
      <c r="B170" s="24"/>
      <c r="C170" s="24"/>
      <c r="D170" s="24"/>
      <c r="E170" s="24"/>
      <c r="F170" s="24"/>
      <c r="G170" s="24"/>
      <c r="H170" s="25"/>
      <c r="I170" s="24"/>
      <c r="J170" s="24"/>
      <c r="K170" s="105"/>
      <c r="L170" s="105"/>
      <c r="M170" s="105"/>
      <c r="N170" s="105"/>
      <c r="O170" s="105"/>
      <c r="P170" s="60"/>
      <c r="Q170" s="61"/>
      <c r="R170" s="61"/>
      <c r="S170" s="61"/>
      <c r="T170" s="91"/>
      <c r="U170" s="61"/>
      <c r="V170" s="61"/>
      <c r="W170" s="92"/>
      <c r="X170" s="61"/>
      <c r="Y170" s="61"/>
    </row>
    <row r="171" spans="1:25" collapsed="1" x14ac:dyDescent="0.25">
      <c r="A171" s="12"/>
      <c r="B171" s="12"/>
      <c r="C171" s="12"/>
      <c r="D171" s="12"/>
      <c r="E171" s="12"/>
      <c r="F171" s="12"/>
      <c r="G171" s="12"/>
      <c r="H171" s="13"/>
      <c r="I171" s="12"/>
      <c r="J171" s="12"/>
      <c r="K171" s="12"/>
      <c r="L171" s="12"/>
      <c r="M171" s="12"/>
      <c r="N171" s="117"/>
      <c r="O171" s="118"/>
      <c r="P171" s="81"/>
      <c r="Q171" s="82"/>
      <c r="R171" s="82"/>
      <c r="S171" s="61"/>
      <c r="T171" s="89"/>
      <c r="U171" s="82"/>
      <c r="V171" s="82"/>
      <c r="W171" s="90"/>
      <c r="X171" s="82"/>
      <c r="Y171" s="82"/>
    </row>
    <row r="172" spans="1:25" x14ac:dyDescent="0.25">
      <c r="A172" s="24"/>
      <c r="B172" s="24"/>
      <c r="C172" s="24"/>
      <c r="D172" s="24"/>
      <c r="E172" s="24"/>
      <c r="F172" s="24"/>
      <c r="G172" s="24"/>
      <c r="H172" s="25"/>
      <c r="I172" s="24"/>
      <c r="J172" s="24"/>
      <c r="K172" s="24"/>
      <c r="L172" s="24"/>
      <c r="M172" s="24"/>
      <c r="N172" s="119"/>
      <c r="O172" s="120"/>
      <c r="P172" s="60"/>
      <c r="Q172" s="61"/>
      <c r="R172" s="61"/>
      <c r="S172" s="61"/>
      <c r="T172" s="91"/>
      <c r="U172" s="61"/>
      <c r="V172" s="61"/>
      <c r="W172" s="92"/>
      <c r="X172" s="61"/>
      <c r="Y172" s="61"/>
    </row>
    <row r="173" spans="1:25" x14ac:dyDescent="0.25">
      <c r="A173" s="12"/>
      <c r="B173" s="12"/>
      <c r="C173" s="12"/>
      <c r="D173" s="12"/>
      <c r="E173" s="12"/>
      <c r="F173" s="12"/>
      <c r="G173" s="12"/>
      <c r="H173" s="13"/>
      <c r="I173" s="12"/>
      <c r="J173" s="12"/>
      <c r="K173" s="12"/>
      <c r="L173" s="12"/>
      <c r="M173" s="12"/>
      <c r="N173" s="121"/>
      <c r="O173" s="118"/>
      <c r="P173" s="81"/>
      <c r="Q173" s="82"/>
      <c r="R173" s="82"/>
      <c r="S173" s="82"/>
      <c r="T173" s="89"/>
      <c r="U173" s="82"/>
      <c r="V173" s="82"/>
      <c r="W173" s="90"/>
      <c r="X173" s="82"/>
      <c r="Y173" s="82"/>
    </row>
    <row r="174" spans="1:25" x14ac:dyDescent="0.25">
      <c r="A174" s="24"/>
      <c r="B174" s="24"/>
      <c r="C174" s="24"/>
      <c r="D174" s="24"/>
      <c r="E174" s="24"/>
      <c r="F174" s="24"/>
      <c r="G174" s="24"/>
      <c r="H174" s="25"/>
      <c r="I174" s="24"/>
      <c r="J174" s="24"/>
      <c r="K174" s="24"/>
      <c r="L174" s="24"/>
      <c r="M174" s="24"/>
      <c r="N174" s="122"/>
      <c r="O174" s="120"/>
      <c r="P174" s="60"/>
      <c r="Q174" s="61"/>
      <c r="R174" s="61"/>
      <c r="S174" s="61"/>
      <c r="T174" s="91"/>
      <c r="U174" s="61"/>
      <c r="V174" s="61"/>
      <c r="W174" s="92"/>
      <c r="X174" s="61"/>
      <c r="Y174" s="61"/>
    </row>
    <row r="175" spans="1:25" x14ac:dyDescent="0.25">
      <c r="A175" s="12"/>
      <c r="B175" s="12"/>
      <c r="C175" s="12"/>
      <c r="D175" s="12"/>
      <c r="E175" s="12"/>
      <c r="F175" s="12"/>
      <c r="G175" s="12"/>
      <c r="H175" s="13"/>
      <c r="I175" s="12"/>
      <c r="J175" s="12"/>
      <c r="K175" s="12"/>
      <c r="L175" s="12"/>
      <c r="M175" s="12"/>
      <c r="N175" s="121"/>
      <c r="O175" s="118"/>
      <c r="P175" s="81"/>
      <c r="Q175" s="82"/>
      <c r="R175" s="82"/>
      <c r="S175" s="82"/>
      <c r="T175" s="89"/>
      <c r="U175" s="82"/>
      <c r="V175" s="82"/>
      <c r="W175" s="90"/>
      <c r="X175" s="82"/>
      <c r="Y175" s="82"/>
    </row>
    <row r="176" spans="1:25" x14ac:dyDescent="0.25">
      <c r="A176" s="24"/>
      <c r="B176" s="24"/>
      <c r="C176" s="24"/>
      <c r="D176" s="24"/>
      <c r="E176" s="24"/>
      <c r="F176" s="24"/>
      <c r="G176" s="24"/>
      <c r="H176" s="25"/>
      <c r="I176" s="24"/>
      <c r="J176" s="24"/>
      <c r="K176" s="24"/>
      <c r="L176" s="24"/>
      <c r="M176" s="24"/>
      <c r="N176" s="122"/>
      <c r="O176" s="120"/>
      <c r="P176" s="60"/>
      <c r="Q176" s="61"/>
      <c r="R176" s="61"/>
      <c r="S176" s="61"/>
      <c r="T176" s="91"/>
      <c r="U176" s="61"/>
      <c r="V176" s="61"/>
      <c r="W176" s="92"/>
      <c r="X176" s="61"/>
      <c r="Y176" s="61"/>
    </row>
    <row r="177" spans="1:25" x14ac:dyDescent="0.25">
      <c r="A177" s="12"/>
      <c r="B177" s="12"/>
      <c r="C177" s="12"/>
      <c r="D177" s="12"/>
      <c r="E177" s="12"/>
      <c r="F177" s="12"/>
      <c r="G177" s="12"/>
      <c r="H177" s="13"/>
      <c r="I177" s="12"/>
      <c r="J177" s="12"/>
      <c r="K177" s="12"/>
      <c r="L177" s="12"/>
      <c r="M177" s="12"/>
      <c r="N177" s="121"/>
      <c r="O177" s="118"/>
      <c r="P177" s="81"/>
      <c r="Q177" s="82"/>
      <c r="R177" s="82"/>
      <c r="S177" s="82"/>
      <c r="T177" s="89"/>
      <c r="U177" s="82"/>
      <c r="V177" s="82"/>
      <c r="W177" s="90"/>
      <c r="X177" s="82"/>
      <c r="Y177" s="82"/>
    </row>
    <row r="178" spans="1:25" x14ac:dyDescent="0.25">
      <c r="A178" s="24"/>
      <c r="B178" s="24"/>
      <c r="C178" s="24"/>
      <c r="D178" s="24"/>
      <c r="E178" s="24"/>
      <c r="F178" s="24"/>
      <c r="G178" s="24"/>
      <c r="H178" s="25"/>
      <c r="I178" s="24"/>
      <c r="J178" s="24"/>
      <c r="K178" s="24"/>
      <c r="L178" s="24"/>
      <c r="M178" s="24"/>
      <c r="N178" s="122"/>
      <c r="O178" s="120"/>
      <c r="P178" s="60"/>
      <c r="Q178" s="61"/>
      <c r="R178" s="61"/>
      <c r="S178" s="61"/>
      <c r="T178" s="91"/>
      <c r="U178" s="61"/>
      <c r="V178" s="61"/>
      <c r="W178" s="92"/>
      <c r="X178" s="61"/>
      <c r="Y178" s="61"/>
    </row>
    <row r="179" spans="1:25" x14ac:dyDescent="0.25">
      <c r="A179" s="12"/>
      <c r="B179" s="12"/>
      <c r="C179" s="12"/>
      <c r="D179" s="12"/>
      <c r="E179" s="12"/>
      <c r="F179" s="12"/>
      <c r="G179" s="12"/>
      <c r="H179" s="13"/>
      <c r="I179" s="12"/>
      <c r="J179" s="12"/>
      <c r="K179" s="12"/>
      <c r="L179" s="12"/>
      <c r="M179" s="12"/>
      <c r="N179" s="121"/>
      <c r="O179" s="118"/>
      <c r="P179" s="81"/>
      <c r="Q179" s="82"/>
      <c r="R179" s="82"/>
      <c r="S179" s="82"/>
      <c r="T179" s="89"/>
      <c r="U179" s="82"/>
      <c r="V179" s="82"/>
      <c r="W179" s="90"/>
      <c r="X179" s="82"/>
      <c r="Y179" s="82"/>
    </row>
    <row r="180" spans="1:25" x14ac:dyDescent="0.25">
      <c r="N180" s="122"/>
      <c r="O180" s="120"/>
      <c r="P180" s="60"/>
      <c r="Q180" s="61"/>
      <c r="R180" s="61"/>
      <c r="S180" s="61"/>
      <c r="T180" s="91"/>
      <c r="U180" s="61"/>
      <c r="V180" s="61"/>
      <c r="W180" s="92"/>
      <c r="X180" s="61"/>
      <c r="Y180" s="61"/>
    </row>
    <row r="181" spans="1:25" x14ac:dyDescent="0.25">
      <c r="A181" s="12"/>
      <c r="B181" s="12"/>
      <c r="C181" s="12"/>
      <c r="D181" s="12"/>
      <c r="E181" s="12"/>
      <c r="F181" s="12"/>
      <c r="G181" s="12"/>
      <c r="H181" s="13"/>
      <c r="I181" s="12"/>
      <c r="J181" s="12"/>
      <c r="K181" s="12"/>
      <c r="L181" s="12"/>
      <c r="M181" s="12"/>
      <c r="N181" s="121"/>
      <c r="O181" s="118"/>
      <c r="P181" s="81"/>
      <c r="Q181" s="82"/>
      <c r="R181" s="82"/>
      <c r="S181" s="82"/>
      <c r="T181" s="89"/>
      <c r="U181" s="82"/>
      <c r="V181" s="82"/>
      <c r="W181" s="90"/>
      <c r="X181" s="82"/>
      <c r="Y181" s="82"/>
    </row>
    <row r="182" spans="1:25" x14ac:dyDescent="0.25">
      <c r="A182" s="24"/>
      <c r="B182" s="24"/>
      <c r="C182" s="24"/>
      <c r="D182" s="24"/>
      <c r="E182" s="24"/>
      <c r="F182" s="24"/>
      <c r="G182" s="24"/>
      <c r="H182" s="25"/>
      <c r="I182" s="24"/>
      <c r="J182" s="24"/>
      <c r="K182" s="24"/>
      <c r="L182" s="24"/>
      <c r="M182" s="24"/>
      <c r="N182" s="122"/>
      <c r="O182" s="120"/>
      <c r="P182" s="60"/>
      <c r="Q182" s="61"/>
      <c r="R182" s="61"/>
      <c r="S182" s="61"/>
      <c r="T182" s="91"/>
      <c r="U182" s="61"/>
      <c r="V182" s="61"/>
      <c r="W182" s="92"/>
      <c r="X182" s="61"/>
      <c r="Y182" s="61"/>
    </row>
    <row r="183" spans="1:25" x14ac:dyDescent="0.25">
      <c r="A183" s="12"/>
      <c r="B183" s="12"/>
      <c r="C183" s="12"/>
      <c r="D183" s="12"/>
      <c r="E183" s="12"/>
      <c r="F183" s="12"/>
      <c r="G183" s="12"/>
      <c r="H183" s="13"/>
      <c r="I183" s="12"/>
      <c r="J183" s="12"/>
      <c r="K183" s="12"/>
      <c r="L183" s="12"/>
      <c r="M183" s="12"/>
      <c r="N183" s="121"/>
      <c r="O183" s="118"/>
      <c r="P183" s="81"/>
      <c r="Q183" s="82"/>
      <c r="R183" s="82"/>
      <c r="S183" s="82"/>
      <c r="T183" s="89"/>
      <c r="U183" s="82"/>
      <c r="V183" s="82"/>
      <c r="W183" s="90"/>
      <c r="X183" s="82"/>
      <c r="Y183" s="82"/>
    </row>
    <row r="184" spans="1:25" x14ac:dyDescent="0.25">
      <c r="A184" s="24"/>
      <c r="B184" s="24"/>
      <c r="C184" s="24"/>
      <c r="D184" s="24"/>
      <c r="E184" s="24"/>
      <c r="F184" s="24"/>
      <c r="G184" s="24"/>
      <c r="H184" s="25"/>
      <c r="I184" s="24"/>
      <c r="J184" s="24"/>
      <c r="K184" s="24"/>
      <c r="L184" s="24"/>
      <c r="M184" s="24"/>
      <c r="N184" s="123"/>
      <c r="O184" s="124"/>
      <c r="P184" s="109"/>
      <c r="Q184" s="110"/>
      <c r="R184" s="111"/>
      <c r="S184" s="111"/>
      <c r="T184" s="112"/>
      <c r="U184" s="113"/>
      <c r="V184" s="114"/>
      <c r="W184" s="114"/>
      <c r="X184" s="114"/>
      <c r="Y184" s="114"/>
    </row>
    <row r="185" spans="1:25" x14ac:dyDescent="0.25">
      <c r="A185" s="12"/>
      <c r="B185" s="12"/>
      <c r="C185" s="12"/>
      <c r="D185" s="12"/>
      <c r="E185" s="12"/>
      <c r="F185" s="12"/>
      <c r="G185" s="12"/>
      <c r="H185" s="13"/>
      <c r="I185" s="12"/>
      <c r="J185" s="12"/>
      <c r="K185" s="12"/>
      <c r="L185" s="12"/>
      <c r="M185" s="12"/>
      <c r="N185" s="121"/>
      <c r="O185" s="118"/>
      <c r="P185" s="81"/>
      <c r="Q185" s="82"/>
      <c r="R185" s="82"/>
      <c r="S185" s="82"/>
      <c r="T185" s="89"/>
      <c r="U185" s="82"/>
      <c r="V185" s="82"/>
      <c r="W185" s="90"/>
      <c r="X185" s="82"/>
      <c r="Y185" s="82"/>
    </row>
    <row r="186" spans="1:25" x14ac:dyDescent="0.25">
      <c r="A186" s="24"/>
      <c r="B186" s="24"/>
      <c r="C186" s="24"/>
      <c r="D186" s="24"/>
      <c r="E186" s="24"/>
      <c r="F186" s="24"/>
      <c r="G186" s="24"/>
      <c r="H186" s="25"/>
      <c r="I186" s="24"/>
      <c r="J186" s="24"/>
      <c r="K186" s="24"/>
      <c r="L186" s="24"/>
      <c r="M186" s="24"/>
      <c r="N186" s="122"/>
      <c r="O186" s="120"/>
      <c r="P186" s="60"/>
      <c r="Q186" s="61"/>
      <c r="R186" s="61"/>
      <c r="S186" s="61"/>
      <c r="T186" s="91"/>
      <c r="U186" s="61"/>
      <c r="V186" s="61"/>
      <c r="W186" s="92"/>
      <c r="X186" s="61"/>
      <c r="Y186" s="61"/>
    </row>
    <row r="187" spans="1:25" x14ac:dyDescent="0.25">
      <c r="A187" s="12"/>
      <c r="B187" s="12"/>
      <c r="C187" s="12"/>
      <c r="D187" s="12"/>
      <c r="E187" s="12"/>
      <c r="F187" s="12"/>
      <c r="G187" s="12"/>
      <c r="H187" s="13"/>
      <c r="I187" s="12"/>
      <c r="J187" s="12"/>
      <c r="K187" s="12"/>
      <c r="L187" s="12"/>
      <c r="M187" s="12"/>
      <c r="N187" s="121"/>
      <c r="O187" s="118"/>
      <c r="P187" s="81"/>
      <c r="Q187" s="82"/>
      <c r="R187" s="82"/>
      <c r="S187" s="82"/>
      <c r="T187" s="89"/>
      <c r="U187" s="82"/>
      <c r="V187" s="82"/>
      <c r="W187" s="90"/>
      <c r="X187" s="82"/>
      <c r="Y187" s="82"/>
    </row>
    <row r="188" spans="1:25" x14ac:dyDescent="0.25">
      <c r="A188" s="12"/>
      <c r="B188" s="12"/>
      <c r="C188" s="12"/>
      <c r="D188" s="12"/>
      <c r="E188" s="12"/>
      <c r="F188" s="12"/>
      <c r="G188" s="12"/>
      <c r="H188" s="13"/>
      <c r="I188" s="12"/>
      <c r="J188" s="12"/>
      <c r="K188" s="12"/>
      <c r="L188" s="12"/>
      <c r="M188" s="12"/>
      <c r="N188" s="122"/>
      <c r="O188" s="120"/>
      <c r="P188" s="60"/>
      <c r="Q188" s="61"/>
      <c r="R188" s="61"/>
      <c r="S188" s="61"/>
      <c r="T188" s="91"/>
      <c r="U188" s="61"/>
      <c r="V188" s="61"/>
      <c r="W188" s="92"/>
      <c r="X188" s="61"/>
      <c r="Y188" s="61"/>
    </row>
    <row r="189" spans="1:25" x14ac:dyDescent="0.25">
      <c r="A189" s="24"/>
      <c r="B189" s="24"/>
      <c r="C189" s="24"/>
      <c r="D189" s="24"/>
      <c r="E189" s="24"/>
      <c r="F189" s="24"/>
      <c r="G189" s="24"/>
      <c r="H189" s="25"/>
      <c r="I189" s="24"/>
      <c r="J189" s="24"/>
      <c r="K189" s="24"/>
      <c r="L189" s="24"/>
      <c r="M189" s="24"/>
      <c r="N189" s="121"/>
      <c r="O189" s="118"/>
      <c r="P189" s="81"/>
      <c r="Q189" s="82"/>
      <c r="R189" s="82"/>
      <c r="S189" s="82"/>
      <c r="T189" s="89"/>
      <c r="U189" s="82"/>
      <c r="V189" s="82"/>
      <c r="W189" s="90"/>
      <c r="X189" s="82"/>
      <c r="Y189" s="82"/>
    </row>
    <row r="190" spans="1:25" x14ac:dyDescent="0.25">
      <c r="A190" s="12"/>
      <c r="B190" s="12"/>
      <c r="C190" s="12"/>
      <c r="D190" s="12"/>
      <c r="E190" s="12"/>
      <c r="F190" s="12"/>
      <c r="G190" s="12"/>
      <c r="H190" s="13"/>
      <c r="I190" s="12"/>
      <c r="J190" s="12"/>
      <c r="K190" s="12"/>
      <c r="L190" s="12"/>
      <c r="M190" s="12"/>
      <c r="N190" s="122"/>
      <c r="O190" s="120"/>
      <c r="P190" s="60"/>
      <c r="Q190" s="61"/>
      <c r="R190" s="61"/>
      <c r="S190" s="61"/>
      <c r="T190" s="91"/>
      <c r="U190" s="61"/>
      <c r="V190" s="61"/>
      <c r="W190" s="92"/>
      <c r="X190" s="61"/>
      <c r="Y190" s="61"/>
    </row>
    <row r="191" spans="1:25" x14ac:dyDescent="0.25">
      <c r="A191" s="24"/>
      <c r="B191" s="24"/>
      <c r="C191" s="24"/>
      <c r="D191" s="24"/>
      <c r="E191" s="24"/>
      <c r="F191" s="24"/>
      <c r="G191" s="24"/>
      <c r="H191" s="25"/>
      <c r="I191" s="24"/>
      <c r="J191" s="24"/>
      <c r="K191" s="24"/>
      <c r="L191" s="24"/>
      <c r="M191" s="24"/>
      <c r="N191" s="121"/>
      <c r="O191" s="118"/>
      <c r="P191" s="81"/>
      <c r="Q191" s="82"/>
      <c r="R191" s="82"/>
      <c r="S191" s="82"/>
      <c r="T191" s="89"/>
      <c r="U191" s="82"/>
      <c r="V191" s="82"/>
      <c r="W191" s="90"/>
      <c r="X191" s="82"/>
      <c r="Y191" s="82"/>
    </row>
    <row r="192" spans="1:25" x14ac:dyDescent="0.25">
      <c r="A192" s="12"/>
      <c r="B192" s="12"/>
      <c r="C192" s="12"/>
      <c r="D192" s="12"/>
      <c r="E192" s="12"/>
      <c r="F192" s="12"/>
      <c r="G192" s="12"/>
      <c r="H192" s="13"/>
      <c r="I192" s="12"/>
      <c r="J192" s="12"/>
      <c r="K192" s="12"/>
      <c r="L192" s="12"/>
      <c r="M192" s="12"/>
      <c r="N192" s="122"/>
      <c r="O192" s="120"/>
      <c r="P192" s="60"/>
      <c r="Q192" s="61"/>
      <c r="R192" s="61"/>
      <c r="S192" s="61"/>
      <c r="T192" s="91"/>
      <c r="U192" s="61"/>
      <c r="V192" s="61"/>
      <c r="W192" s="92"/>
      <c r="X192" s="61"/>
      <c r="Y192" s="61"/>
    </row>
    <row r="193" spans="1:25" x14ac:dyDescent="0.25">
      <c r="A193" s="24"/>
      <c r="B193" s="24"/>
      <c r="C193" s="24"/>
      <c r="D193" s="24"/>
      <c r="E193" s="24"/>
      <c r="F193" s="24"/>
      <c r="G193" s="24"/>
      <c r="H193" s="25"/>
      <c r="I193" s="24"/>
      <c r="J193" s="24"/>
      <c r="K193" s="24"/>
      <c r="L193" s="24"/>
      <c r="M193" s="24"/>
      <c r="N193" s="121"/>
      <c r="O193" s="118"/>
      <c r="P193" s="81"/>
      <c r="Q193" s="82"/>
      <c r="R193" s="82"/>
      <c r="S193" s="82"/>
      <c r="T193" s="89"/>
      <c r="U193" s="82"/>
      <c r="V193" s="82"/>
      <c r="W193" s="90"/>
      <c r="X193" s="82"/>
      <c r="Y193" s="82"/>
    </row>
    <row r="194" spans="1:25" x14ac:dyDescent="0.25">
      <c r="A194" s="12"/>
      <c r="B194" s="12"/>
      <c r="C194" s="12"/>
      <c r="D194" s="12"/>
      <c r="E194" s="12"/>
      <c r="F194" s="12"/>
      <c r="G194" s="12"/>
      <c r="H194" s="13"/>
      <c r="I194" s="12"/>
      <c r="J194" s="12"/>
      <c r="K194" s="12"/>
      <c r="L194" s="12"/>
      <c r="M194" s="12"/>
      <c r="N194" s="122"/>
      <c r="O194" s="120"/>
      <c r="P194" s="60"/>
      <c r="Q194" s="61"/>
      <c r="R194" s="61"/>
      <c r="S194" s="61"/>
      <c r="T194" s="91"/>
      <c r="U194" s="61"/>
      <c r="V194" s="61"/>
      <c r="W194" s="92"/>
      <c r="X194" s="61"/>
      <c r="Y194" s="61"/>
    </row>
    <row r="195" spans="1:25" x14ac:dyDescent="0.25">
      <c r="A195" s="24"/>
      <c r="B195" s="24"/>
      <c r="C195" s="24"/>
      <c r="D195" s="24"/>
      <c r="E195" s="24"/>
      <c r="F195" s="24"/>
      <c r="G195" s="24"/>
      <c r="H195" s="25"/>
      <c r="I195" s="24"/>
      <c r="J195" s="24"/>
      <c r="K195" s="24"/>
      <c r="L195" s="24"/>
      <c r="M195" s="24"/>
      <c r="N195" s="121"/>
      <c r="O195" s="118"/>
      <c r="P195" s="81"/>
      <c r="Q195" s="82"/>
      <c r="R195" s="82"/>
      <c r="S195" s="82"/>
      <c r="T195" s="89"/>
      <c r="U195" s="82"/>
      <c r="V195" s="82"/>
      <c r="W195" s="90"/>
      <c r="X195" s="82"/>
      <c r="Y195" s="82"/>
    </row>
    <row r="196" spans="1:25" x14ac:dyDescent="0.25">
      <c r="A196" s="12"/>
      <c r="B196" s="12"/>
      <c r="C196" s="12"/>
      <c r="D196" s="12"/>
      <c r="E196" s="12"/>
      <c r="F196" s="12"/>
      <c r="G196" s="12"/>
      <c r="H196" s="13"/>
      <c r="I196" s="12"/>
      <c r="J196" s="12"/>
      <c r="K196" s="12"/>
      <c r="L196" s="12"/>
      <c r="M196" s="12"/>
      <c r="N196" s="122"/>
      <c r="O196" s="120"/>
      <c r="P196" s="60"/>
      <c r="Q196" s="61"/>
      <c r="R196" s="61"/>
      <c r="S196" s="61"/>
      <c r="T196" s="91"/>
      <c r="U196" s="61"/>
      <c r="V196" s="61"/>
      <c r="W196" s="92"/>
      <c r="X196" s="61"/>
      <c r="Y196" s="61"/>
    </row>
    <row r="197" spans="1:25" x14ac:dyDescent="0.25">
      <c r="N197" s="121"/>
      <c r="O197" s="118"/>
      <c r="P197" s="81"/>
      <c r="Q197" s="82"/>
      <c r="R197" s="82"/>
      <c r="S197" s="82"/>
      <c r="T197" s="89"/>
      <c r="U197" s="82"/>
      <c r="V197" s="82"/>
      <c r="W197" s="90"/>
      <c r="X197" s="82"/>
      <c r="Y197" s="82"/>
    </row>
    <row r="198" spans="1:25" x14ac:dyDescent="0.25">
      <c r="A198" s="12"/>
      <c r="B198" s="12"/>
      <c r="C198" s="12"/>
      <c r="D198" s="12"/>
      <c r="E198" s="12"/>
      <c r="F198" s="12"/>
      <c r="G198" s="12"/>
      <c r="H198" s="13"/>
      <c r="I198" s="12"/>
      <c r="J198" s="12"/>
      <c r="K198" s="12"/>
      <c r="L198" s="12"/>
      <c r="M198" s="12"/>
      <c r="N198" s="122"/>
      <c r="O198" s="120"/>
      <c r="P198" s="60"/>
      <c r="Q198" s="61"/>
      <c r="R198" s="61"/>
      <c r="S198" s="61"/>
      <c r="T198" s="91"/>
      <c r="U198" s="61"/>
      <c r="V198" s="61"/>
      <c r="W198" s="92"/>
      <c r="X198" s="61"/>
      <c r="Y198" s="61"/>
    </row>
    <row r="199" spans="1:25" x14ac:dyDescent="0.25">
      <c r="A199" s="24"/>
      <c r="B199" s="24"/>
      <c r="C199" s="24"/>
      <c r="D199" s="24"/>
      <c r="E199" s="24"/>
      <c r="F199" s="24"/>
      <c r="G199" s="24"/>
      <c r="H199" s="25"/>
      <c r="I199" s="24"/>
      <c r="J199" s="24"/>
      <c r="K199" s="24"/>
      <c r="L199" s="24"/>
      <c r="M199" s="24"/>
      <c r="N199" s="121"/>
      <c r="O199" s="118"/>
      <c r="P199" s="81"/>
      <c r="Q199" s="82"/>
      <c r="R199" s="82"/>
      <c r="S199" s="82"/>
      <c r="T199" s="89"/>
      <c r="U199" s="82"/>
      <c r="V199" s="82"/>
      <c r="W199" s="90"/>
      <c r="X199" s="82"/>
      <c r="Y199" s="82"/>
    </row>
    <row r="200" spans="1:25" x14ac:dyDescent="0.25">
      <c r="A200" s="12"/>
      <c r="B200" s="12"/>
      <c r="C200" s="12"/>
      <c r="D200" s="12"/>
      <c r="E200" s="12"/>
      <c r="F200" s="12"/>
      <c r="G200" s="12"/>
      <c r="H200" s="13"/>
      <c r="I200" s="12"/>
      <c r="J200" s="12"/>
      <c r="K200" s="12"/>
      <c r="L200" s="12"/>
      <c r="M200" s="12"/>
      <c r="N200" s="123"/>
      <c r="O200" s="124"/>
      <c r="P200" s="109"/>
      <c r="Q200" s="110"/>
      <c r="R200" s="111"/>
      <c r="S200" s="111"/>
      <c r="T200" s="112"/>
      <c r="U200" s="113"/>
      <c r="V200" s="114"/>
      <c r="W200" s="114"/>
      <c r="X200" s="114"/>
      <c r="Y200" s="114"/>
    </row>
    <row r="201" spans="1:25" x14ac:dyDescent="0.25">
      <c r="A201" s="24"/>
      <c r="B201" s="24"/>
      <c r="C201" s="24"/>
      <c r="D201" s="24"/>
      <c r="E201" s="24"/>
      <c r="F201" s="24"/>
      <c r="G201" s="24"/>
      <c r="H201" s="25"/>
      <c r="I201" s="24"/>
      <c r="J201" s="24"/>
      <c r="K201" s="24"/>
      <c r="L201" s="24"/>
      <c r="M201" s="24"/>
      <c r="N201" s="121"/>
      <c r="O201" s="118"/>
      <c r="P201" s="81"/>
      <c r="Q201" s="82"/>
      <c r="R201" s="82"/>
      <c r="S201" s="82"/>
      <c r="T201" s="89"/>
      <c r="U201" s="82"/>
      <c r="V201" s="82"/>
      <c r="W201" s="90"/>
      <c r="X201" s="82"/>
      <c r="Y201" s="82"/>
    </row>
    <row r="202" spans="1:25" x14ac:dyDescent="0.25">
      <c r="A202" s="12"/>
      <c r="B202" s="12"/>
      <c r="C202" s="12"/>
      <c r="D202" s="12"/>
      <c r="E202" s="12"/>
      <c r="F202" s="12"/>
      <c r="G202" s="12"/>
      <c r="H202" s="13"/>
      <c r="I202" s="12"/>
      <c r="J202" s="12"/>
      <c r="K202" s="12"/>
      <c r="L202" s="12"/>
      <c r="M202" s="12"/>
      <c r="N202" s="122"/>
      <c r="O202" s="120"/>
      <c r="P202" s="60"/>
      <c r="Q202" s="61"/>
      <c r="R202" s="61"/>
      <c r="S202" s="61"/>
      <c r="T202" s="91"/>
      <c r="U202" s="61"/>
      <c r="V202" s="61"/>
      <c r="W202" s="92"/>
      <c r="X202" s="61"/>
      <c r="Y202" s="61"/>
    </row>
    <row r="203" spans="1:25" x14ac:dyDescent="0.25">
      <c r="A203" s="24"/>
      <c r="B203" s="24"/>
      <c r="C203" s="24"/>
      <c r="D203" s="24"/>
      <c r="E203" s="24"/>
      <c r="F203" s="24"/>
      <c r="G203" s="24"/>
      <c r="H203" s="25"/>
      <c r="I203" s="24"/>
      <c r="J203" s="24"/>
      <c r="K203" s="24"/>
      <c r="L203" s="24"/>
      <c r="M203" s="24"/>
      <c r="N203" s="121"/>
      <c r="O203" s="118"/>
      <c r="P203" s="81"/>
      <c r="Q203" s="82"/>
      <c r="R203" s="82"/>
      <c r="S203" s="82"/>
      <c r="T203" s="89"/>
      <c r="U203" s="82"/>
      <c r="V203" s="82"/>
      <c r="W203" s="90"/>
      <c r="X203" s="82"/>
      <c r="Y203" s="82"/>
    </row>
    <row r="204" spans="1:25" x14ac:dyDescent="0.25">
      <c r="A204" s="12"/>
      <c r="B204" s="12"/>
      <c r="C204" s="12"/>
      <c r="D204" s="12"/>
      <c r="E204" s="12"/>
      <c r="F204" s="12"/>
      <c r="G204" s="12"/>
      <c r="H204" s="13"/>
      <c r="I204" s="12"/>
      <c r="J204" s="12"/>
      <c r="K204" s="12"/>
      <c r="L204" s="12"/>
      <c r="M204" s="12"/>
      <c r="N204" s="122"/>
      <c r="O204" s="120"/>
      <c r="P204" s="60"/>
      <c r="Q204" s="61"/>
      <c r="R204" s="61"/>
      <c r="S204" s="61"/>
      <c r="T204" s="91"/>
      <c r="U204" s="61"/>
      <c r="V204" s="61"/>
      <c r="W204" s="92"/>
      <c r="X204" s="61"/>
      <c r="Y204" s="61"/>
    </row>
    <row r="205" spans="1:25" x14ac:dyDescent="0.25">
      <c r="A205" s="12"/>
      <c r="B205" s="12"/>
      <c r="C205" s="12"/>
      <c r="D205" s="12"/>
      <c r="E205" s="12"/>
      <c r="F205" s="12"/>
      <c r="G205" s="12"/>
      <c r="H205" s="13"/>
      <c r="I205" s="12"/>
      <c r="J205" s="12"/>
      <c r="K205" s="12"/>
      <c r="L205" s="12"/>
      <c r="M205" s="12"/>
      <c r="N205" s="121"/>
      <c r="O205" s="118"/>
      <c r="P205" s="81"/>
      <c r="Q205" s="82"/>
      <c r="R205" s="82"/>
      <c r="S205" s="82"/>
      <c r="T205" s="89"/>
      <c r="U205" s="82"/>
      <c r="V205" s="82"/>
      <c r="W205" s="90"/>
      <c r="X205" s="82"/>
      <c r="Y205" s="82"/>
    </row>
    <row r="206" spans="1:25" x14ac:dyDescent="0.25">
      <c r="A206" s="24"/>
      <c r="B206" s="24"/>
      <c r="C206" s="24"/>
      <c r="D206" s="24"/>
      <c r="E206" s="24"/>
      <c r="F206" s="24"/>
      <c r="G206" s="24"/>
      <c r="H206" s="25"/>
      <c r="I206" s="24"/>
      <c r="J206" s="24"/>
      <c r="K206" s="24"/>
      <c r="L206" s="24"/>
      <c r="M206" s="24"/>
      <c r="N206" s="122"/>
      <c r="O206" s="120"/>
      <c r="P206" s="60"/>
      <c r="Q206" s="61"/>
      <c r="R206" s="61"/>
      <c r="S206" s="61"/>
      <c r="T206" s="91"/>
      <c r="U206" s="61"/>
      <c r="V206" s="61"/>
      <c r="W206" s="92"/>
      <c r="X206" s="61"/>
      <c r="Y206" s="61"/>
    </row>
    <row r="207" spans="1:25" x14ac:dyDescent="0.25">
      <c r="A207" s="12"/>
      <c r="B207" s="12"/>
      <c r="C207" s="12"/>
      <c r="D207" s="12"/>
      <c r="E207" s="12"/>
      <c r="F207" s="12"/>
      <c r="G207" s="12"/>
      <c r="H207" s="13"/>
      <c r="I207" s="12"/>
      <c r="J207" s="12"/>
      <c r="K207" s="12"/>
      <c r="L207" s="12"/>
      <c r="M207" s="12"/>
      <c r="N207" s="121"/>
      <c r="O207" s="118"/>
      <c r="P207" s="81"/>
      <c r="Q207" s="82"/>
      <c r="R207" s="82"/>
      <c r="S207" s="82"/>
      <c r="T207" s="89"/>
      <c r="U207" s="82"/>
      <c r="V207" s="82"/>
      <c r="W207" s="90"/>
      <c r="X207" s="82"/>
      <c r="Y207" s="82"/>
    </row>
    <row r="208" spans="1:25" x14ac:dyDescent="0.25">
      <c r="A208" s="24"/>
      <c r="B208" s="24"/>
      <c r="C208" s="24"/>
      <c r="D208" s="24"/>
      <c r="E208" s="24"/>
      <c r="F208" s="24"/>
      <c r="G208" s="24"/>
      <c r="H208" s="25"/>
      <c r="I208" s="24"/>
      <c r="J208" s="24"/>
      <c r="K208" s="24"/>
      <c r="L208" s="24"/>
      <c r="M208" s="24"/>
      <c r="N208" s="122"/>
      <c r="O208" s="120"/>
      <c r="P208" s="60"/>
      <c r="Q208" s="61"/>
      <c r="R208" s="61"/>
      <c r="S208" s="61"/>
      <c r="T208" s="91"/>
      <c r="U208" s="61"/>
      <c r="V208" s="61"/>
      <c r="W208" s="92"/>
      <c r="X208" s="61"/>
      <c r="Y208" s="61"/>
    </row>
    <row r="209" spans="1:25" x14ac:dyDescent="0.25">
      <c r="A209" s="12"/>
      <c r="B209" s="12"/>
      <c r="C209" s="12"/>
      <c r="D209" s="12"/>
      <c r="E209" s="12"/>
      <c r="F209" s="12"/>
      <c r="G209" s="12"/>
      <c r="H209" s="13"/>
      <c r="I209" s="12"/>
      <c r="J209" s="12"/>
      <c r="K209" s="12"/>
      <c r="L209" s="12"/>
      <c r="M209" s="12"/>
      <c r="N209" s="121"/>
      <c r="O209" s="118"/>
      <c r="P209" s="81"/>
      <c r="Q209" s="82"/>
      <c r="R209" s="82"/>
      <c r="S209" s="82"/>
      <c r="T209" s="89"/>
      <c r="U209" s="82"/>
      <c r="V209" s="82"/>
      <c r="W209" s="90"/>
      <c r="X209" s="82"/>
      <c r="Y209" s="82"/>
    </row>
    <row r="210" spans="1:25" x14ac:dyDescent="0.25">
      <c r="A210" s="24"/>
      <c r="B210" s="24"/>
      <c r="C210" s="24"/>
      <c r="D210" s="24"/>
      <c r="E210" s="24"/>
      <c r="F210" s="24"/>
      <c r="G210" s="24"/>
      <c r="H210" s="25"/>
      <c r="I210" s="24"/>
      <c r="J210" s="24"/>
      <c r="K210" s="24"/>
      <c r="L210" s="24"/>
      <c r="M210" s="24"/>
      <c r="N210" s="122"/>
      <c r="O210" s="120"/>
      <c r="P210" s="60"/>
      <c r="Q210" s="61"/>
      <c r="R210" s="61"/>
      <c r="S210" s="61"/>
      <c r="T210" s="91"/>
      <c r="U210" s="61"/>
      <c r="V210" s="61"/>
      <c r="W210" s="92"/>
      <c r="X210" s="61"/>
      <c r="Y210" s="61"/>
    </row>
    <row r="211" spans="1:25" x14ac:dyDescent="0.25">
      <c r="A211" s="12"/>
      <c r="B211" s="12"/>
      <c r="C211" s="12"/>
      <c r="D211" s="12"/>
      <c r="E211" s="12"/>
      <c r="F211" s="12"/>
      <c r="G211" s="12"/>
      <c r="H211" s="13"/>
      <c r="I211" s="12"/>
      <c r="J211" s="12"/>
      <c r="K211" s="12"/>
      <c r="L211" s="12"/>
      <c r="M211" s="12"/>
      <c r="N211" s="121"/>
      <c r="O211" s="118"/>
      <c r="P211" s="81"/>
      <c r="Q211" s="82"/>
      <c r="R211" s="82"/>
      <c r="S211" s="82"/>
      <c r="T211" s="89"/>
      <c r="U211" s="82"/>
      <c r="V211" s="82"/>
      <c r="W211" s="90"/>
      <c r="X211" s="82"/>
      <c r="Y211" s="82"/>
    </row>
    <row r="212" spans="1:25" x14ac:dyDescent="0.25">
      <c r="A212" s="24"/>
      <c r="B212" s="24"/>
      <c r="C212" s="24"/>
      <c r="D212" s="24"/>
      <c r="E212" s="24"/>
      <c r="F212" s="24"/>
      <c r="G212" s="24"/>
      <c r="H212" s="25"/>
      <c r="I212" s="24"/>
      <c r="J212" s="24"/>
      <c r="K212" s="24"/>
      <c r="L212" s="24"/>
      <c r="M212" s="24"/>
      <c r="N212" s="122"/>
      <c r="O212" s="120"/>
      <c r="P212" s="60"/>
      <c r="Q212" s="61"/>
      <c r="R212" s="61"/>
      <c r="S212" s="61"/>
      <c r="T212" s="91"/>
      <c r="U212" s="61"/>
      <c r="V212" s="61"/>
      <c r="W212" s="92"/>
      <c r="X212" s="61"/>
      <c r="Y212" s="61"/>
    </row>
    <row r="213" spans="1:25" x14ac:dyDescent="0.25">
      <c r="A213" s="12"/>
      <c r="B213" s="12"/>
      <c r="C213" s="12"/>
      <c r="D213" s="12"/>
      <c r="E213" s="12"/>
      <c r="F213" s="12"/>
      <c r="G213" s="12"/>
      <c r="H213" s="13"/>
      <c r="I213" s="12"/>
      <c r="J213" s="12"/>
      <c r="K213" s="12"/>
      <c r="L213" s="12"/>
      <c r="M213" s="12"/>
      <c r="N213" s="121"/>
      <c r="O213" s="118"/>
      <c r="P213" s="81"/>
      <c r="Q213" s="82"/>
      <c r="R213" s="82"/>
      <c r="S213" s="82"/>
      <c r="T213" s="89"/>
      <c r="U213" s="82"/>
      <c r="V213" s="82"/>
      <c r="W213" s="90"/>
      <c r="X213" s="82"/>
      <c r="Y213" s="82"/>
    </row>
    <row r="214" spans="1:25" x14ac:dyDescent="0.25">
      <c r="N214" s="122"/>
      <c r="O214" s="120"/>
      <c r="P214" s="60"/>
      <c r="Q214" s="61"/>
      <c r="R214" s="61"/>
      <c r="S214" s="61"/>
      <c r="T214" s="91"/>
      <c r="U214" s="61"/>
      <c r="V214" s="61"/>
      <c r="W214" s="92"/>
      <c r="X214" s="61"/>
      <c r="Y214" s="61"/>
    </row>
    <row r="215" spans="1:25" x14ac:dyDescent="0.25">
      <c r="A215" s="12"/>
      <c r="B215" s="12"/>
      <c r="C215" s="12"/>
      <c r="D215" s="12"/>
      <c r="E215" s="12"/>
      <c r="F215" s="12"/>
      <c r="G215" s="12"/>
      <c r="H215" s="13"/>
      <c r="I215" s="12"/>
      <c r="J215" s="12"/>
      <c r="K215" s="12"/>
      <c r="L215" s="12"/>
      <c r="M215" s="12"/>
      <c r="N215" s="121"/>
      <c r="O215" s="118"/>
      <c r="P215" s="81"/>
      <c r="Q215" s="82"/>
      <c r="R215" s="82"/>
      <c r="S215" s="82"/>
      <c r="T215" s="89"/>
      <c r="U215" s="82"/>
      <c r="V215" s="82"/>
      <c r="W215" s="90"/>
      <c r="X215" s="82"/>
      <c r="Y215" s="82"/>
    </row>
    <row r="216" spans="1:25" x14ac:dyDescent="0.25">
      <c r="A216" s="24"/>
      <c r="B216" s="24"/>
      <c r="C216" s="24"/>
      <c r="D216" s="24"/>
      <c r="E216" s="24"/>
      <c r="F216" s="24"/>
      <c r="G216" s="24"/>
      <c r="H216" s="25"/>
      <c r="I216" s="24"/>
      <c r="J216" s="24"/>
      <c r="K216" s="24"/>
      <c r="L216" s="24"/>
      <c r="M216" s="24"/>
      <c r="N216" s="123"/>
      <c r="O216" s="124"/>
      <c r="P216" s="109"/>
      <c r="Q216" s="110"/>
      <c r="R216" s="111"/>
      <c r="S216" s="111"/>
      <c r="T216" s="112"/>
      <c r="U216" s="113"/>
      <c r="V216" s="114"/>
      <c r="W216" s="114"/>
      <c r="X216" s="114"/>
      <c r="Y216" s="114"/>
    </row>
    <row r="217" spans="1:25" x14ac:dyDescent="0.25">
      <c r="A217" s="12"/>
      <c r="B217" s="12"/>
      <c r="C217" s="12"/>
      <c r="D217" s="12"/>
      <c r="E217" s="12"/>
      <c r="F217" s="12"/>
      <c r="G217" s="12"/>
      <c r="H217" s="13"/>
      <c r="I217" s="12"/>
      <c r="J217" s="12"/>
      <c r="K217" s="12"/>
      <c r="L217" s="12"/>
      <c r="M217" s="12"/>
      <c r="N217" s="121"/>
      <c r="O217" s="118"/>
      <c r="P217" s="81"/>
      <c r="Q217" s="82"/>
      <c r="R217" s="82"/>
      <c r="S217" s="82"/>
      <c r="T217" s="89"/>
      <c r="U217" s="82"/>
      <c r="V217" s="82"/>
      <c r="W217" s="90"/>
      <c r="X217" s="82"/>
      <c r="Y217" s="82"/>
    </row>
    <row r="218" spans="1:25" x14ac:dyDescent="0.25">
      <c r="A218" s="24"/>
      <c r="B218" s="24"/>
      <c r="C218" s="24"/>
      <c r="D218" s="24"/>
      <c r="E218" s="24"/>
      <c r="F218" s="24"/>
      <c r="G218" s="24"/>
      <c r="H218" s="25"/>
      <c r="I218" s="24"/>
      <c r="J218" s="24"/>
      <c r="K218" s="24"/>
      <c r="L218" s="24"/>
      <c r="M218" s="24"/>
      <c r="N218" s="122"/>
      <c r="O218" s="120"/>
      <c r="P218" s="60"/>
      <c r="Q218" s="61"/>
      <c r="R218" s="61"/>
      <c r="S218" s="61"/>
      <c r="T218" s="91"/>
      <c r="U218" s="61"/>
      <c r="V218" s="61"/>
      <c r="W218" s="92"/>
      <c r="X218" s="61"/>
      <c r="Y218" s="61"/>
    </row>
    <row r="219" spans="1:25" x14ac:dyDescent="0.25">
      <c r="A219" s="12"/>
      <c r="B219" s="12"/>
      <c r="C219" s="12"/>
      <c r="D219" s="12"/>
      <c r="E219" s="12"/>
      <c r="F219" s="12"/>
      <c r="G219" s="12"/>
      <c r="H219" s="13"/>
      <c r="I219" s="12"/>
      <c r="J219" s="12"/>
      <c r="K219" s="12"/>
      <c r="L219" s="12"/>
      <c r="M219" s="12"/>
      <c r="N219" s="121"/>
      <c r="O219" s="118"/>
      <c r="P219" s="81"/>
      <c r="Q219" s="82"/>
      <c r="R219" s="82"/>
      <c r="S219" s="82"/>
      <c r="T219" s="89"/>
      <c r="U219" s="82"/>
      <c r="V219" s="82"/>
      <c r="W219" s="90"/>
      <c r="X219" s="82"/>
      <c r="Y219" s="82"/>
    </row>
    <row r="220" spans="1:25" x14ac:dyDescent="0.25">
      <c r="A220" s="24"/>
      <c r="B220" s="24"/>
      <c r="C220" s="24"/>
      <c r="D220" s="24"/>
      <c r="E220" s="24"/>
      <c r="F220" s="24"/>
      <c r="G220" s="24"/>
      <c r="H220" s="25"/>
      <c r="I220" s="24"/>
      <c r="J220" s="24"/>
      <c r="K220" s="24"/>
      <c r="L220" s="24"/>
      <c r="M220" s="24"/>
      <c r="N220" s="122"/>
      <c r="O220" s="120"/>
      <c r="P220" s="60"/>
      <c r="Q220" s="61"/>
      <c r="R220" s="61"/>
      <c r="S220" s="61"/>
      <c r="T220" s="91"/>
      <c r="U220" s="61"/>
      <c r="V220" s="61"/>
      <c r="W220" s="92"/>
      <c r="X220" s="61"/>
      <c r="Y220" s="61"/>
    </row>
    <row r="221" spans="1:25" x14ac:dyDescent="0.25">
      <c r="A221" s="12"/>
      <c r="B221" s="12"/>
      <c r="C221" s="12"/>
      <c r="D221" s="12"/>
      <c r="E221" s="12"/>
      <c r="F221" s="12"/>
      <c r="G221" s="12"/>
      <c r="H221" s="13"/>
      <c r="I221" s="12"/>
      <c r="J221" s="12"/>
      <c r="K221" s="12"/>
      <c r="L221" s="12"/>
      <c r="M221" s="12"/>
      <c r="N221" s="121"/>
      <c r="O221" s="118"/>
      <c r="P221" s="81"/>
      <c r="Q221" s="82"/>
      <c r="R221" s="82"/>
      <c r="S221" s="82"/>
      <c r="T221" s="89"/>
      <c r="U221" s="82"/>
      <c r="V221" s="82"/>
      <c r="W221" s="90"/>
      <c r="X221" s="82"/>
      <c r="Y221" s="82"/>
    </row>
    <row r="222" spans="1:25" x14ac:dyDescent="0.25">
      <c r="A222" s="12"/>
      <c r="B222" s="12"/>
      <c r="C222" s="12"/>
      <c r="D222" s="12"/>
      <c r="E222" s="12"/>
      <c r="F222" s="12"/>
      <c r="G222" s="12"/>
      <c r="H222" s="13"/>
      <c r="I222" s="12"/>
      <c r="J222" s="12"/>
      <c r="K222" s="12"/>
      <c r="L222" s="12"/>
      <c r="M222" s="12"/>
      <c r="N222" s="122"/>
      <c r="O222" s="120"/>
      <c r="P222" s="60"/>
      <c r="Q222" s="61"/>
      <c r="R222" s="61"/>
      <c r="S222" s="61"/>
      <c r="T222" s="91"/>
      <c r="U222" s="61"/>
      <c r="V222" s="61"/>
      <c r="W222" s="92"/>
      <c r="X222" s="61"/>
      <c r="Y222" s="61"/>
    </row>
    <row r="223" spans="1:25" x14ac:dyDescent="0.25">
      <c r="A223" s="24"/>
      <c r="B223" s="24"/>
      <c r="C223" s="24"/>
      <c r="D223" s="24"/>
      <c r="E223" s="24"/>
      <c r="F223" s="24"/>
      <c r="G223" s="24"/>
      <c r="H223" s="25"/>
      <c r="I223" s="24"/>
      <c r="J223" s="24"/>
      <c r="K223" s="24"/>
      <c r="L223" s="24"/>
      <c r="M223" s="24"/>
      <c r="N223" s="121"/>
      <c r="O223" s="118"/>
      <c r="P223" s="81"/>
      <c r="Q223" s="82"/>
      <c r="R223" s="82"/>
      <c r="S223" s="82"/>
      <c r="T223" s="89"/>
      <c r="U223" s="82"/>
      <c r="V223" s="82"/>
      <c r="W223" s="90"/>
      <c r="X223" s="82"/>
      <c r="Y223" s="82"/>
    </row>
    <row r="224" spans="1:25" x14ac:dyDescent="0.25">
      <c r="A224" s="12"/>
      <c r="B224" s="12"/>
      <c r="C224" s="12"/>
      <c r="D224" s="12"/>
      <c r="E224" s="12"/>
      <c r="F224" s="12"/>
      <c r="G224" s="12"/>
      <c r="H224" s="13"/>
      <c r="I224" s="12"/>
      <c r="J224" s="12"/>
      <c r="K224" s="12"/>
      <c r="L224" s="12"/>
      <c r="M224" s="12"/>
      <c r="N224" s="122"/>
      <c r="O224" s="120"/>
      <c r="P224" s="60"/>
      <c r="Q224" s="61"/>
      <c r="R224" s="61"/>
      <c r="S224" s="61"/>
      <c r="T224" s="91"/>
      <c r="U224" s="61"/>
      <c r="V224" s="61"/>
      <c r="W224" s="92"/>
      <c r="X224" s="61"/>
      <c r="Y224" s="61"/>
    </row>
    <row r="225" spans="1:25" x14ac:dyDescent="0.25">
      <c r="A225" s="24"/>
      <c r="B225" s="24"/>
      <c r="C225" s="24"/>
      <c r="D225" s="24"/>
      <c r="E225" s="24"/>
      <c r="F225" s="24"/>
      <c r="G225" s="24"/>
      <c r="H225" s="25"/>
      <c r="I225" s="24"/>
      <c r="J225" s="24"/>
      <c r="K225" s="24"/>
      <c r="L225" s="24"/>
      <c r="M225" s="24"/>
      <c r="N225" s="121"/>
      <c r="O225" s="118"/>
      <c r="P225" s="81"/>
      <c r="Q225" s="82"/>
      <c r="R225" s="82"/>
      <c r="S225" s="82"/>
      <c r="T225" s="89"/>
      <c r="U225" s="82"/>
      <c r="V225" s="82"/>
      <c r="W225" s="90"/>
      <c r="X225" s="82"/>
      <c r="Y225" s="82"/>
    </row>
    <row r="226" spans="1:25" x14ac:dyDescent="0.25">
      <c r="A226" s="12"/>
      <c r="B226" s="12"/>
      <c r="C226" s="12"/>
      <c r="D226" s="12"/>
      <c r="E226" s="12"/>
      <c r="F226" s="12"/>
      <c r="G226" s="12"/>
      <c r="H226" s="13"/>
      <c r="I226" s="12"/>
      <c r="J226" s="12"/>
      <c r="K226" s="12"/>
      <c r="L226" s="12"/>
      <c r="M226" s="12"/>
      <c r="N226" s="122"/>
      <c r="O226" s="120"/>
      <c r="P226" s="60"/>
      <c r="Q226" s="61"/>
      <c r="R226" s="61"/>
      <c r="S226" s="61"/>
      <c r="T226" s="91"/>
      <c r="U226" s="61"/>
      <c r="V226" s="61"/>
      <c r="W226" s="92"/>
      <c r="X226" s="61"/>
      <c r="Y226" s="61"/>
    </row>
    <row r="227" spans="1:25" x14ac:dyDescent="0.25">
      <c r="A227" s="24"/>
      <c r="B227" s="24"/>
      <c r="C227" s="24"/>
      <c r="D227" s="24"/>
      <c r="E227" s="24"/>
      <c r="F227" s="24"/>
      <c r="G227" s="24"/>
      <c r="H227" s="25"/>
      <c r="I227" s="24"/>
      <c r="J227" s="24"/>
      <c r="K227" s="24"/>
      <c r="L227" s="24"/>
      <c r="M227" s="24"/>
      <c r="N227" s="121"/>
      <c r="O227" s="118"/>
      <c r="P227" s="81"/>
      <c r="Q227" s="82"/>
      <c r="R227" s="82"/>
      <c r="S227" s="82"/>
      <c r="T227" s="89"/>
      <c r="U227" s="82"/>
      <c r="V227" s="82"/>
      <c r="W227" s="90"/>
      <c r="X227" s="82"/>
      <c r="Y227" s="82"/>
    </row>
    <row r="228" spans="1:25" x14ac:dyDescent="0.25">
      <c r="A228" s="12"/>
      <c r="B228" s="12"/>
      <c r="C228" s="12"/>
      <c r="D228" s="12"/>
      <c r="E228" s="12"/>
      <c r="F228" s="12"/>
      <c r="G228" s="12"/>
      <c r="H228" s="13"/>
      <c r="I228" s="12"/>
      <c r="J228" s="12"/>
      <c r="K228" s="12"/>
      <c r="L228" s="12"/>
      <c r="M228" s="12"/>
      <c r="N228" s="122"/>
      <c r="O228" s="120"/>
      <c r="P228" s="60"/>
      <c r="Q228" s="61"/>
      <c r="R228" s="61"/>
      <c r="S228" s="61"/>
      <c r="T228" s="91"/>
      <c r="U228" s="61"/>
      <c r="V228" s="61"/>
      <c r="W228" s="92"/>
      <c r="X228" s="61"/>
      <c r="Y228" s="61"/>
    </row>
    <row r="229" spans="1:25" x14ac:dyDescent="0.25">
      <c r="A229" s="24"/>
      <c r="B229" s="24"/>
      <c r="C229" s="24"/>
      <c r="D229" s="24"/>
      <c r="E229" s="24"/>
      <c r="F229" s="24"/>
      <c r="G229" s="24"/>
      <c r="H229" s="25"/>
      <c r="I229" s="24"/>
      <c r="J229" s="24"/>
      <c r="K229" s="24"/>
      <c r="L229" s="24"/>
      <c r="M229" s="24"/>
      <c r="N229" s="121"/>
      <c r="O229" s="118"/>
      <c r="P229" s="81"/>
      <c r="Q229" s="82"/>
      <c r="R229" s="82"/>
      <c r="S229" s="82"/>
      <c r="T229" s="89"/>
      <c r="U229" s="82"/>
      <c r="V229" s="82"/>
      <c r="W229" s="90"/>
      <c r="X229" s="82"/>
      <c r="Y229" s="82"/>
    </row>
    <row r="230" spans="1:25" x14ac:dyDescent="0.25">
      <c r="A230" s="12"/>
      <c r="B230" s="12"/>
      <c r="C230" s="12"/>
      <c r="D230" s="12"/>
      <c r="E230" s="12"/>
      <c r="F230" s="12"/>
      <c r="G230" s="12"/>
      <c r="H230" s="13"/>
      <c r="I230" s="12"/>
      <c r="J230" s="12"/>
      <c r="K230" s="12"/>
      <c r="L230" s="12"/>
      <c r="M230" s="12"/>
      <c r="N230" s="122"/>
      <c r="O230" s="120"/>
      <c r="P230" s="60"/>
      <c r="Q230" s="61"/>
      <c r="R230" s="61"/>
      <c r="S230" s="61"/>
      <c r="T230" s="91"/>
      <c r="U230" s="61"/>
      <c r="V230" s="61"/>
      <c r="W230" s="92"/>
      <c r="X230" s="61"/>
      <c r="Y230" s="61"/>
    </row>
    <row r="231" spans="1:25" x14ac:dyDescent="0.25">
      <c r="N231" s="121"/>
      <c r="O231" s="118"/>
      <c r="P231" s="81"/>
      <c r="Q231" s="82"/>
      <c r="R231" s="82"/>
      <c r="S231" s="82"/>
      <c r="T231" s="89"/>
      <c r="U231" s="82"/>
      <c r="V231" s="82"/>
      <c r="W231" s="90"/>
      <c r="X231" s="82"/>
      <c r="Y231" s="82"/>
    </row>
    <row r="232" spans="1:25" x14ac:dyDescent="0.25">
      <c r="A232" s="12"/>
      <c r="B232" s="12"/>
      <c r="C232" s="12"/>
      <c r="D232" s="12"/>
      <c r="E232" s="12"/>
      <c r="F232" s="12"/>
      <c r="G232" s="12"/>
      <c r="H232" s="13"/>
      <c r="I232" s="12"/>
      <c r="J232" s="12"/>
      <c r="K232" s="12"/>
      <c r="L232" s="12"/>
      <c r="M232" s="12"/>
      <c r="N232" s="123"/>
      <c r="O232" s="124"/>
      <c r="P232" s="109"/>
      <c r="Q232" s="110"/>
      <c r="R232" s="111"/>
      <c r="S232" s="111"/>
      <c r="T232" s="112"/>
      <c r="U232" s="113"/>
      <c r="V232" s="114"/>
      <c r="W232" s="114"/>
      <c r="X232" s="114"/>
      <c r="Y232" s="114"/>
    </row>
    <row r="233" spans="1:25" x14ac:dyDescent="0.25">
      <c r="A233" s="24"/>
      <c r="B233" s="24"/>
      <c r="C233" s="24"/>
      <c r="D233" s="24"/>
      <c r="E233" s="24"/>
      <c r="F233" s="24"/>
      <c r="G233" s="24"/>
      <c r="H233" s="25"/>
      <c r="I233" s="24"/>
      <c r="J233" s="24"/>
      <c r="K233" s="24"/>
      <c r="L233" s="24"/>
      <c r="M233" s="24"/>
      <c r="N233" s="121"/>
      <c r="O233" s="118"/>
      <c r="P233" s="81"/>
      <c r="Q233" s="82"/>
      <c r="R233" s="82"/>
      <c r="S233" s="82"/>
      <c r="T233" s="89"/>
      <c r="U233" s="82"/>
      <c r="V233" s="82"/>
      <c r="W233" s="90"/>
      <c r="X233" s="82"/>
      <c r="Y233" s="82"/>
    </row>
    <row r="234" spans="1:25" x14ac:dyDescent="0.25">
      <c r="A234" s="12"/>
      <c r="B234" s="12"/>
      <c r="C234" s="12"/>
      <c r="D234" s="12"/>
      <c r="E234" s="12"/>
      <c r="F234" s="12"/>
      <c r="G234" s="12"/>
      <c r="H234" s="13"/>
      <c r="I234" s="12"/>
      <c r="J234" s="12"/>
      <c r="K234" s="12"/>
      <c r="L234" s="12"/>
      <c r="M234" s="12"/>
      <c r="N234" s="122"/>
      <c r="O234" s="120"/>
      <c r="P234" s="60"/>
      <c r="Q234" s="61"/>
      <c r="R234" s="61"/>
      <c r="S234" s="61"/>
      <c r="T234" s="91"/>
      <c r="U234" s="61"/>
      <c r="V234" s="61"/>
      <c r="W234" s="92"/>
      <c r="X234" s="61"/>
      <c r="Y234" s="61"/>
    </row>
    <row r="235" spans="1:25" x14ac:dyDescent="0.25">
      <c r="A235" s="24"/>
      <c r="B235" s="24"/>
      <c r="C235" s="24"/>
      <c r="D235" s="24"/>
      <c r="E235" s="24"/>
      <c r="F235" s="24"/>
      <c r="G235" s="24"/>
      <c r="H235" s="25"/>
      <c r="I235" s="24"/>
      <c r="J235" s="24"/>
      <c r="K235" s="24"/>
      <c r="L235" s="24"/>
      <c r="M235" s="24"/>
      <c r="N235" s="121"/>
      <c r="O235" s="118"/>
      <c r="P235" s="81"/>
      <c r="Q235" s="82"/>
      <c r="R235" s="82"/>
      <c r="S235" s="82"/>
      <c r="T235" s="89"/>
      <c r="U235" s="82"/>
      <c r="V235" s="82"/>
      <c r="W235" s="90"/>
      <c r="X235" s="82"/>
      <c r="Y235" s="82"/>
    </row>
    <row r="236" spans="1:25" x14ac:dyDescent="0.25">
      <c r="A236" s="12"/>
      <c r="B236" s="12"/>
      <c r="C236" s="12"/>
      <c r="D236" s="12"/>
      <c r="E236" s="12"/>
      <c r="F236" s="12"/>
      <c r="G236" s="12"/>
      <c r="H236" s="13"/>
      <c r="I236" s="12"/>
      <c r="J236" s="12"/>
      <c r="K236" s="12"/>
      <c r="L236" s="12"/>
      <c r="M236" s="12"/>
      <c r="N236" s="122"/>
      <c r="O236" s="120"/>
      <c r="P236" s="60"/>
      <c r="Q236" s="61"/>
      <c r="R236" s="61"/>
      <c r="S236" s="61"/>
      <c r="T236" s="91"/>
      <c r="U236" s="61"/>
      <c r="V236" s="61"/>
      <c r="W236" s="92"/>
      <c r="X236" s="61"/>
      <c r="Y236" s="61"/>
    </row>
    <row r="237" spans="1:25" x14ac:dyDescent="0.25">
      <c r="A237" s="24"/>
      <c r="B237" s="24"/>
      <c r="C237" s="24"/>
      <c r="D237" s="24"/>
      <c r="E237" s="24"/>
      <c r="F237" s="24"/>
      <c r="G237" s="24"/>
      <c r="H237" s="25"/>
      <c r="I237" s="24"/>
      <c r="J237" s="24"/>
      <c r="K237" s="24"/>
      <c r="L237" s="24"/>
      <c r="M237" s="24"/>
      <c r="N237" s="121"/>
      <c r="O237" s="118"/>
      <c r="P237" s="81"/>
      <c r="Q237" s="82"/>
      <c r="R237" s="82"/>
      <c r="S237" s="82"/>
      <c r="T237" s="89"/>
      <c r="U237" s="82"/>
      <c r="V237" s="82"/>
      <c r="W237" s="90"/>
      <c r="X237" s="82"/>
      <c r="Y237" s="82"/>
    </row>
    <row r="238" spans="1:25" x14ac:dyDescent="0.25">
      <c r="A238" s="12"/>
      <c r="B238" s="12"/>
      <c r="C238" s="12"/>
      <c r="D238" s="12"/>
      <c r="E238" s="12"/>
      <c r="F238" s="12"/>
      <c r="G238" s="12"/>
      <c r="H238" s="13"/>
      <c r="I238" s="12"/>
      <c r="J238" s="12"/>
      <c r="K238" s="12"/>
      <c r="L238" s="12"/>
      <c r="M238" s="12"/>
      <c r="N238" s="122"/>
      <c r="O238" s="120"/>
      <c r="P238" s="60"/>
      <c r="Q238" s="61"/>
      <c r="R238" s="61"/>
      <c r="S238" s="61"/>
      <c r="T238" s="91"/>
      <c r="U238" s="61"/>
      <c r="V238" s="61"/>
      <c r="W238" s="92"/>
      <c r="X238" s="61"/>
      <c r="Y238" s="61"/>
    </row>
    <row r="239" spans="1:25" x14ac:dyDescent="0.25">
      <c r="A239" s="12"/>
      <c r="B239" s="12"/>
      <c r="C239" s="12"/>
      <c r="D239" s="12"/>
      <c r="E239" s="12"/>
      <c r="F239" s="12"/>
      <c r="G239" s="12"/>
      <c r="H239" s="13"/>
      <c r="I239" s="12"/>
      <c r="J239" s="12"/>
      <c r="K239" s="12"/>
      <c r="L239" s="12"/>
      <c r="M239" s="12"/>
      <c r="N239" s="121"/>
      <c r="O239" s="118"/>
      <c r="P239" s="81"/>
      <c r="Q239" s="82"/>
      <c r="R239" s="82"/>
      <c r="S239" s="82"/>
      <c r="T239" s="89"/>
      <c r="U239" s="82"/>
      <c r="V239" s="82"/>
      <c r="W239" s="90"/>
      <c r="X239" s="82"/>
      <c r="Y239" s="82"/>
    </row>
    <row r="240" spans="1:25" x14ac:dyDescent="0.25">
      <c r="A240" s="24"/>
      <c r="B240" s="24"/>
      <c r="C240" s="24"/>
      <c r="D240" s="24"/>
      <c r="E240" s="24"/>
      <c r="F240" s="24"/>
      <c r="G240" s="24"/>
      <c r="H240" s="25"/>
      <c r="I240" s="24"/>
      <c r="J240" s="24"/>
      <c r="K240" s="24"/>
      <c r="L240" s="24"/>
      <c r="M240" s="24"/>
      <c r="N240" s="122"/>
      <c r="O240" s="120"/>
      <c r="P240" s="60"/>
      <c r="Q240" s="61"/>
      <c r="R240" s="61"/>
      <c r="S240" s="61"/>
      <c r="T240" s="91"/>
      <c r="U240" s="61"/>
      <c r="V240" s="61"/>
      <c r="W240" s="92"/>
      <c r="X240" s="61"/>
      <c r="Y240" s="61"/>
    </row>
    <row r="241" spans="1:25" x14ac:dyDescent="0.25">
      <c r="A241" s="12"/>
      <c r="B241" s="12"/>
      <c r="C241" s="12"/>
      <c r="D241" s="12"/>
      <c r="E241" s="12"/>
      <c r="F241" s="12"/>
      <c r="G241" s="12"/>
      <c r="H241" s="13"/>
      <c r="I241" s="12"/>
      <c r="J241" s="12"/>
      <c r="K241" s="12"/>
      <c r="L241" s="12"/>
      <c r="M241" s="12"/>
      <c r="N241" s="121"/>
      <c r="O241" s="118"/>
      <c r="P241" s="81"/>
      <c r="Q241" s="82"/>
      <c r="R241" s="82"/>
      <c r="S241" s="82"/>
      <c r="T241" s="89"/>
      <c r="U241" s="82"/>
      <c r="V241" s="82"/>
      <c r="W241" s="90"/>
      <c r="X241" s="82"/>
      <c r="Y241" s="82"/>
    </row>
    <row r="242" spans="1:25" x14ac:dyDescent="0.25">
      <c r="A242" s="24"/>
      <c r="B242" s="24"/>
      <c r="C242" s="24"/>
      <c r="D242" s="24"/>
      <c r="E242" s="24"/>
      <c r="F242" s="24"/>
      <c r="G242" s="24"/>
      <c r="H242" s="25"/>
      <c r="I242" s="24"/>
      <c r="J242" s="24"/>
      <c r="K242" s="24"/>
      <c r="L242" s="24"/>
      <c r="M242" s="24"/>
      <c r="N242" s="122"/>
      <c r="O242" s="120"/>
      <c r="P242" s="60"/>
      <c r="Q242" s="61"/>
      <c r="R242" s="61"/>
      <c r="S242" s="61"/>
      <c r="T242" s="91"/>
      <c r="U242" s="61"/>
      <c r="V242" s="61"/>
      <c r="W242" s="92"/>
      <c r="X242" s="61"/>
      <c r="Y242" s="61"/>
    </row>
    <row r="243" spans="1:25" x14ac:dyDescent="0.25">
      <c r="A243" s="12"/>
      <c r="B243" s="12"/>
      <c r="C243" s="12"/>
      <c r="D243" s="12"/>
      <c r="E243" s="12"/>
      <c r="F243" s="12"/>
      <c r="G243" s="12"/>
      <c r="H243" s="13"/>
      <c r="I243" s="12"/>
      <c r="J243" s="12"/>
      <c r="K243" s="12"/>
      <c r="L243" s="12"/>
      <c r="M243" s="12"/>
      <c r="N243" s="121"/>
      <c r="O243" s="118"/>
      <c r="P243" s="81"/>
      <c r="Q243" s="82"/>
      <c r="R243" s="82"/>
      <c r="S243" s="82"/>
      <c r="T243" s="89"/>
      <c r="U243" s="82"/>
      <c r="V243" s="82"/>
      <c r="W243" s="90"/>
      <c r="X243" s="82"/>
      <c r="Y243" s="82"/>
    </row>
    <row r="244" spans="1:25" x14ac:dyDescent="0.25">
      <c r="A244" s="24"/>
      <c r="B244" s="24"/>
      <c r="C244" s="24"/>
      <c r="D244" s="24"/>
      <c r="E244" s="24"/>
      <c r="F244" s="24"/>
      <c r="G244" s="24"/>
      <c r="H244" s="25"/>
      <c r="I244" s="24"/>
      <c r="J244" s="24"/>
      <c r="K244" s="24"/>
      <c r="L244" s="24"/>
      <c r="M244" s="24"/>
      <c r="N244" s="122"/>
      <c r="O244" s="120"/>
      <c r="P244" s="60"/>
      <c r="Q244" s="61"/>
      <c r="R244" s="61"/>
      <c r="S244" s="61"/>
      <c r="T244" s="91"/>
      <c r="U244" s="61"/>
      <c r="V244" s="61"/>
      <c r="W244" s="92"/>
      <c r="X244" s="61"/>
      <c r="Y244" s="61"/>
    </row>
    <row r="245" spans="1:25" x14ac:dyDescent="0.25">
      <c r="A245" s="12"/>
      <c r="B245" s="12"/>
      <c r="C245" s="12"/>
      <c r="D245" s="12"/>
      <c r="E245" s="12"/>
      <c r="F245" s="12"/>
      <c r="G245" s="12"/>
      <c r="H245" s="13"/>
      <c r="I245" s="12"/>
      <c r="J245" s="12"/>
      <c r="K245" s="12"/>
      <c r="L245" s="12"/>
      <c r="M245" s="12"/>
      <c r="N245" s="121"/>
      <c r="O245" s="118"/>
      <c r="P245" s="81"/>
      <c r="Q245" s="82"/>
      <c r="R245" s="82"/>
      <c r="S245" s="82"/>
      <c r="T245" s="89"/>
      <c r="U245" s="82"/>
      <c r="V245" s="82"/>
      <c r="W245" s="90"/>
      <c r="X245" s="82"/>
      <c r="Y245" s="82"/>
    </row>
    <row r="246" spans="1:25" x14ac:dyDescent="0.25">
      <c r="A246" s="24"/>
      <c r="B246" s="24"/>
      <c r="C246" s="24"/>
      <c r="D246" s="24"/>
      <c r="E246" s="24"/>
      <c r="F246" s="24"/>
      <c r="G246" s="24"/>
      <c r="H246" s="25"/>
      <c r="I246" s="24"/>
      <c r="J246" s="24"/>
      <c r="K246" s="24"/>
      <c r="L246" s="24"/>
      <c r="M246" s="24"/>
      <c r="N246" s="122"/>
      <c r="O246" s="120"/>
      <c r="P246" s="60"/>
      <c r="Q246" s="61"/>
      <c r="R246" s="61"/>
      <c r="S246" s="61"/>
      <c r="T246" s="91"/>
      <c r="U246" s="61"/>
      <c r="V246" s="61"/>
      <c r="W246" s="92"/>
      <c r="X246" s="61"/>
      <c r="Y246" s="61"/>
    </row>
    <row r="247" spans="1:25" x14ac:dyDescent="0.25">
      <c r="A247" s="12"/>
      <c r="B247" s="12"/>
      <c r="C247" s="12"/>
      <c r="D247" s="12"/>
      <c r="E247" s="12"/>
      <c r="F247" s="12"/>
      <c r="G247" s="12"/>
      <c r="H247" s="13"/>
      <c r="I247" s="12"/>
      <c r="J247" s="12"/>
      <c r="K247" s="12"/>
      <c r="L247" s="12"/>
      <c r="M247" s="12"/>
      <c r="N247" s="121"/>
      <c r="O247" s="118"/>
      <c r="P247" s="81"/>
      <c r="Q247" s="82"/>
      <c r="R247" s="82"/>
      <c r="S247" s="82"/>
      <c r="T247" s="89"/>
      <c r="U247" s="82"/>
      <c r="V247" s="82"/>
      <c r="W247" s="90"/>
      <c r="X247" s="82"/>
      <c r="Y247" s="82"/>
    </row>
    <row r="248" spans="1:25" ht="15" x14ac:dyDescent="0.2">
      <c r="N248" s="123"/>
      <c r="O248" s="124"/>
      <c r="P248" s="109"/>
      <c r="Q248" s="110"/>
      <c r="R248" s="111"/>
      <c r="S248" s="111"/>
      <c r="T248" s="112"/>
      <c r="U248" s="113"/>
      <c r="V248" s="114"/>
      <c r="W248" s="114"/>
      <c r="X248" s="114"/>
      <c r="Y248" s="114"/>
    </row>
    <row r="249" spans="1:25" x14ac:dyDescent="0.25">
      <c r="A249" s="12"/>
      <c r="B249" s="12"/>
      <c r="C249" s="12"/>
      <c r="D249" s="12"/>
      <c r="E249" s="12"/>
      <c r="F249" s="12"/>
      <c r="G249" s="12"/>
      <c r="H249" s="13"/>
      <c r="I249" s="12"/>
      <c r="J249" s="12"/>
      <c r="K249" s="12"/>
      <c r="L249" s="12"/>
      <c r="M249" s="12"/>
      <c r="N249" s="121"/>
      <c r="O249" s="118"/>
      <c r="P249" s="81"/>
      <c r="Q249" s="82"/>
      <c r="R249" s="82"/>
      <c r="S249" s="82"/>
      <c r="T249" s="89"/>
      <c r="U249" s="82"/>
      <c r="V249" s="82"/>
      <c r="W249" s="90"/>
      <c r="X249" s="82"/>
      <c r="Y249" s="82"/>
    </row>
    <row r="250" spans="1:25" x14ac:dyDescent="0.25">
      <c r="A250" s="24"/>
      <c r="B250" s="24"/>
      <c r="C250" s="24"/>
      <c r="D250" s="24"/>
      <c r="E250" s="24"/>
      <c r="F250" s="24"/>
      <c r="G250" s="24"/>
      <c r="H250" s="25"/>
      <c r="I250" s="24"/>
      <c r="J250" s="24"/>
      <c r="K250" s="24"/>
      <c r="L250" s="24"/>
      <c r="M250" s="24"/>
      <c r="N250" s="122"/>
      <c r="O250" s="120"/>
      <c r="P250" s="60"/>
      <c r="Q250" s="61"/>
      <c r="R250" s="61"/>
      <c r="S250" s="61"/>
      <c r="T250" s="91"/>
      <c r="U250" s="61"/>
      <c r="V250" s="61"/>
      <c r="W250" s="92"/>
      <c r="X250" s="61"/>
      <c r="Y250" s="61"/>
    </row>
    <row r="251" spans="1:25" x14ac:dyDescent="0.25">
      <c r="A251" s="12"/>
      <c r="B251" s="12"/>
      <c r="C251" s="12"/>
      <c r="D251" s="12"/>
      <c r="E251" s="12"/>
      <c r="F251" s="12"/>
      <c r="G251" s="12"/>
      <c r="H251" s="13"/>
      <c r="I251" s="12"/>
      <c r="J251" s="12"/>
      <c r="K251" s="12"/>
      <c r="L251" s="12"/>
      <c r="M251" s="12"/>
      <c r="N251" s="121"/>
      <c r="O251" s="118"/>
      <c r="P251" s="81"/>
      <c r="Q251" s="82"/>
      <c r="R251" s="82"/>
      <c r="S251" s="82"/>
      <c r="T251" s="89"/>
      <c r="U251" s="82"/>
      <c r="V251" s="82"/>
      <c r="W251" s="90"/>
      <c r="X251" s="82"/>
      <c r="Y251" s="82"/>
    </row>
    <row r="252" spans="1:25" x14ac:dyDescent="0.25">
      <c r="A252" s="24"/>
      <c r="B252" s="24"/>
      <c r="C252" s="24"/>
      <c r="D252" s="24"/>
      <c r="E252" s="24"/>
      <c r="F252" s="24"/>
      <c r="G252" s="24"/>
      <c r="H252" s="25"/>
      <c r="I252" s="24"/>
      <c r="J252" s="24"/>
      <c r="K252" s="24"/>
      <c r="L252" s="24"/>
      <c r="M252" s="24"/>
      <c r="N252" s="122"/>
      <c r="O252" s="120"/>
      <c r="P252" s="60"/>
      <c r="Q252" s="61"/>
      <c r="R252" s="61"/>
      <c r="S252" s="61"/>
      <c r="T252" s="91"/>
      <c r="U252" s="61"/>
      <c r="V252" s="61"/>
      <c r="W252" s="92"/>
      <c r="X252" s="61"/>
      <c r="Y252" s="61"/>
    </row>
    <row r="253" spans="1:25" x14ac:dyDescent="0.25">
      <c r="A253" s="12"/>
      <c r="B253" s="12"/>
      <c r="C253" s="12"/>
      <c r="D253" s="12"/>
      <c r="E253" s="12"/>
      <c r="F253" s="12"/>
      <c r="G253" s="12"/>
      <c r="H253" s="13"/>
      <c r="I253" s="12"/>
      <c r="J253" s="12"/>
      <c r="K253" s="12"/>
      <c r="L253" s="12"/>
      <c r="M253" s="12"/>
      <c r="N253" s="121"/>
      <c r="O253" s="118"/>
      <c r="P253" s="81"/>
      <c r="Q253" s="82"/>
      <c r="R253" s="82"/>
      <c r="S253" s="82"/>
      <c r="T253" s="89"/>
      <c r="U253" s="82"/>
      <c r="V253" s="82"/>
      <c r="W253" s="90"/>
      <c r="X253" s="82"/>
      <c r="Y253" s="82"/>
    </row>
    <row r="254" spans="1:25" x14ac:dyDescent="0.25">
      <c r="A254" s="24"/>
      <c r="B254" s="24"/>
      <c r="C254" s="24"/>
      <c r="D254" s="24"/>
      <c r="E254" s="24"/>
      <c r="F254" s="24"/>
      <c r="G254" s="24"/>
      <c r="H254" s="25"/>
      <c r="I254" s="24"/>
      <c r="J254" s="24"/>
      <c r="K254" s="24"/>
      <c r="L254" s="24"/>
      <c r="M254" s="24"/>
      <c r="N254" s="122"/>
      <c r="O254" s="120"/>
      <c r="P254" s="60"/>
      <c r="Q254" s="61"/>
      <c r="R254" s="61"/>
      <c r="S254" s="61"/>
      <c r="T254" s="91"/>
      <c r="U254" s="61"/>
      <c r="V254" s="61"/>
      <c r="W254" s="92"/>
      <c r="X254" s="61"/>
      <c r="Y254" s="61"/>
    </row>
    <row r="255" spans="1:25" x14ac:dyDescent="0.25">
      <c r="A255" s="12"/>
      <c r="B255" s="12"/>
      <c r="C255" s="12"/>
      <c r="D255" s="12"/>
      <c r="E255" s="12"/>
      <c r="F255" s="12"/>
      <c r="G255" s="12"/>
      <c r="H255" s="13"/>
      <c r="I255" s="12"/>
      <c r="J255" s="12"/>
      <c r="K255" s="12"/>
      <c r="L255" s="12"/>
      <c r="M255" s="12"/>
      <c r="N255" s="121"/>
      <c r="O255" s="118"/>
      <c r="P255" s="81"/>
      <c r="Q255" s="82"/>
      <c r="R255" s="82"/>
      <c r="S255" s="82"/>
      <c r="T255" s="89"/>
      <c r="U255" s="82"/>
      <c r="V255" s="82"/>
      <c r="W255" s="90"/>
      <c r="X255" s="82"/>
      <c r="Y255" s="82"/>
    </row>
    <row r="256" spans="1:25" x14ac:dyDescent="0.25">
      <c r="A256" s="12"/>
      <c r="B256" s="12"/>
      <c r="C256" s="12"/>
      <c r="D256" s="12"/>
      <c r="E256" s="12"/>
      <c r="F256" s="12"/>
      <c r="G256" s="12"/>
      <c r="H256" s="13"/>
      <c r="I256" s="12"/>
      <c r="J256" s="12"/>
      <c r="K256" s="12"/>
      <c r="L256" s="12"/>
      <c r="M256" s="12"/>
      <c r="N256" s="122"/>
      <c r="O256" s="120"/>
      <c r="P256" s="60"/>
      <c r="Q256" s="61"/>
      <c r="R256" s="61"/>
      <c r="S256" s="61"/>
      <c r="T256" s="91"/>
      <c r="U256" s="61"/>
      <c r="V256" s="61"/>
      <c r="W256" s="92"/>
      <c r="X256" s="61"/>
      <c r="Y256" s="61"/>
    </row>
    <row r="257" spans="1:25" x14ac:dyDescent="0.25">
      <c r="A257" s="24"/>
      <c r="B257" s="24"/>
      <c r="C257" s="24"/>
      <c r="D257" s="24"/>
      <c r="E257" s="24"/>
      <c r="F257" s="24"/>
      <c r="G257" s="24"/>
      <c r="H257" s="25"/>
      <c r="I257" s="24"/>
      <c r="J257" s="24"/>
      <c r="K257" s="24"/>
      <c r="L257" s="24"/>
      <c r="M257" s="24"/>
      <c r="N257" s="121"/>
      <c r="O257" s="118"/>
      <c r="P257" s="81"/>
      <c r="Q257" s="82"/>
      <c r="R257" s="82"/>
      <c r="S257" s="82"/>
      <c r="T257" s="89"/>
      <c r="U257" s="82"/>
      <c r="V257" s="82"/>
      <c r="W257" s="90"/>
      <c r="X257" s="82"/>
      <c r="Y257" s="82"/>
    </row>
    <row r="258" spans="1:25" x14ac:dyDescent="0.25">
      <c r="A258" s="12"/>
      <c r="B258" s="12"/>
      <c r="C258" s="12"/>
      <c r="D258" s="12"/>
      <c r="E258" s="12"/>
      <c r="F258" s="12"/>
      <c r="G258" s="12"/>
      <c r="H258" s="13"/>
      <c r="I258" s="12"/>
      <c r="J258" s="12"/>
      <c r="K258" s="12"/>
      <c r="L258" s="12"/>
      <c r="M258" s="12"/>
      <c r="N258" s="122"/>
      <c r="O258" s="120"/>
      <c r="P258" s="60"/>
      <c r="Q258" s="61"/>
      <c r="R258" s="61"/>
      <c r="S258" s="61"/>
      <c r="T258" s="91"/>
      <c r="U258" s="61"/>
      <c r="V258" s="61"/>
      <c r="W258" s="92"/>
      <c r="X258" s="61"/>
      <c r="Y258" s="61"/>
    </row>
    <row r="259" spans="1:25" x14ac:dyDescent="0.25">
      <c r="A259" s="24"/>
      <c r="B259" s="24"/>
      <c r="C259" s="24"/>
      <c r="D259" s="24"/>
      <c r="E259" s="24"/>
      <c r="F259" s="24"/>
      <c r="G259" s="24"/>
      <c r="H259" s="25"/>
      <c r="I259" s="24"/>
      <c r="J259" s="24"/>
      <c r="K259" s="24"/>
      <c r="L259" s="24"/>
      <c r="M259" s="24"/>
      <c r="N259" s="121"/>
      <c r="O259" s="118"/>
      <c r="P259" s="81"/>
      <c r="Q259" s="82"/>
      <c r="R259" s="82"/>
      <c r="S259" s="82"/>
      <c r="T259" s="89"/>
      <c r="U259" s="82"/>
      <c r="V259" s="82"/>
      <c r="W259" s="90"/>
      <c r="X259" s="82"/>
      <c r="Y259" s="82"/>
    </row>
    <row r="260" spans="1:25" x14ac:dyDescent="0.25">
      <c r="A260" s="12"/>
      <c r="B260" s="12"/>
      <c r="C260" s="12"/>
      <c r="D260" s="12"/>
      <c r="E260" s="12"/>
      <c r="F260" s="12"/>
      <c r="G260" s="12"/>
      <c r="H260" s="13"/>
      <c r="I260" s="12"/>
      <c r="J260" s="12"/>
      <c r="K260" s="12"/>
      <c r="L260" s="12"/>
      <c r="M260" s="12"/>
      <c r="N260" s="122"/>
      <c r="O260" s="120"/>
      <c r="P260" s="60"/>
      <c r="Q260" s="61"/>
      <c r="R260" s="61"/>
      <c r="S260" s="61"/>
      <c r="T260" s="91"/>
      <c r="U260" s="61"/>
      <c r="V260" s="61"/>
      <c r="W260" s="92"/>
      <c r="X260" s="61"/>
      <c r="Y260" s="61"/>
    </row>
    <row r="261" spans="1:25" x14ac:dyDescent="0.25">
      <c r="A261" s="24"/>
      <c r="B261" s="24"/>
      <c r="C261" s="24"/>
      <c r="D261" s="24"/>
      <c r="E261" s="24"/>
      <c r="F261" s="24"/>
      <c r="G261" s="24"/>
      <c r="H261" s="25"/>
      <c r="I261" s="24"/>
      <c r="J261" s="24"/>
      <c r="K261" s="24"/>
      <c r="L261" s="24"/>
      <c r="M261" s="24"/>
      <c r="N261" s="121"/>
      <c r="O261" s="118"/>
      <c r="P261" s="81"/>
      <c r="Q261" s="82"/>
      <c r="R261" s="82"/>
      <c r="S261" s="82"/>
      <c r="T261" s="89"/>
      <c r="U261" s="82"/>
      <c r="V261" s="82"/>
      <c r="W261" s="90"/>
      <c r="X261" s="82"/>
      <c r="Y261" s="82"/>
    </row>
    <row r="262" spans="1:25" x14ac:dyDescent="0.25">
      <c r="A262" s="12"/>
      <c r="B262" s="12"/>
      <c r="C262" s="12"/>
      <c r="D262" s="12"/>
      <c r="E262" s="12"/>
      <c r="F262" s="12"/>
      <c r="G262" s="12"/>
      <c r="H262" s="13"/>
      <c r="I262" s="12"/>
      <c r="J262" s="12"/>
      <c r="K262" s="12"/>
      <c r="L262" s="12"/>
      <c r="M262" s="12"/>
      <c r="N262" s="122"/>
      <c r="O262" s="120"/>
      <c r="P262" s="60"/>
      <c r="Q262" s="61"/>
      <c r="R262" s="61"/>
      <c r="S262" s="61"/>
      <c r="T262" s="91"/>
      <c r="U262" s="61"/>
      <c r="V262" s="61"/>
      <c r="W262" s="92"/>
      <c r="X262" s="61"/>
      <c r="Y262" s="61"/>
    </row>
    <row r="263" spans="1:25" x14ac:dyDescent="0.25">
      <c r="A263" s="24"/>
      <c r="B263" s="24"/>
      <c r="C263" s="24"/>
      <c r="D263" s="24"/>
      <c r="E263" s="24"/>
      <c r="F263" s="24"/>
      <c r="G263" s="24"/>
      <c r="H263" s="25"/>
      <c r="I263" s="24"/>
      <c r="J263" s="24"/>
      <c r="K263" s="24"/>
      <c r="L263" s="24"/>
      <c r="M263" s="24"/>
      <c r="N263" s="121"/>
      <c r="O263" s="118"/>
      <c r="P263" s="81"/>
      <c r="Q263" s="82"/>
      <c r="R263" s="82"/>
      <c r="S263" s="82"/>
      <c r="T263" s="89"/>
      <c r="U263" s="82"/>
      <c r="V263" s="82"/>
      <c r="W263" s="90"/>
      <c r="X263" s="82"/>
      <c r="Y263" s="82"/>
    </row>
    <row r="264" spans="1:25" x14ac:dyDescent="0.25">
      <c r="A264" s="12"/>
      <c r="B264" s="12"/>
      <c r="C264" s="12"/>
      <c r="D264" s="12"/>
      <c r="E264" s="12"/>
      <c r="F264" s="12"/>
      <c r="G264" s="12"/>
      <c r="H264" s="13"/>
      <c r="I264" s="12"/>
      <c r="J264" s="12"/>
      <c r="K264" s="12"/>
      <c r="L264" s="12"/>
      <c r="M264" s="12"/>
      <c r="N264" s="123"/>
      <c r="O264" s="124"/>
      <c r="P264" s="109"/>
      <c r="Q264" s="110"/>
      <c r="R264" s="111"/>
      <c r="S264" s="111"/>
      <c r="T264" s="112"/>
      <c r="U264" s="113"/>
      <c r="V264" s="114"/>
      <c r="W264" s="114"/>
      <c r="X264" s="114"/>
      <c r="Y264" s="114"/>
    </row>
    <row r="265" spans="1:25" x14ac:dyDescent="0.25">
      <c r="N265" s="121"/>
      <c r="O265" s="118"/>
      <c r="P265" s="81"/>
      <c r="Q265" s="82"/>
      <c r="R265" s="82"/>
      <c r="S265" s="82"/>
      <c r="T265" s="89"/>
      <c r="U265" s="82"/>
      <c r="V265" s="82"/>
      <c r="W265" s="90"/>
      <c r="X265" s="82"/>
      <c r="Y265" s="82"/>
    </row>
    <row r="266" spans="1:25" x14ac:dyDescent="0.25">
      <c r="A266" s="12"/>
      <c r="B266" s="12"/>
      <c r="C266" s="12"/>
      <c r="D266" s="12"/>
      <c r="E266" s="12"/>
      <c r="F266" s="12"/>
      <c r="G266" s="12"/>
      <c r="H266" s="13"/>
      <c r="I266" s="12"/>
      <c r="J266" s="12"/>
      <c r="K266" s="12"/>
      <c r="L266" s="12"/>
      <c r="M266" s="12"/>
      <c r="N266" s="122"/>
      <c r="O266" s="120"/>
      <c r="P266" s="60"/>
      <c r="Q266" s="61"/>
      <c r="R266" s="61"/>
      <c r="S266" s="61"/>
      <c r="T266" s="91"/>
      <c r="U266" s="61"/>
      <c r="V266" s="61"/>
      <c r="W266" s="92"/>
      <c r="X266" s="61"/>
      <c r="Y266" s="61"/>
    </row>
    <row r="267" spans="1:25" x14ac:dyDescent="0.25">
      <c r="A267" s="24"/>
      <c r="B267" s="24"/>
      <c r="C267" s="24"/>
      <c r="D267" s="24"/>
      <c r="E267" s="24"/>
      <c r="F267" s="24"/>
      <c r="G267" s="24"/>
      <c r="H267" s="25"/>
      <c r="I267" s="24"/>
      <c r="J267" s="24"/>
      <c r="K267" s="24"/>
      <c r="L267" s="24"/>
      <c r="M267" s="24"/>
      <c r="N267" s="121"/>
      <c r="O267" s="118"/>
      <c r="P267" s="81"/>
      <c r="Q267" s="82"/>
      <c r="R267" s="82"/>
      <c r="S267" s="82"/>
      <c r="T267" s="89"/>
      <c r="U267" s="82"/>
      <c r="V267" s="82"/>
      <c r="W267" s="90"/>
      <c r="X267" s="82"/>
      <c r="Y267" s="82"/>
    </row>
    <row r="268" spans="1:25" x14ac:dyDescent="0.25">
      <c r="A268" s="12"/>
      <c r="B268" s="12"/>
      <c r="C268" s="12"/>
      <c r="D268" s="12"/>
      <c r="E268" s="12"/>
      <c r="F268" s="12"/>
      <c r="G268" s="12"/>
      <c r="H268" s="13"/>
      <c r="I268" s="12"/>
      <c r="J268" s="12"/>
      <c r="K268" s="12"/>
      <c r="L268" s="12"/>
      <c r="M268" s="12"/>
      <c r="N268" s="122"/>
      <c r="O268" s="120"/>
      <c r="P268" s="60"/>
      <c r="Q268" s="61"/>
      <c r="R268" s="61"/>
      <c r="S268" s="61"/>
      <c r="T268" s="91"/>
      <c r="U268" s="61"/>
      <c r="V268" s="61"/>
      <c r="W268" s="92"/>
      <c r="X268" s="61"/>
      <c r="Y268" s="61"/>
    </row>
    <row r="269" spans="1:25" x14ac:dyDescent="0.25">
      <c r="A269" s="24"/>
      <c r="B269" s="24"/>
      <c r="C269" s="24"/>
      <c r="D269" s="24"/>
      <c r="E269" s="24"/>
      <c r="F269" s="24"/>
      <c r="G269" s="24"/>
      <c r="H269" s="25"/>
      <c r="I269" s="24"/>
      <c r="J269" s="24"/>
      <c r="K269" s="24"/>
      <c r="L269" s="24"/>
      <c r="M269" s="24"/>
      <c r="N269" s="121"/>
      <c r="O269" s="118"/>
      <c r="P269" s="81"/>
      <c r="Q269" s="82"/>
      <c r="R269" s="82"/>
      <c r="S269" s="82"/>
      <c r="T269" s="89"/>
      <c r="U269" s="82"/>
      <c r="V269" s="82"/>
      <c r="W269" s="90"/>
      <c r="X269" s="82"/>
      <c r="Y269" s="82"/>
    </row>
    <row r="270" spans="1:25" x14ac:dyDescent="0.25">
      <c r="A270" s="12"/>
      <c r="B270" s="12"/>
      <c r="C270" s="12"/>
      <c r="D270" s="12"/>
      <c r="E270" s="12"/>
      <c r="F270" s="12"/>
      <c r="G270" s="12"/>
      <c r="H270" s="13"/>
      <c r="I270" s="12"/>
      <c r="J270" s="12"/>
      <c r="K270" s="12"/>
      <c r="L270" s="12"/>
      <c r="M270" s="12"/>
      <c r="N270" s="122"/>
      <c r="O270" s="120"/>
      <c r="P270" s="60"/>
      <c r="Q270" s="61"/>
      <c r="R270" s="61"/>
      <c r="S270" s="61"/>
      <c r="T270" s="91"/>
      <c r="U270" s="61"/>
      <c r="V270" s="61"/>
      <c r="W270" s="92"/>
      <c r="X270" s="61"/>
      <c r="Y270" s="61"/>
    </row>
    <row r="271" spans="1:25" x14ac:dyDescent="0.25">
      <c r="A271" s="24"/>
      <c r="B271" s="24"/>
      <c r="C271" s="24"/>
      <c r="D271" s="24"/>
      <c r="E271" s="24"/>
      <c r="F271" s="24"/>
      <c r="G271" s="24"/>
      <c r="H271" s="25"/>
      <c r="I271" s="24"/>
      <c r="J271" s="24"/>
      <c r="K271" s="24"/>
      <c r="L271" s="24"/>
      <c r="M271" s="24"/>
      <c r="N271" s="121"/>
      <c r="O271" s="118"/>
      <c r="P271" s="81"/>
      <c r="Q271" s="82"/>
      <c r="R271" s="82"/>
      <c r="S271" s="82"/>
      <c r="T271" s="89"/>
      <c r="U271" s="82"/>
      <c r="V271" s="82"/>
      <c r="W271" s="90"/>
      <c r="X271" s="82"/>
      <c r="Y271" s="82"/>
    </row>
    <row r="272" spans="1:25" x14ac:dyDescent="0.25">
      <c r="A272" s="12"/>
      <c r="B272" s="12"/>
      <c r="C272" s="12"/>
      <c r="D272" s="12"/>
      <c r="E272" s="12"/>
      <c r="F272" s="12"/>
      <c r="G272" s="12"/>
      <c r="H272" s="13"/>
      <c r="I272" s="12"/>
      <c r="J272" s="12"/>
      <c r="K272" s="12"/>
      <c r="L272" s="12"/>
      <c r="M272" s="12"/>
      <c r="N272" s="122"/>
      <c r="O272" s="120"/>
      <c r="P272" s="60"/>
      <c r="Q272" s="61"/>
      <c r="R272" s="61"/>
      <c r="S272" s="61"/>
      <c r="T272" s="91"/>
      <c r="U272" s="61"/>
      <c r="V272" s="61"/>
      <c r="W272" s="92"/>
      <c r="X272" s="61"/>
      <c r="Y272" s="61"/>
    </row>
    <row r="273" spans="1:25" x14ac:dyDescent="0.25">
      <c r="A273" s="12"/>
      <c r="B273" s="12"/>
      <c r="C273" s="12"/>
      <c r="D273" s="12"/>
      <c r="E273" s="12"/>
      <c r="F273" s="12"/>
      <c r="G273" s="12"/>
      <c r="H273" s="13"/>
      <c r="I273" s="12"/>
      <c r="J273" s="12"/>
      <c r="K273" s="12"/>
      <c r="L273" s="12"/>
      <c r="M273" s="12"/>
      <c r="N273" s="121"/>
      <c r="O273" s="118"/>
      <c r="P273" s="81"/>
      <c r="Q273" s="82"/>
      <c r="R273" s="82"/>
      <c r="S273" s="82"/>
      <c r="T273" s="89"/>
      <c r="U273" s="82"/>
      <c r="V273" s="82"/>
      <c r="W273" s="90"/>
      <c r="X273" s="82"/>
      <c r="Y273" s="82"/>
    </row>
    <row r="274" spans="1:25" x14ac:dyDescent="0.25">
      <c r="A274" s="24"/>
      <c r="B274" s="24"/>
      <c r="C274" s="24"/>
      <c r="D274" s="24"/>
      <c r="E274" s="24"/>
      <c r="F274" s="24"/>
      <c r="G274" s="24"/>
      <c r="H274" s="25"/>
      <c r="I274" s="24"/>
      <c r="J274" s="24"/>
      <c r="K274" s="24"/>
      <c r="L274" s="24"/>
      <c r="M274" s="24"/>
      <c r="N274" s="122"/>
      <c r="O274" s="120"/>
      <c r="P274" s="60"/>
      <c r="Q274" s="61"/>
      <c r="R274" s="61"/>
      <c r="S274" s="61"/>
      <c r="T274" s="91"/>
      <c r="U274" s="61"/>
      <c r="V274" s="61"/>
      <c r="W274" s="92"/>
      <c r="X274" s="61"/>
      <c r="Y274" s="61"/>
    </row>
    <row r="275" spans="1:25" x14ac:dyDescent="0.25">
      <c r="A275" s="12"/>
      <c r="B275" s="12"/>
      <c r="C275" s="12"/>
      <c r="D275" s="12"/>
      <c r="E275" s="12"/>
      <c r="F275" s="12"/>
      <c r="G275" s="12"/>
      <c r="H275" s="13"/>
      <c r="I275" s="12"/>
      <c r="J275" s="12"/>
      <c r="K275" s="12"/>
      <c r="L275" s="12"/>
      <c r="M275" s="12"/>
      <c r="N275" s="121"/>
      <c r="O275" s="118"/>
      <c r="P275" s="81"/>
      <c r="Q275" s="82"/>
      <c r="R275" s="82"/>
      <c r="S275" s="82"/>
      <c r="T275" s="89"/>
      <c r="U275" s="82"/>
      <c r="V275" s="82"/>
      <c r="W275" s="90"/>
      <c r="X275" s="82"/>
      <c r="Y275" s="82"/>
    </row>
    <row r="276" spans="1:25" x14ac:dyDescent="0.25">
      <c r="A276" s="24"/>
      <c r="B276" s="24"/>
      <c r="C276" s="24"/>
      <c r="D276" s="24"/>
      <c r="E276" s="24"/>
      <c r="F276" s="24"/>
      <c r="G276" s="24"/>
      <c r="H276" s="25"/>
      <c r="I276" s="24"/>
      <c r="J276" s="24"/>
      <c r="K276" s="24"/>
      <c r="L276" s="24"/>
      <c r="M276" s="24"/>
      <c r="N276" s="122"/>
      <c r="O276" s="120"/>
      <c r="P276" s="60"/>
      <c r="Q276" s="61"/>
      <c r="R276" s="61"/>
      <c r="S276" s="61"/>
      <c r="T276" s="91"/>
      <c r="U276" s="61"/>
      <c r="V276" s="61"/>
      <c r="W276" s="92"/>
      <c r="X276" s="61"/>
      <c r="Y276" s="61"/>
    </row>
    <row r="277" spans="1:25" x14ac:dyDescent="0.25">
      <c r="A277" s="12"/>
      <c r="B277" s="12"/>
      <c r="C277" s="12"/>
      <c r="D277" s="12"/>
      <c r="E277" s="12"/>
      <c r="F277" s="12"/>
      <c r="G277" s="12"/>
      <c r="H277" s="13"/>
      <c r="I277" s="12"/>
      <c r="J277" s="12"/>
      <c r="K277" s="12"/>
      <c r="L277" s="12"/>
      <c r="M277" s="12"/>
      <c r="N277" s="121"/>
      <c r="O277" s="118"/>
      <c r="P277" s="81"/>
      <c r="Q277" s="82"/>
      <c r="R277" s="82"/>
      <c r="S277" s="82"/>
      <c r="T277" s="89"/>
      <c r="U277" s="82"/>
      <c r="V277" s="82"/>
      <c r="W277" s="90"/>
      <c r="X277" s="82"/>
      <c r="Y277" s="82"/>
    </row>
    <row r="278" spans="1:25" x14ac:dyDescent="0.25">
      <c r="A278" s="24"/>
      <c r="B278" s="24"/>
      <c r="C278" s="24"/>
      <c r="D278" s="24"/>
      <c r="E278" s="24"/>
      <c r="F278" s="24"/>
      <c r="G278" s="24"/>
      <c r="H278" s="25"/>
      <c r="I278" s="24"/>
      <c r="J278" s="24"/>
      <c r="K278" s="24"/>
      <c r="L278" s="24"/>
      <c r="M278" s="24"/>
      <c r="N278" s="122"/>
      <c r="O278" s="120"/>
      <c r="P278" s="60"/>
      <c r="Q278" s="61"/>
      <c r="R278" s="61"/>
      <c r="S278" s="61"/>
      <c r="T278" s="91"/>
      <c r="U278" s="61"/>
      <c r="V278" s="61"/>
      <c r="W278" s="92"/>
      <c r="X278" s="61"/>
      <c r="Y278" s="61"/>
    </row>
    <row r="279" spans="1:25" x14ac:dyDescent="0.25">
      <c r="A279" s="12"/>
      <c r="B279" s="12"/>
      <c r="C279" s="12"/>
      <c r="D279" s="12"/>
      <c r="E279" s="12"/>
      <c r="F279" s="12"/>
      <c r="G279" s="12"/>
      <c r="H279" s="13"/>
      <c r="I279" s="12"/>
      <c r="J279" s="12"/>
      <c r="K279" s="12"/>
      <c r="L279" s="12"/>
      <c r="M279" s="12"/>
      <c r="N279" s="121"/>
      <c r="O279" s="118"/>
      <c r="P279" s="81"/>
      <c r="Q279" s="82"/>
      <c r="R279" s="82"/>
      <c r="S279" s="82"/>
      <c r="T279" s="89"/>
      <c r="U279" s="82"/>
      <c r="V279" s="82"/>
      <c r="W279" s="90"/>
      <c r="X279" s="82"/>
      <c r="Y279" s="82"/>
    </row>
    <row r="280" spans="1:25" x14ac:dyDescent="0.25">
      <c r="A280" s="24"/>
      <c r="B280" s="24"/>
      <c r="C280" s="24"/>
      <c r="D280" s="24"/>
      <c r="E280" s="24"/>
      <c r="F280" s="24"/>
      <c r="G280" s="24"/>
      <c r="H280" s="25"/>
      <c r="I280" s="24"/>
      <c r="J280" s="24"/>
      <c r="K280" s="24"/>
      <c r="L280" s="24"/>
      <c r="M280" s="24"/>
      <c r="N280" s="123"/>
      <c r="O280" s="124"/>
      <c r="P280" s="109"/>
      <c r="Q280" s="110"/>
      <c r="R280" s="111"/>
      <c r="S280" s="111"/>
      <c r="T280" s="112"/>
      <c r="U280" s="113"/>
      <c r="V280" s="114"/>
      <c r="W280" s="114"/>
      <c r="X280" s="114"/>
      <c r="Y280" s="114"/>
    </row>
    <row r="281" spans="1:25" x14ac:dyDescent="0.25">
      <c r="A281" s="12"/>
      <c r="B281" s="12"/>
      <c r="C281" s="12"/>
      <c r="D281" s="12"/>
      <c r="E281" s="12"/>
      <c r="F281" s="12"/>
      <c r="G281" s="12"/>
      <c r="H281" s="13"/>
      <c r="I281" s="12"/>
      <c r="J281" s="12"/>
      <c r="K281" s="12"/>
      <c r="L281" s="12"/>
      <c r="M281" s="12"/>
      <c r="N281" s="121"/>
      <c r="O281" s="118"/>
      <c r="P281" s="81"/>
      <c r="Q281" s="82"/>
      <c r="R281" s="82"/>
      <c r="S281" s="82"/>
      <c r="T281" s="89"/>
      <c r="U281" s="82"/>
      <c r="V281" s="82"/>
      <c r="W281" s="90"/>
      <c r="X281" s="82"/>
      <c r="Y281" s="82"/>
    </row>
    <row r="282" spans="1:25" x14ac:dyDescent="0.25">
      <c r="N282" s="122"/>
      <c r="O282" s="120"/>
      <c r="P282" s="60"/>
      <c r="Q282" s="61"/>
      <c r="R282" s="61"/>
      <c r="S282" s="61"/>
      <c r="T282" s="91"/>
      <c r="U282" s="61"/>
      <c r="V282" s="61"/>
      <c r="W282" s="92"/>
      <c r="X282" s="61"/>
      <c r="Y282" s="61"/>
    </row>
    <row r="283" spans="1:25" x14ac:dyDescent="0.25">
      <c r="A283" s="12"/>
      <c r="B283" s="12"/>
      <c r="C283" s="12"/>
      <c r="D283" s="12"/>
      <c r="E283" s="12"/>
      <c r="F283" s="12"/>
      <c r="G283" s="12"/>
      <c r="H283" s="13"/>
      <c r="I283" s="12"/>
      <c r="J283" s="12"/>
      <c r="K283" s="12"/>
      <c r="L283" s="12"/>
      <c r="M283" s="12"/>
      <c r="N283" s="121"/>
      <c r="O283" s="118"/>
      <c r="P283" s="81"/>
      <c r="Q283" s="82"/>
      <c r="R283" s="82"/>
      <c r="S283" s="82"/>
      <c r="T283" s="89"/>
      <c r="U283" s="82"/>
      <c r="V283" s="82"/>
      <c r="W283" s="90"/>
      <c r="X283" s="82"/>
      <c r="Y283" s="82"/>
    </row>
    <row r="284" spans="1:25" x14ac:dyDescent="0.25">
      <c r="A284" s="24"/>
      <c r="B284" s="24"/>
      <c r="C284" s="24"/>
      <c r="D284" s="24"/>
      <c r="E284" s="24"/>
      <c r="F284" s="24"/>
      <c r="G284" s="24"/>
      <c r="H284" s="25"/>
      <c r="I284" s="24"/>
      <c r="J284" s="24"/>
      <c r="K284" s="24"/>
      <c r="L284" s="24"/>
      <c r="M284" s="24"/>
      <c r="N284" s="122"/>
      <c r="O284" s="120"/>
      <c r="P284" s="60"/>
      <c r="Q284" s="61"/>
      <c r="R284" s="61"/>
      <c r="S284" s="61"/>
      <c r="T284" s="91"/>
      <c r="U284" s="61"/>
      <c r="V284" s="61"/>
      <c r="W284" s="92"/>
      <c r="X284" s="61"/>
      <c r="Y284" s="61"/>
    </row>
    <row r="285" spans="1:25" x14ac:dyDescent="0.25">
      <c r="A285" s="12"/>
      <c r="B285" s="12"/>
      <c r="C285" s="12"/>
      <c r="D285" s="12"/>
      <c r="E285" s="12"/>
      <c r="F285" s="12"/>
      <c r="G285" s="12"/>
      <c r="H285" s="13"/>
      <c r="I285" s="12"/>
      <c r="J285" s="12"/>
      <c r="K285" s="12"/>
      <c r="L285" s="12"/>
      <c r="M285" s="12"/>
      <c r="N285" s="121"/>
      <c r="O285" s="118"/>
      <c r="P285" s="81"/>
      <c r="Q285" s="82"/>
      <c r="R285" s="82"/>
      <c r="S285" s="82"/>
      <c r="T285" s="89"/>
      <c r="U285" s="82"/>
      <c r="V285" s="82"/>
      <c r="W285" s="90"/>
      <c r="X285" s="82"/>
      <c r="Y285" s="82"/>
    </row>
    <row r="286" spans="1:25" x14ac:dyDescent="0.25">
      <c r="A286" s="24"/>
      <c r="B286" s="24"/>
      <c r="C286" s="24"/>
      <c r="D286" s="24"/>
      <c r="E286" s="24"/>
      <c r="F286" s="24"/>
      <c r="G286" s="24"/>
      <c r="H286" s="25"/>
      <c r="I286" s="24"/>
      <c r="J286" s="24"/>
      <c r="K286" s="24"/>
      <c r="L286" s="24"/>
      <c r="M286" s="24"/>
      <c r="N286" s="122"/>
      <c r="O286" s="120"/>
      <c r="P286" s="60"/>
      <c r="Q286" s="61"/>
      <c r="R286" s="61"/>
      <c r="S286" s="61"/>
      <c r="T286" s="91"/>
      <c r="U286" s="61"/>
      <c r="V286" s="61"/>
      <c r="W286" s="92"/>
      <c r="X286" s="61"/>
      <c r="Y286" s="61"/>
    </row>
    <row r="287" spans="1:25" x14ac:dyDescent="0.25">
      <c r="A287" s="12"/>
      <c r="B287" s="12"/>
      <c r="C287" s="12"/>
      <c r="D287" s="12"/>
      <c r="E287" s="12"/>
      <c r="F287" s="12"/>
      <c r="G287" s="12"/>
      <c r="H287" s="13"/>
      <c r="I287" s="12"/>
      <c r="J287" s="12"/>
      <c r="K287" s="12"/>
      <c r="L287" s="12"/>
      <c r="M287" s="12"/>
      <c r="N287" s="121"/>
      <c r="O287" s="118"/>
      <c r="P287" s="81"/>
      <c r="Q287" s="82"/>
      <c r="R287" s="82"/>
      <c r="S287" s="82"/>
      <c r="T287" s="89"/>
      <c r="U287" s="82"/>
      <c r="V287" s="82"/>
      <c r="W287" s="90"/>
      <c r="X287" s="82"/>
      <c r="Y287" s="82"/>
    </row>
    <row r="288" spans="1:25" x14ac:dyDescent="0.25">
      <c r="A288" s="24"/>
      <c r="B288" s="24"/>
      <c r="C288" s="24"/>
      <c r="D288" s="24"/>
      <c r="E288" s="24"/>
      <c r="F288" s="24"/>
      <c r="G288" s="24"/>
      <c r="H288" s="25"/>
      <c r="I288" s="24"/>
      <c r="J288" s="24"/>
      <c r="K288" s="24"/>
      <c r="L288" s="24"/>
      <c r="M288" s="24"/>
      <c r="N288" s="122"/>
      <c r="O288" s="120"/>
      <c r="P288" s="60"/>
      <c r="Q288" s="61"/>
      <c r="R288" s="61"/>
      <c r="S288" s="61"/>
      <c r="T288" s="91"/>
      <c r="U288" s="61"/>
      <c r="V288" s="61"/>
      <c r="W288" s="92"/>
      <c r="X288" s="61"/>
      <c r="Y288" s="61"/>
    </row>
    <row r="289" spans="1:25" x14ac:dyDescent="0.25">
      <c r="A289" s="12"/>
      <c r="B289" s="12"/>
      <c r="C289" s="12"/>
      <c r="D289" s="12"/>
      <c r="E289" s="12"/>
      <c r="F289" s="12"/>
      <c r="G289" s="12"/>
      <c r="H289" s="13"/>
      <c r="I289" s="12"/>
      <c r="J289" s="12"/>
      <c r="K289" s="12"/>
      <c r="L289" s="12"/>
      <c r="M289" s="12"/>
      <c r="N289" s="121"/>
      <c r="O289" s="118"/>
      <c r="P289" s="81"/>
      <c r="Q289" s="82"/>
      <c r="R289" s="82"/>
      <c r="S289" s="82"/>
      <c r="T289" s="89"/>
      <c r="U289" s="82"/>
      <c r="V289" s="82"/>
      <c r="W289" s="90"/>
      <c r="X289" s="82"/>
      <c r="Y289" s="82"/>
    </row>
    <row r="290" spans="1:25" x14ac:dyDescent="0.25">
      <c r="A290" s="12"/>
      <c r="B290" s="12"/>
      <c r="C290" s="12"/>
      <c r="D290" s="12"/>
      <c r="E290" s="12"/>
      <c r="F290" s="12"/>
      <c r="G290" s="12"/>
      <c r="H290" s="13"/>
      <c r="I290" s="12"/>
      <c r="J290" s="12"/>
      <c r="K290" s="12"/>
      <c r="L290" s="12"/>
      <c r="M290" s="12"/>
      <c r="N290" s="122"/>
      <c r="O290" s="120"/>
      <c r="P290" s="60"/>
      <c r="Q290" s="61"/>
      <c r="R290" s="61"/>
      <c r="S290" s="61"/>
      <c r="T290" s="91"/>
      <c r="U290" s="61"/>
      <c r="V290" s="61"/>
      <c r="W290" s="92"/>
      <c r="X290" s="61"/>
      <c r="Y290" s="61"/>
    </row>
    <row r="291" spans="1:25" x14ac:dyDescent="0.25">
      <c r="A291" s="24"/>
      <c r="B291" s="24"/>
      <c r="C291" s="24"/>
      <c r="D291" s="24"/>
      <c r="E291" s="24"/>
      <c r="F291" s="24"/>
      <c r="G291" s="24"/>
      <c r="H291" s="25"/>
      <c r="I291" s="24"/>
      <c r="J291" s="24"/>
      <c r="K291" s="24"/>
      <c r="L291" s="24"/>
      <c r="M291" s="24"/>
      <c r="N291" s="121"/>
      <c r="O291" s="118"/>
      <c r="P291" s="81"/>
      <c r="Q291" s="82"/>
      <c r="R291" s="82"/>
      <c r="S291" s="82"/>
      <c r="T291" s="89"/>
      <c r="U291" s="82"/>
      <c r="V291" s="82"/>
      <c r="W291" s="90"/>
      <c r="X291" s="82"/>
      <c r="Y291" s="82"/>
    </row>
    <row r="292" spans="1:25" x14ac:dyDescent="0.25">
      <c r="A292" s="12"/>
      <c r="B292" s="12"/>
      <c r="C292" s="12"/>
      <c r="D292" s="12"/>
      <c r="E292" s="12"/>
      <c r="F292" s="12"/>
      <c r="G292" s="12"/>
      <c r="H292" s="13"/>
      <c r="I292" s="12"/>
      <c r="J292" s="12"/>
      <c r="K292" s="12"/>
      <c r="L292" s="12"/>
      <c r="M292" s="12"/>
      <c r="N292" s="122"/>
      <c r="O292" s="120"/>
      <c r="P292" s="60"/>
      <c r="Q292" s="61"/>
      <c r="R292" s="61"/>
      <c r="S292" s="61"/>
      <c r="T292" s="91"/>
      <c r="U292" s="61"/>
      <c r="V292" s="61"/>
      <c r="W292" s="92"/>
      <c r="X292" s="61"/>
      <c r="Y292" s="61"/>
    </row>
    <row r="293" spans="1:25" x14ac:dyDescent="0.25">
      <c r="A293" s="24"/>
      <c r="B293" s="24"/>
      <c r="C293" s="24"/>
      <c r="D293" s="24"/>
      <c r="E293" s="24"/>
      <c r="F293" s="24"/>
      <c r="G293" s="24"/>
      <c r="H293" s="25"/>
      <c r="I293" s="24"/>
      <c r="J293" s="24"/>
      <c r="K293" s="24"/>
      <c r="L293" s="24"/>
      <c r="M293" s="24"/>
      <c r="N293" s="121"/>
      <c r="O293" s="118"/>
      <c r="P293" s="81"/>
      <c r="Q293" s="82"/>
      <c r="R293" s="82"/>
      <c r="S293" s="82"/>
      <c r="T293" s="89"/>
      <c r="U293" s="82"/>
      <c r="V293" s="82"/>
      <c r="W293" s="90"/>
      <c r="X293" s="82"/>
      <c r="Y293" s="82"/>
    </row>
    <row r="294" spans="1:25" x14ac:dyDescent="0.25">
      <c r="A294" s="12"/>
      <c r="B294" s="12"/>
      <c r="C294" s="12"/>
      <c r="D294" s="12"/>
      <c r="E294" s="12"/>
      <c r="F294" s="12"/>
      <c r="G294" s="12"/>
      <c r="H294" s="13"/>
      <c r="I294" s="12"/>
      <c r="J294" s="12"/>
      <c r="K294" s="12"/>
      <c r="L294" s="12"/>
      <c r="M294" s="12"/>
      <c r="N294" s="122"/>
      <c r="O294" s="120"/>
      <c r="P294" s="60"/>
      <c r="Q294" s="61"/>
      <c r="R294" s="61"/>
      <c r="S294" s="61"/>
      <c r="T294" s="91"/>
      <c r="U294" s="61"/>
      <c r="V294" s="61"/>
      <c r="W294" s="92"/>
      <c r="X294" s="61"/>
      <c r="Y294" s="61"/>
    </row>
    <row r="295" spans="1:25" x14ac:dyDescent="0.25">
      <c r="A295" s="24"/>
      <c r="B295" s="24"/>
      <c r="C295" s="24"/>
      <c r="D295" s="24"/>
      <c r="E295" s="24"/>
      <c r="F295" s="24"/>
      <c r="G295" s="24"/>
      <c r="H295" s="25"/>
      <c r="I295" s="24"/>
      <c r="J295" s="24"/>
      <c r="K295" s="24"/>
      <c r="L295" s="24"/>
      <c r="M295" s="24"/>
      <c r="N295" s="121"/>
      <c r="O295" s="118"/>
      <c r="P295" s="81"/>
      <c r="Q295" s="82"/>
      <c r="R295" s="82"/>
      <c r="S295" s="82"/>
      <c r="T295" s="89"/>
      <c r="U295" s="82"/>
      <c r="V295" s="82"/>
      <c r="W295" s="90"/>
      <c r="X295" s="82"/>
      <c r="Y295" s="82"/>
    </row>
    <row r="296" spans="1:25" x14ac:dyDescent="0.25">
      <c r="A296" s="12"/>
      <c r="B296" s="12"/>
      <c r="C296" s="12"/>
      <c r="D296" s="12"/>
      <c r="E296" s="12"/>
      <c r="F296" s="12"/>
      <c r="G296" s="12"/>
      <c r="H296" s="13"/>
      <c r="I296" s="12"/>
      <c r="J296" s="12"/>
      <c r="K296" s="12"/>
      <c r="L296" s="12"/>
      <c r="M296" s="12"/>
      <c r="N296" s="123"/>
      <c r="O296" s="124"/>
      <c r="P296" s="109"/>
      <c r="Q296" s="110"/>
      <c r="R296" s="111"/>
      <c r="S296" s="111"/>
      <c r="T296" s="112"/>
      <c r="U296" s="113"/>
      <c r="V296" s="114"/>
      <c r="W296" s="114"/>
      <c r="X296" s="114"/>
      <c r="Y296" s="114"/>
    </row>
    <row r="297" spans="1:25" x14ac:dyDescent="0.25">
      <c r="A297" s="24"/>
      <c r="B297" s="24"/>
      <c r="C297" s="24"/>
      <c r="D297" s="24"/>
      <c r="E297" s="24"/>
      <c r="F297" s="24"/>
      <c r="G297" s="24"/>
      <c r="H297" s="25"/>
      <c r="I297" s="24"/>
      <c r="J297" s="24"/>
      <c r="K297" s="24"/>
      <c r="L297" s="24"/>
      <c r="M297" s="24"/>
      <c r="N297" s="121"/>
      <c r="O297" s="118"/>
      <c r="P297" s="81"/>
      <c r="Q297" s="82"/>
      <c r="R297" s="82"/>
      <c r="S297" s="82"/>
      <c r="T297" s="89"/>
      <c r="U297" s="82"/>
      <c r="V297" s="82"/>
      <c r="W297" s="90"/>
      <c r="X297" s="82"/>
      <c r="Y297" s="82"/>
    </row>
    <row r="298" spans="1:25" x14ac:dyDescent="0.25">
      <c r="A298" s="12"/>
      <c r="B298" s="12"/>
      <c r="C298" s="12"/>
      <c r="D298" s="12"/>
      <c r="E298" s="12"/>
      <c r="F298" s="12"/>
      <c r="G298" s="12"/>
      <c r="H298" s="13"/>
      <c r="I298" s="12"/>
      <c r="J298" s="12"/>
      <c r="K298" s="12"/>
      <c r="L298" s="12"/>
      <c r="M298" s="12"/>
      <c r="N298" s="122"/>
      <c r="O298" s="120"/>
      <c r="P298" s="60"/>
      <c r="Q298" s="61"/>
      <c r="R298" s="61"/>
      <c r="S298" s="61"/>
      <c r="T298" s="91"/>
      <c r="U298" s="61"/>
      <c r="V298" s="61"/>
      <c r="W298" s="92"/>
      <c r="X298" s="61"/>
      <c r="Y298" s="61"/>
    </row>
    <row r="299" spans="1:25" x14ac:dyDescent="0.25">
      <c r="N299" s="121"/>
      <c r="O299" s="118"/>
      <c r="P299" s="81"/>
      <c r="Q299" s="82"/>
      <c r="R299" s="82"/>
      <c r="S299" s="82"/>
      <c r="T299" s="89"/>
      <c r="U299" s="82"/>
      <c r="V299" s="82"/>
      <c r="W299" s="90"/>
      <c r="X299" s="82"/>
      <c r="Y299" s="82"/>
    </row>
    <row r="300" spans="1:25" x14ac:dyDescent="0.25">
      <c r="A300" s="12"/>
      <c r="B300" s="12"/>
      <c r="C300" s="12"/>
      <c r="D300" s="12"/>
      <c r="E300" s="12"/>
      <c r="F300" s="12"/>
      <c r="G300" s="12"/>
      <c r="H300" s="13"/>
      <c r="I300" s="12"/>
      <c r="J300" s="12"/>
      <c r="K300" s="12"/>
      <c r="L300" s="12"/>
      <c r="M300" s="12"/>
      <c r="N300" s="122"/>
      <c r="O300" s="120"/>
      <c r="P300" s="60"/>
      <c r="Q300" s="61"/>
      <c r="R300" s="61"/>
      <c r="S300" s="61"/>
      <c r="T300" s="91"/>
      <c r="U300" s="61"/>
      <c r="V300" s="61"/>
      <c r="W300" s="92"/>
      <c r="X300" s="61"/>
      <c r="Y300" s="61"/>
    </row>
    <row r="301" spans="1:25" x14ac:dyDescent="0.25">
      <c r="A301" s="24"/>
      <c r="B301" s="24"/>
      <c r="C301" s="24"/>
      <c r="D301" s="24"/>
      <c r="E301" s="24"/>
      <c r="F301" s="24"/>
      <c r="G301" s="24"/>
      <c r="H301" s="25"/>
      <c r="I301" s="24"/>
      <c r="J301" s="24"/>
      <c r="K301" s="24"/>
      <c r="L301" s="24"/>
      <c r="M301" s="24"/>
      <c r="N301" s="121"/>
      <c r="O301" s="118"/>
      <c r="P301" s="81"/>
      <c r="Q301" s="82"/>
      <c r="R301" s="82"/>
      <c r="S301" s="82"/>
      <c r="T301" s="89"/>
      <c r="U301" s="82"/>
      <c r="V301" s="82"/>
      <c r="W301" s="90"/>
      <c r="X301" s="82"/>
      <c r="Y301" s="82"/>
    </row>
    <row r="302" spans="1:25" x14ac:dyDescent="0.25">
      <c r="A302" s="12"/>
      <c r="B302" s="12"/>
      <c r="C302" s="12"/>
      <c r="D302" s="12"/>
      <c r="E302" s="12"/>
      <c r="F302" s="12"/>
      <c r="G302" s="12"/>
      <c r="H302" s="13"/>
      <c r="I302" s="12"/>
      <c r="J302" s="12"/>
      <c r="K302" s="12"/>
      <c r="L302" s="12"/>
      <c r="M302" s="12"/>
      <c r="N302" s="122"/>
      <c r="O302" s="120"/>
      <c r="P302" s="60"/>
      <c r="Q302" s="61"/>
      <c r="R302" s="61"/>
      <c r="S302" s="61"/>
      <c r="T302" s="91"/>
      <c r="U302" s="61"/>
      <c r="V302" s="61"/>
      <c r="W302" s="92"/>
      <c r="X302" s="61"/>
      <c r="Y302" s="61"/>
    </row>
    <row r="303" spans="1:25" x14ac:dyDescent="0.25">
      <c r="A303" s="24"/>
      <c r="B303" s="24"/>
      <c r="C303" s="24"/>
      <c r="D303" s="24"/>
      <c r="E303" s="24"/>
      <c r="F303" s="24"/>
      <c r="G303" s="24"/>
      <c r="H303" s="25"/>
      <c r="I303" s="24"/>
      <c r="J303" s="24"/>
      <c r="K303" s="24"/>
      <c r="L303" s="24"/>
      <c r="M303" s="24"/>
      <c r="N303" s="121"/>
      <c r="O303" s="118"/>
      <c r="P303" s="81"/>
      <c r="Q303" s="82"/>
      <c r="R303" s="82"/>
      <c r="S303" s="82"/>
      <c r="T303" s="89"/>
      <c r="U303" s="82"/>
      <c r="V303" s="82"/>
      <c r="W303" s="90"/>
      <c r="X303" s="82"/>
      <c r="Y303" s="82"/>
    </row>
    <row r="304" spans="1:25" x14ac:dyDescent="0.25">
      <c r="A304" s="12"/>
      <c r="B304" s="12"/>
      <c r="C304" s="12"/>
      <c r="D304" s="12"/>
      <c r="E304" s="12"/>
      <c r="F304" s="12"/>
      <c r="G304" s="12"/>
      <c r="H304" s="13"/>
      <c r="I304" s="12"/>
      <c r="J304" s="12"/>
      <c r="K304" s="12"/>
      <c r="L304" s="12"/>
      <c r="M304" s="12"/>
      <c r="N304" s="122"/>
      <c r="O304" s="120"/>
      <c r="P304" s="60"/>
      <c r="Q304" s="61"/>
      <c r="R304" s="61"/>
      <c r="S304" s="61"/>
      <c r="T304" s="91"/>
      <c r="U304" s="61"/>
      <c r="V304" s="61"/>
      <c r="W304" s="92"/>
      <c r="X304" s="61"/>
      <c r="Y304" s="61"/>
    </row>
    <row r="305" spans="1:25" x14ac:dyDescent="0.25">
      <c r="A305" s="24"/>
      <c r="B305" s="24"/>
      <c r="C305" s="24"/>
      <c r="D305" s="24"/>
      <c r="E305" s="24"/>
      <c r="F305" s="24"/>
      <c r="G305" s="24"/>
      <c r="H305" s="25"/>
      <c r="I305" s="24"/>
      <c r="J305" s="24"/>
      <c r="K305" s="24"/>
      <c r="L305" s="24"/>
      <c r="M305" s="24"/>
      <c r="N305" s="121"/>
      <c r="O305" s="118"/>
      <c r="P305" s="81"/>
      <c r="Q305" s="82"/>
      <c r="R305" s="82"/>
      <c r="S305" s="82"/>
      <c r="T305" s="89"/>
      <c r="U305" s="82"/>
      <c r="V305" s="82"/>
      <c r="W305" s="90"/>
      <c r="X305" s="82"/>
      <c r="Y305" s="82"/>
    </row>
    <row r="306" spans="1:25" x14ac:dyDescent="0.25">
      <c r="A306" s="12"/>
      <c r="B306" s="12"/>
      <c r="C306" s="12"/>
      <c r="D306" s="12"/>
      <c r="E306" s="12"/>
      <c r="F306" s="12"/>
      <c r="G306" s="12"/>
      <c r="H306" s="13"/>
      <c r="I306" s="12"/>
      <c r="J306" s="12"/>
      <c r="K306" s="12"/>
      <c r="L306" s="12"/>
      <c r="M306" s="12"/>
      <c r="N306" s="122"/>
      <c r="O306" s="120"/>
      <c r="P306" s="60"/>
      <c r="Q306" s="61"/>
      <c r="R306" s="61"/>
      <c r="S306" s="61"/>
      <c r="T306" s="91"/>
      <c r="U306" s="61"/>
      <c r="V306" s="61"/>
      <c r="W306" s="92"/>
      <c r="X306" s="61"/>
      <c r="Y306" s="61"/>
    </row>
    <row r="307" spans="1:25" x14ac:dyDescent="0.25">
      <c r="A307" s="12"/>
      <c r="B307" s="12"/>
      <c r="C307" s="12"/>
      <c r="D307" s="12"/>
      <c r="E307" s="12"/>
      <c r="F307" s="12"/>
      <c r="G307" s="12"/>
      <c r="H307" s="13"/>
      <c r="I307" s="12"/>
      <c r="J307" s="12"/>
      <c r="K307" s="12"/>
      <c r="L307" s="12"/>
      <c r="M307" s="12"/>
      <c r="N307" s="121"/>
      <c r="O307" s="118"/>
      <c r="P307" s="81"/>
      <c r="Q307" s="82"/>
      <c r="R307" s="82"/>
      <c r="S307" s="82"/>
      <c r="T307" s="89"/>
      <c r="U307" s="82"/>
      <c r="V307" s="82"/>
      <c r="W307" s="90"/>
      <c r="X307" s="82"/>
      <c r="Y307" s="82"/>
    </row>
    <row r="308" spans="1:25" x14ac:dyDescent="0.25">
      <c r="A308" s="24"/>
      <c r="B308" s="24"/>
      <c r="C308" s="24"/>
      <c r="D308" s="24"/>
      <c r="E308" s="24"/>
      <c r="F308" s="24"/>
      <c r="G308" s="24"/>
      <c r="H308" s="25"/>
      <c r="I308" s="24"/>
      <c r="J308" s="24"/>
      <c r="K308" s="24"/>
      <c r="L308" s="24"/>
      <c r="M308" s="24"/>
      <c r="N308" s="122"/>
      <c r="O308" s="120"/>
      <c r="P308" s="60"/>
      <c r="Q308" s="61"/>
      <c r="R308" s="61"/>
      <c r="S308" s="61"/>
      <c r="T308" s="91"/>
      <c r="U308" s="61"/>
      <c r="V308" s="61"/>
      <c r="W308" s="92"/>
      <c r="X308" s="61"/>
      <c r="Y308" s="61"/>
    </row>
    <row r="309" spans="1:25" x14ac:dyDescent="0.25">
      <c r="A309" s="12"/>
      <c r="B309" s="12"/>
      <c r="C309" s="12"/>
      <c r="D309" s="12"/>
      <c r="E309" s="12"/>
      <c r="F309" s="12"/>
      <c r="G309" s="12"/>
      <c r="H309" s="13"/>
      <c r="I309" s="12"/>
      <c r="J309" s="12"/>
      <c r="K309" s="12"/>
      <c r="L309" s="12"/>
      <c r="M309" s="12"/>
      <c r="N309" s="121"/>
      <c r="O309" s="118"/>
      <c r="P309" s="81"/>
      <c r="Q309" s="82"/>
      <c r="R309" s="82"/>
      <c r="S309" s="82"/>
      <c r="T309" s="89"/>
      <c r="U309" s="82"/>
      <c r="V309" s="82"/>
      <c r="W309" s="90"/>
      <c r="X309" s="82"/>
      <c r="Y309" s="82"/>
    </row>
    <row r="310" spans="1:25" x14ac:dyDescent="0.25">
      <c r="A310" s="24"/>
      <c r="B310" s="24"/>
      <c r="C310" s="24"/>
      <c r="D310" s="24"/>
      <c r="E310" s="24"/>
      <c r="F310" s="24"/>
      <c r="G310" s="24"/>
      <c r="H310" s="25"/>
      <c r="I310" s="24"/>
      <c r="J310" s="24"/>
      <c r="K310" s="24"/>
      <c r="L310" s="24"/>
      <c r="M310" s="24"/>
      <c r="N310" s="122"/>
      <c r="O310" s="120"/>
      <c r="P310" s="60"/>
      <c r="Q310" s="61"/>
      <c r="R310" s="61"/>
      <c r="S310" s="61"/>
      <c r="T310" s="91"/>
      <c r="U310" s="61"/>
      <c r="V310" s="61"/>
      <c r="W310" s="92"/>
      <c r="X310" s="61"/>
      <c r="Y310" s="61"/>
    </row>
    <row r="311" spans="1:25" x14ac:dyDescent="0.25">
      <c r="A311" s="12"/>
      <c r="B311" s="12"/>
      <c r="C311" s="12"/>
      <c r="D311" s="12"/>
      <c r="E311" s="12"/>
      <c r="F311" s="12"/>
      <c r="G311" s="12"/>
      <c r="H311" s="13"/>
      <c r="I311" s="12"/>
      <c r="J311" s="12"/>
      <c r="K311" s="12"/>
      <c r="L311" s="12"/>
      <c r="M311" s="12"/>
      <c r="N311" s="121"/>
      <c r="O311" s="118"/>
      <c r="P311" s="81"/>
      <c r="Q311" s="82"/>
      <c r="R311" s="82"/>
      <c r="S311" s="82"/>
      <c r="T311" s="89"/>
      <c r="U311" s="82"/>
      <c r="V311" s="82"/>
      <c r="W311" s="90"/>
      <c r="X311" s="82"/>
      <c r="Y311" s="82"/>
    </row>
    <row r="312" spans="1:25" x14ac:dyDescent="0.25">
      <c r="A312" s="24"/>
      <c r="B312" s="24"/>
      <c r="C312" s="24"/>
      <c r="D312" s="24"/>
      <c r="E312" s="24"/>
      <c r="F312" s="24"/>
      <c r="G312" s="24"/>
      <c r="H312" s="25"/>
      <c r="I312" s="24"/>
      <c r="J312" s="24"/>
      <c r="K312" s="24"/>
      <c r="L312" s="24"/>
      <c r="M312" s="24"/>
      <c r="N312" s="123"/>
      <c r="O312" s="124"/>
      <c r="P312" s="109"/>
      <c r="Q312" s="110"/>
      <c r="R312" s="111"/>
      <c r="S312" s="111"/>
      <c r="T312" s="112"/>
      <c r="U312" s="113"/>
      <c r="V312" s="114"/>
      <c r="W312" s="114"/>
      <c r="X312" s="114"/>
      <c r="Y312" s="114"/>
    </row>
    <row r="313" spans="1:25" x14ac:dyDescent="0.25">
      <c r="A313" s="12"/>
      <c r="B313" s="12"/>
      <c r="C313" s="12"/>
      <c r="D313" s="12"/>
      <c r="E313" s="12"/>
      <c r="F313" s="12"/>
      <c r="G313" s="12"/>
      <c r="H313" s="13"/>
      <c r="I313" s="12"/>
      <c r="J313" s="12"/>
      <c r="K313" s="12"/>
      <c r="L313" s="12"/>
      <c r="M313" s="12"/>
      <c r="N313" s="121"/>
      <c r="O313" s="118"/>
      <c r="P313" s="81"/>
      <c r="Q313" s="82"/>
      <c r="R313" s="82"/>
      <c r="S313" s="82"/>
      <c r="T313" s="89"/>
      <c r="U313" s="82"/>
      <c r="V313" s="82"/>
      <c r="W313" s="90"/>
      <c r="X313" s="82"/>
      <c r="Y313" s="82"/>
    </row>
    <row r="314" spans="1:25" x14ac:dyDescent="0.25">
      <c r="A314" s="24"/>
      <c r="B314" s="24"/>
      <c r="C314" s="24"/>
      <c r="D314" s="24"/>
      <c r="E314" s="24"/>
      <c r="F314" s="24"/>
      <c r="G314" s="24"/>
      <c r="H314" s="25"/>
      <c r="I314" s="24"/>
      <c r="J314" s="24"/>
      <c r="K314" s="24"/>
      <c r="L314" s="24"/>
      <c r="M314" s="24"/>
      <c r="N314" s="122"/>
      <c r="O314" s="120"/>
      <c r="P314" s="60"/>
      <c r="Q314" s="61"/>
      <c r="R314" s="61"/>
      <c r="S314" s="61"/>
      <c r="T314" s="91"/>
      <c r="U314" s="61"/>
      <c r="V314" s="61"/>
      <c r="W314" s="92"/>
      <c r="X314" s="61"/>
      <c r="Y314" s="61"/>
    </row>
    <row r="315" spans="1:25" x14ac:dyDescent="0.25">
      <c r="A315" s="12"/>
      <c r="B315" s="12"/>
      <c r="C315" s="12"/>
      <c r="D315" s="12"/>
      <c r="E315" s="12"/>
      <c r="F315" s="12"/>
      <c r="G315" s="12"/>
      <c r="H315" s="13"/>
      <c r="I315" s="12"/>
      <c r="J315" s="12"/>
      <c r="K315" s="12"/>
      <c r="L315" s="12"/>
      <c r="M315" s="12"/>
      <c r="N315" s="121"/>
      <c r="O315" s="118"/>
      <c r="P315" s="81"/>
      <c r="Q315" s="82"/>
      <c r="R315" s="82"/>
      <c r="S315" s="82"/>
      <c r="T315" s="89"/>
      <c r="U315" s="82"/>
      <c r="V315" s="82"/>
      <c r="W315" s="90"/>
      <c r="X315" s="82"/>
      <c r="Y315" s="82"/>
    </row>
    <row r="316" spans="1:25" x14ac:dyDescent="0.25">
      <c r="N316" s="122"/>
      <c r="O316" s="120"/>
      <c r="P316" s="60"/>
      <c r="Q316" s="61"/>
      <c r="R316" s="61"/>
      <c r="S316" s="61"/>
      <c r="T316" s="91"/>
      <c r="U316" s="61"/>
      <c r="V316" s="61"/>
      <c r="W316" s="92"/>
      <c r="X316" s="61"/>
      <c r="Y316" s="61"/>
    </row>
    <row r="317" spans="1:25" x14ac:dyDescent="0.25">
      <c r="A317" s="12"/>
      <c r="B317" s="12"/>
      <c r="C317" s="12"/>
      <c r="D317" s="12"/>
      <c r="E317" s="12"/>
      <c r="F317" s="12"/>
      <c r="G317" s="12"/>
      <c r="H317" s="13"/>
      <c r="I317" s="12"/>
      <c r="J317" s="12"/>
      <c r="K317" s="12"/>
      <c r="L317" s="12"/>
      <c r="M317" s="12"/>
      <c r="N317" s="121"/>
      <c r="O317" s="118"/>
      <c r="P317" s="81"/>
      <c r="Q317" s="82"/>
      <c r="R317" s="82"/>
      <c r="S317" s="82"/>
      <c r="T317" s="89"/>
      <c r="U317" s="82"/>
      <c r="V317" s="82"/>
      <c r="W317" s="90"/>
      <c r="X317" s="82"/>
      <c r="Y317" s="82"/>
    </row>
    <row r="318" spans="1:25" x14ac:dyDescent="0.25">
      <c r="A318" s="24"/>
      <c r="B318" s="24"/>
      <c r="C318" s="24"/>
      <c r="D318" s="24"/>
      <c r="E318" s="24"/>
      <c r="F318" s="24"/>
      <c r="G318" s="24"/>
      <c r="H318" s="25"/>
      <c r="I318" s="24"/>
      <c r="J318" s="24"/>
      <c r="K318" s="24"/>
      <c r="L318" s="24"/>
      <c r="M318" s="24"/>
      <c r="N318" s="122"/>
      <c r="O318" s="120"/>
      <c r="P318" s="60"/>
      <c r="Q318" s="61"/>
      <c r="R318" s="61"/>
      <c r="S318" s="61"/>
      <c r="T318" s="91"/>
      <c r="U318" s="61"/>
      <c r="V318" s="61"/>
      <c r="W318" s="92"/>
      <c r="X318" s="61"/>
      <c r="Y318" s="61"/>
    </row>
    <row r="319" spans="1:25" x14ac:dyDescent="0.25">
      <c r="A319" s="12"/>
      <c r="B319" s="12"/>
      <c r="C319" s="12"/>
      <c r="D319" s="12"/>
      <c r="E319" s="12"/>
      <c r="F319" s="12"/>
      <c r="G319" s="12"/>
      <c r="H319" s="13"/>
      <c r="I319" s="12"/>
      <c r="J319" s="12"/>
      <c r="K319" s="12"/>
      <c r="L319" s="12"/>
      <c r="M319" s="12"/>
      <c r="N319" s="121"/>
      <c r="O319" s="118"/>
      <c r="P319" s="81"/>
      <c r="Q319" s="82"/>
      <c r="R319" s="82"/>
      <c r="S319" s="82"/>
      <c r="T319" s="89"/>
      <c r="U319" s="82"/>
      <c r="V319" s="82"/>
      <c r="W319" s="90"/>
      <c r="X319" s="82"/>
      <c r="Y319" s="82"/>
    </row>
    <row r="320" spans="1:25" x14ac:dyDescent="0.25">
      <c r="A320" s="24"/>
      <c r="B320" s="24"/>
      <c r="C320" s="24"/>
      <c r="D320" s="24"/>
      <c r="E320" s="24"/>
      <c r="F320" s="24"/>
      <c r="G320" s="24"/>
      <c r="H320" s="25"/>
      <c r="I320" s="24"/>
      <c r="J320" s="24"/>
      <c r="K320" s="24"/>
      <c r="L320" s="24"/>
      <c r="M320" s="24"/>
      <c r="N320" s="122"/>
      <c r="O320" s="120"/>
      <c r="P320" s="60"/>
      <c r="Q320" s="61"/>
      <c r="R320" s="61"/>
      <c r="S320" s="61"/>
      <c r="T320" s="91"/>
      <c r="U320" s="61"/>
      <c r="V320" s="61"/>
      <c r="W320" s="92"/>
      <c r="X320" s="61"/>
      <c r="Y320" s="61"/>
    </row>
    <row r="321" spans="1:25" x14ac:dyDescent="0.25">
      <c r="A321" s="12"/>
      <c r="B321" s="12"/>
      <c r="C321" s="12"/>
      <c r="D321" s="12"/>
      <c r="E321" s="12"/>
      <c r="F321" s="12"/>
      <c r="G321" s="12"/>
      <c r="H321" s="13"/>
      <c r="I321" s="12"/>
      <c r="J321" s="12"/>
      <c r="K321" s="12"/>
      <c r="L321" s="12"/>
      <c r="M321" s="12"/>
      <c r="N321" s="121"/>
      <c r="O321" s="118"/>
      <c r="P321" s="81"/>
      <c r="Q321" s="82"/>
      <c r="R321" s="82"/>
      <c r="S321" s="82"/>
      <c r="T321" s="89"/>
      <c r="U321" s="82"/>
      <c r="V321" s="82"/>
      <c r="W321" s="90"/>
      <c r="X321" s="82"/>
      <c r="Y321" s="82"/>
    </row>
    <row r="322" spans="1:25" x14ac:dyDescent="0.25">
      <c r="A322" s="24"/>
      <c r="B322" s="24"/>
      <c r="C322" s="24"/>
      <c r="D322" s="24"/>
      <c r="E322" s="24"/>
      <c r="F322" s="24"/>
      <c r="G322" s="24"/>
      <c r="H322" s="25"/>
      <c r="I322" s="24"/>
      <c r="J322" s="24"/>
      <c r="K322" s="24"/>
      <c r="L322" s="24"/>
      <c r="M322" s="24"/>
      <c r="N322" s="122"/>
      <c r="O322" s="120"/>
      <c r="P322" s="60"/>
      <c r="Q322" s="61"/>
      <c r="R322" s="61"/>
      <c r="S322" s="61"/>
      <c r="T322" s="91"/>
      <c r="U322" s="61"/>
      <c r="V322" s="61"/>
      <c r="W322" s="92"/>
      <c r="X322" s="61"/>
      <c r="Y322" s="61"/>
    </row>
    <row r="323" spans="1:25" x14ac:dyDescent="0.25">
      <c r="A323" s="12"/>
      <c r="B323" s="12"/>
      <c r="C323" s="12"/>
      <c r="D323" s="12"/>
      <c r="E323" s="12"/>
      <c r="F323" s="12"/>
      <c r="G323" s="12"/>
      <c r="H323" s="13"/>
      <c r="I323" s="12"/>
      <c r="J323" s="12"/>
      <c r="K323" s="12"/>
      <c r="L323" s="12"/>
      <c r="M323" s="12"/>
      <c r="N323" s="121"/>
      <c r="O323" s="118"/>
      <c r="P323" s="81"/>
      <c r="Q323" s="82"/>
      <c r="R323" s="82"/>
      <c r="S323" s="82"/>
      <c r="T323" s="89"/>
      <c r="U323" s="82"/>
      <c r="V323" s="82"/>
      <c r="W323" s="90"/>
      <c r="X323" s="82"/>
      <c r="Y323" s="82"/>
    </row>
    <row r="324" spans="1:25" x14ac:dyDescent="0.25">
      <c r="A324" s="12"/>
      <c r="B324" s="12"/>
      <c r="C324" s="12"/>
      <c r="D324" s="12"/>
      <c r="E324" s="12"/>
      <c r="F324" s="12"/>
      <c r="G324" s="12"/>
      <c r="H324" s="13"/>
      <c r="I324" s="12"/>
      <c r="J324" s="12"/>
      <c r="K324" s="12"/>
      <c r="L324" s="12"/>
      <c r="M324" s="12"/>
      <c r="N324" s="122"/>
      <c r="O324" s="120"/>
      <c r="P324" s="60"/>
      <c r="Q324" s="61"/>
      <c r="R324" s="61"/>
      <c r="S324" s="61"/>
      <c r="T324" s="91"/>
      <c r="U324" s="61"/>
      <c r="V324" s="61"/>
      <c r="W324" s="92"/>
      <c r="X324" s="61"/>
      <c r="Y324" s="61"/>
    </row>
    <row r="325" spans="1:25" x14ac:dyDescent="0.25">
      <c r="A325" s="24"/>
      <c r="B325" s="24"/>
      <c r="C325" s="24"/>
      <c r="D325" s="24"/>
      <c r="E325" s="24"/>
      <c r="F325" s="24"/>
      <c r="G325" s="24"/>
      <c r="H325" s="25"/>
      <c r="I325" s="24"/>
      <c r="J325" s="24"/>
      <c r="K325" s="24"/>
      <c r="L325" s="24"/>
      <c r="M325" s="24"/>
      <c r="N325" s="121"/>
      <c r="O325" s="118"/>
      <c r="P325" s="81"/>
      <c r="Q325" s="82"/>
      <c r="R325" s="82"/>
      <c r="S325" s="82"/>
      <c r="T325" s="89"/>
      <c r="U325" s="82"/>
      <c r="V325" s="82"/>
      <c r="W325" s="90"/>
      <c r="X325" s="82"/>
      <c r="Y325" s="82"/>
    </row>
    <row r="326" spans="1:25" x14ac:dyDescent="0.25">
      <c r="A326" s="12"/>
      <c r="B326" s="12"/>
      <c r="C326" s="12"/>
      <c r="D326" s="12"/>
      <c r="E326" s="12"/>
      <c r="F326" s="12"/>
      <c r="G326" s="12"/>
      <c r="H326" s="13"/>
      <c r="I326" s="12"/>
      <c r="J326" s="12"/>
      <c r="K326" s="12"/>
      <c r="L326" s="12"/>
      <c r="M326" s="12"/>
      <c r="N326" s="122"/>
      <c r="O326" s="120"/>
      <c r="P326" s="60"/>
      <c r="Q326" s="61"/>
      <c r="R326" s="61"/>
      <c r="S326" s="61"/>
      <c r="T326" s="91"/>
      <c r="U326" s="61"/>
      <c r="V326" s="61"/>
      <c r="W326" s="92"/>
      <c r="X326" s="61"/>
      <c r="Y326" s="61"/>
    </row>
    <row r="327" spans="1:25" x14ac:dyDescent="0.25">
      <c r="A327" s="24"/>
      <c r="B327" s="24"/>
      <c r="C327" s="24"/>
      <c r="D327" s="24"/>
      <c r="E327" s="24"/>
      <c r="F327" s="24"/>
      <c r="G327" s="24"/>
      <c r="H327" s="25"/>
      <c r="I327" s="24"/>
      <c r="J327" s="24"/>
      <c r="K327" s="24"/>
      <c r="L327" s="24"/>
      <c r="M327" s="24"/>
      <c r="N327" s="121"/>
      <c r="O327" s="118"/>
      <c r="P327" s="81"/>
      <c r="Q327" s="82"/>
      <c r="R327" s="82"/>
      <c r="S327" s="82"/>
      <c r="T327" s="89"/>
      <c r="U327" s="82"/>
      <c r="V327" s="82"/>
      <c r="W327" s="90"/>
      <c r="X327" s="82"/>
      <c r="Y327" s="82"/>
    </row>
    <row r="328" spans="1:25" x14ac:dyDescent="0.25">
      <c r="A328" s="12"/>
      <c r="B328" s="12"/>
      <c r="C328" s="12"/>
      <c r="D328" s="12"/>
      <c r="E328" s="12"/>
      <c r="F328" s="12"/>
      <c r="G328" s="12"/>
      <c r="H328" s="13"/>
      <c r="I328" s="12"/>
      <c r="J328" s="12"/>
      <c r="K328" s="12"/>
      <c r="L328" s="12"/>
      <c r="M328" s="12"/>
      <c r="N328" s="123"/>
      <c r="O328" s="124"/>
      <c r="P328" s="109"/>
      <c r="Q328" s="110"/>
      <c r="R328" s="111"/>
      <c r="S328" s="111"/>
      <c r="T328" s="112"/>
      <c r="U328" s="113"/>
      <c r="V328" s="114"/>
      <c r="W328" s="114"/>
      <c r="X328" s="114"/>
      <c r="Y328" s="114"/>
    </row>
    <row r="329" spans="1:25" x14ac:dyDescent="0.25">
      <c r="A329" s="24"/>
      <c r="B329" s="24"/>
      <c r="C329" s="24"/>
      <c r="D329" s="24"/>
      <c r="E329" s="24"/>
      <c r="F329" s="24"/>
      <c r="G329" s="24"/>
      <c r="H329" s="25"/>
      <c r="I329" s="24"/>
      <c r="J329" s="24"/>
      <c r="K329" s="24"/>
      <c r="L329" s="24"/>
      <c r="M329" s="24"/>
      <c r="N329" s="121"/>
      <c r="O329" s="118"/>
      <c r="P329" s="81"/>
      <c r="Q329" s="82"/>
      <c r="R329" s="82"/>
      <c r="S329" s="82"/>
      <c r="T329" s="89"/>
      <c r="U329" s="82"/>
      <c r="V329" s="82"/>
      <c r="W329" s="90"/>
      <c r="X329" s="82"/>
      <c r="Y329" s="82"/>
    </row>
    <row r="330" spans="1:25" x14ac:dyDescent="0.25">
      <c r="A330" s="12"/>
      <c r="B330" s="12"/>
      <c r="C330" s="12"/>
      <c r="D330" s="12"/>
      <c r="E330" s="12"/>
      <c r="F330" s="12"/>
      <c r="G330" s="12"/>
      <c r="H330" s="13"/>
      <c r="I330" s="12"/>
      <c r="J330" s="12"/>
      <c r="K330" s="12"/>
      <c r="L330" s="12"/>
      <c r="M330" s="12"/>
      <c r="N330" s="122"/>
      <c r="O330" s="120"/>
      <c r="P330" s="60"/>
      <c r="Q330" s="61"/>
      <c r="R330" s="61"/>
      <c r="S330" s="61"/>
      <c r="T330" s="91"/>
      <c r="U330" s="61"/>
      <c r="V330" s="61"/>
      <c r="W330" s="92"/>
      <c r="X330" s="61"/>
      <c r="Y330" s="61"/>
    </row>
    <row r="331" spans="1:25" x14ac:dyDescent="0.25">
      <c r="A331" s="24"/>
      <c r="B331" s="24"/>
      <c r="C331" s="24"/>
      <c r="D331" s="24"/>
      <c r="E331" s="24"/>
      <c r="F331" s="24"/>
      <c r="G331" s="24"/>
      <c r="H331" s="25"/>
      <c r="I331" s="24"/>
      <c r="J331" s="24"/>
      <c r="K331" s="24"/>
      <c r="L331" s="24"/>
      <c r="M331" s="24"/>
      <c r="N331" s="121"/>
      <c r="O331" s="118"/>
      <c r="P331" s="81"/>
      <c r="Q331" s="82"/>
      <c r="R331" s="82"/>
      <c r="S331" s="82"/>
      <c r="T331" s="89"/>
      <c r="U331" s="82"/>
      <c r="V331" s="82"/>
      <c r="W331" s="90"/>
      <c r="X331" s="82"/>
      <c r="Y331" s="82"/>
    </row>
    <row r="332" spans="1:25" x14ac:dyDescent="0.25">
      <c r="A332" s="12"/>
      <c r="B332" s="12"/>
      <c r="C332" s="12"/>
      <c r="D332" s="12"/>
      <c r="E332" s="12"/>
      <c r="F332" s="12"/>
      <c r="G332" s="12"/>
      <c r="H332" s="13"/>
      <c r="I332" s="12"/>
      <c r="J332" s="12"/>
      <c r="K332" s="12"/>
      <c r="L332" s="12"/>
      <c r="M332" s="12"/>
      <c r="N332" s="122"/>
      <c r="O332" s="120"/>
      <c r="P332" s="60"/>
      <c r="Q332" s="61"/>
      <c r="R332" s="61"/>
      <c r="S332" s="61"/>
      <c r="T332" s="91"/>
      <c r="U332" s="61"/>
      <c r="V332" s="61"/>
      <c r="W332" s="92"/>
      <c r="X332" s="61"/>
      <c r="Y332" s="61"/>
    </row>
    <row r="333" spans="1:25" x14ac:dyDescent="0.25">
      <c r="N333" s="121"/>
      <c r="O333" s="118"/>
      <c r="P333" s="81"/>
      <c r="Q333" s="82"/>
      <c r="R333" s="82"/>
      <c r="S333" s="82"/>
      <c r="T333" s="89"/>
      <c r="U333" s="82"/>
      <c r="V333" s="82"/>
      <c r="W333" s="90"/>
      <c r="X333" s="82"/>
      <c r="Y333" s="82"/>
    </row>
    <row r="334" spans="1:25" x14ac:dyDescent="0.25">
      <c r="A334" s="12"/>
      <c r="B334" s="12"/>
      <c r="C334" s="12"/>
      <c r="D334" s="12"/>
      <c r="E334" s="12"/>
      <c r="F334" s="12"/>
      <c r="G334" s="12"/>
      <c r="H334" s="13"/>
      <c r="I334" s="12"/>
      <c r="J334" s="12"/>
      <c r="K334" s="12"/>
      <c r="L334" s="12"/>
      <c r="M334" s="12"/>
      <c r="N334" s="122"/>
      <c r="O334" s="120"/>
      <c r="P334" s="60"/>
      <c r="Q334" s="61"/>
      <c r="R334" s="61"/>
      <c r="S334" s="61"/>
      <c r="T334" s="91"/>
      <c r="U334" s="61"/>
      <c r="V334" s="61"/>
      <c r="W334" s="92"/>
      <c r="X334" s="61"/>
      <c r="Y334" s="61"/>
    </row>
    <row r="335" spans="1:25" x14ac:dyDescent="0.25">
      <c r="A335" s="24"/>
      <c r="B335" s="24"/>
      <c r="C335" s="24"/>
      <c r="D335" s="24"/>
      <c r="E335" s="24"/>
      <c r="F335" s="24"/>
      <c r="G335" s="24"/>
      <c r="H335" s="25"/>
      <c r="I335" s="24"/>
      <c r="J335" s="24"/>
      <c r="K335" s="24"/>
      <c r="L335" s="24"/>
      <c r="M335" s="24"/>
      <c r="N335" s="121"/>
      <c r="O335" s="118"/>
      <c r="P335" s="81"/>
      <c r="Q335" s="82"/>
      <c r="R335" s="82"/>
      <c r="S335" s="82"/>
      <c r="T335" s="89"/>
      <c r="U335" s="82"/>
      <c r="V335" s="82"/>
      <c r="W335" s="90"/>
      <c r="X335" s="82"/>
      <c r="Y335" s="82"/>
    </row>
    <row r="336" spans="1:25" x14ac:dyDescent="0.25">
      <c r="A336" s="12"/>
      <c r="B336" s="12"/>
      <c r="C336" s="12"/>
      <c r="D336" s="12"/>
      <c r="E336" s="12"/>
      <c r="F336" s="12"/>
      <c r="G336" s="12"/>
      <c r="H336" s="13"/>
      <c r="I336" s="12"/>
      <c r="J336" s="12"/>
      <c r="K336" s="12"/>
      <c r="L336" s="12"/>
      <c r="M336" s="12"/>
      <c r="N336" s="122"/>
      <c r="O336" s="120"/>
      <c r="P336" s="60"/>
      <c r="Q336" s="61"/>
      <c r="R336" s="61"/>
      <c r="S336" s="61"/>
      <c r="T336" s="91"/>
      <c r="U336" s="61"/>
      <c r="V336" s="61"/>
      <c r="W336" s="92"/>
      <c r="X336" s="61"/>
      <c r="Y336" s="61"/>
    </row>
    <row r="337" spans="1:25" x14ac:dyDescent="0.25">
      <c r="A337" s="24"/>
      <c r="B337" s="24"/>
      <c r="C337" s="24"/>
      <c r="D337" s="24"/>
      <c r="E337" s="24"/>
      <c r="F337" s="24"/>
      <c r="G337" s="24"/>
      <c r="H337" s="25"/>
      <c r="I337" s="24"/>
      <c r="J337" s="24"/>
      <c r="K337" s="24"/>
      <c r="L337" s="24"/>
      <c r="M337" s="24"/>
      <c r="N337" s="121"/>
      <c r="O337" s="118"/>
      <c r="P337" s="81"/>
      <c r="Q337" s="82"/>
      <c r="R337" s="82"/>
      <c r="S337" s="82"/>
      <c r="T337" s="89"/>
      <c r="U337" s="82"/>
      <c r="V337" s="82"/>
      <c r="W337" s="90"/>
      <c r="X337" s="82"/>
      <c r="Y337" s="82"/>
    </row>
    <row r="338" spans="1:25" x14ac:dyDescent="0.25">
      <c r="A338" s="12"/>
      <c r="B338" s="12"/>
      <c r="C338" s="12"/>
      <c r="D338" s="12"/>
      <c r="E338" s="12"/>
      <c r="F338" s="12"/>
      <c r="G338" s="12"/>
      <c r="H338" s="13"/>
      <c r="I338" s="12"/>
      <c r="J338" s="12"/>
      <c r="K338" s="12"/>
      <c r="L338" s="12"/>
      <c r="M338" s="12"/>
      <c r="N338" s="122"/>
      <c r="O338" s="120"/>
      <c r="P338" s="60"/>
      <c r="Q338" s="61"/>
      <c r="R338" s="61"/>
      <c r="S338" s="61"/>
      <c r="T338" s="91"/>
      <c r="U338" s="61"/>
      <c r="V338" s="61"/>
      <c r="W338" s="92"/>
      <c r="X338" s="61"/>
      <c r="Y338" s="61"/>
    </row>
    <row r="339" spans="1:25" x14ac:dyDescent="0.25">
      <c r="A339" s="24"/>
      <c r="B339" s="24"/>
      <c r="C339" s="24"/>
      <c r="D339" s="24"/>
      <c r="E339" s="24"/>
      <c r="F339" s="24"/>
      <c r="G339" s="24"/>
      <c r="H339" s="25"/>
      <c r="I339" s="24"/>
      <c r="J339" s="24"/>
      <c r="K339" s="24"/>
      <c r="L339" s="24"/>
      <c r="M339" s="24"/>
      <c r="N339" s="121"/>
      <c r="O339" s="118"/>
      <c r="P339" s="81"/>
      <c r="Q339" s="82"/>
      <c r="R339" s="82"/>
      <c r="S339" s="82"/>
      <c r="T339" s="89"/>
      <c r="U339" s="82"/>
      <c r="V339" s="82"/>
      <c r="W339" s="90"/>
      <c r="X339" s="82"/>
      <c r="Y339" s="82"/>
    </row>
    <row r="340" spans="1:25" x14ac:dyDescent="0.25">
      <c r="A340" s="12"/>
      <c r="B340" s="12"/>
      <c r="C340" s="12"/>
      <c r="D340" s="12"/>
      <c r="E340" s="12"/>
      <c r="F340" s="12"/>
      <c r="G340" s="12"/>
      <c r="H340" s="13"/>
      <c r="I340" s="12"/>
      <c r="J340" s="12"/>
      <c r="K340" s="12"/>
      <c r="L340" s="12"/>
      <c r="M340" s="12"/>
      <c r="N340" s="122"/>
      <c r="O340" s="120"/>
      <c r="P340" s="60"/>
      <c r="Q340" s="61"/>
      <c r="R340" s="61"/>
      <c r="S340" s="61"/>
      <c r="T340" s="91"/>
      <c r="U340" s="61"/>
      <c r="V340" s="61"/>
      <c r="W340" s="92"/>
      <c r="X340" s="61"/>
      <c r="Y340" s="61"/>
    </row>
    <row r="341" spans="1:25" x14ac:dyDescent="0.25">
      <c r="A341" s="12"/>
      <c r="B341" s="12"/>
      <c r="C341" s="12"/>
      <c r="D341" s="12"/>
      <c r="E341" s="12"/>
      <c r="F341" s="12"/>
      <c r="G341" s="12"/>
      <c r="H341" s="13"/>
      <c r="I341" s="12"/>
      <c r="J341" s="12"/>
      <c r="K341" s="12"/>
      <c r="L341" s="12"/>
      <c r="M341" s="12"/>
      <c r="N341" s="121"/>
      <c r="O341" s="118"/>
      <c r="P341" s="81"/>
      <c r="Q341" s="82"/>
      <c r="R341" s="82"/>
      <c r="S341" s="82"/>
      <c r="T341" s="89"/>
      <c r="U341" s="82"/>
      <c r="V341" s="82"/>
      <c r="W341" s="90"/>
      <c r="X341" s="82"/>
      <c r="Y341" s="82"/>
    </row>
    <row r="342" spans="1:25" x14ac:dyDescent="0.25">
      <c r="A342" s="24"/>
      <c r="B342" s="24"/>
      <c r="C342" s="24"/>
      <c r="D342" s="24"/>
      <c r="E342" s="24"/>
      <c r="F342" s="24"/>
      <c r="G342" s="24"/>
      <c r="H342" s="25"/>
      <c r="I342" s="24"/>
      <c r="J342" s="24"/>
      <c r="K342" s="24"/>
      <c r="L342" s="24"/>
      <c r="M342" s="24"/>
      <c r="N342" s="122"/>
      <c r="O342" s="120"/>
      <c r="P342" s="60"/>
      <c r="Q342" s="61"/>
      <c r="R342" s="61"/>
      <c r="S342" s="61"/>
      <c r="T342" s="91"/>
      <c r="U342" s="61"/>
      <c r="V342" s="61"/>
      <c r="W342" s="92"/>
      <c r="X342" s="61"/>
      <c r="Y342" s="61"/>
    </row>
    <row r="343" spans="1:25" x14ac:dyDescent="0.25">
      <c r="A343" s="12"/>
      <c r="B343" s="12"/>
      <c r="C343" s="12"/>
      <c r="D343" s="12"/>
      <c r="E343" s="12"/>
      <c r="F343" s="12"/>
      <c r="G343" s="12"/>
      <c r="H343" s="13"/>
      <c r="I343" s="12"/>
      <c r="J343" s="12"/>
      <c r="K343" s="12"/>
      <c r="L343" s="12"/>
      <c r="M343" s="12"/>
      <c r="N343" s="121"/>
      <c r="O343" s="118"/>
      <c r="P343" s="81"/>
      <c r="Q343" s="82"/>
      <c r="R343" s="82"/>
      <c r="S343" s="82"/>
      <c r="T343" s="89"/>
      <c r="U343" s="82"/>
      <c r="V343" s="82"/>
      <c r="W343" s="90"/>
      <c r="X343" s="82"/>
      <c r="Y343" s="82"/>
    </row>
    <row r="344" spans="1:25" x14ac:dyDescent="0.25">
      <c r="A344" s="24"/>
      <c r="B344" s="24"/>
      <c r="C344" s="24"/>
      <c r="D344" s="24"/>
      <c r="E344" s="24"/>
      <c r="F344" s="24"/>
      <c r="G344" s="24"/>
      <c r="H344" s="25"/>
      <c r="I344" s="24"/>
      <c r="J344" s="24"/>
      <c r="K344" s="24"/>
      <c r="L344" s="24"/>
      <c r="M344" s="24"/>
      <c r="N344" s="123"/>
      <c r="O344" s="124"/>
      <c r="P344" s="109"/>
      <c r="Q344" s="110"/>
      <c r="R344" s="111"/>
      <c r="S344" s="111"/>
      <c r="T344" s="112"/>
      <c r="U344" s="113"/>
      <c r="V344" s="114"/>
      <c r="W344" s="114"/>
      <c r="X344" s="114"/>
      <c r="Y344" s="114"/>
    </row>
    <row r="345" spans="1:25" x14ac:dyDescent="0.25">
      <c r="A345" s="12"/>
      <c r="B345" s="12"/>
      <c r="C345" s="12"/>
      <c r="D345" s="12"/>
      <c r="E345" s="12"/>
      <c r="F345" s="12"/>
      <c r="G345" s="12"/>
      <c r="H345" s="13"/>
      <c r="I345" s="12"/>
      <c r="J345" s="12"/>
      <c r="K345" s="12"/>
      <c r="L345" s="12"/>
      <c r="M345" s="12"/>
      <c r="N345" s="121"/>
      <c r="O345" s="118"/>
      <c r="P345" s="81"/>
      <c r="Q345" s="82"/>
      <c r="R345" s="82"/>
      <c r="S345" s="82"/>
      <c r="T345" s="89"/>
      <c r="U345" s="82"/>
      <c r="V345" s="82"/>
      <c r="W345" s="90"/>
      <c r="X345" s="82"/>
      <c r="Y345" s="82"/>
    </row>
    <row r="346" spans="1:25" x14ac:dyDescent="0.25">
      <c r="A346" s="24"/>
      <c r="B346" s="24"/>
      <c r="C346" s="24"/>
      <c r="D346" s="24"/>
      <c r="E346" s="24"/>
      <c r="F346" s="24"/>
      <c r="G346" s="24"/>
      <c r="H346" s="25"/>
      <c r="I346" s="24"/>
      <c r="J346" s="24"/>
      <c r="K346" s="24"/>
      <c r="L346" s="24"/>
      <c r="M346" s="24"/>
      <c r="N346" s="122"/>
      <c r="O346" s="120"/>
      <c r="P346" s="60"/>
      <c r="Q346" s="61"/>
      <c r="R346" s="61"/>
      <c r="S346" s="61"/>
      <c r="T346" s="91"/>
      <c r="U346" s="61"/>
      <c r="V346" s="61"/>
      <c r="W346" s="92"/>
      <c r="X346" s="61"/>
      <c r="Y346" s="61"/>
    </row>
    <row r="347" spans="1:25" x14ac:dyDescent="0.25">
      <c r="A347" s="12"/>
      <c r="B347" s="12"/>
      <c r="C347" s="12"/>
      <c r="D347" s="12"/>
      <c r="E347" s="12"/>
      <c r="F347" s="12"/>
      <c r="G347" s="12"/>
      <c r="H347" s="13"/>
      <c r="I347" s="12"/>
      <c r="J347" s="12"/>
      <c r="K347" s="12"/>
      <c r="L347" s="12"/>
      <c r="M347" s="12"/>
      <c r="N347" s="121"/>
      <c r="O347" s="118"/>
      <c r="P347" s="81"/>
      <c r="Q347" s="82"/>
      <c r="R347" s="82"/>
      <c r="S347" s="82"/>
      <c r="T347" s="89"/>
      <c r="U347" s="82"/>
      <c r="V347" s="82"/>
      <c r="W347" s="90"/>
      <c r="X347" s="82"/>
      <c r="Y347" s="82"/>
    </row>
    <row r="348" spans="1:25" x14ac:dyDescent="0.25">
      <c r="A348" s="24"/>
      <c r="B348" s="24"/>
      <c r="C348" s="24"/>
      <c r="D348" s="24"/>
      <c r="E348" s="24"/>
      <c r="F348" s="24"/>
      <c r="G348" s="24"/>
      <c r="H348" s="25"/>
      <c r="I348" s="24"/>
      <c r="J348" s="24"/>
      <c r="K348" s="24"/>
      <c r="L348" s="24"/>
      <c r="M348" s="24"/>
      <c r="N348" s="122"/>
      <c r="O348" s="120"/>
      <c r="P348" s="60"/>
      <c r="Q348" s="61"/>
      <c r="R348" s="61"/>
      <c r="S348" s="61"/>
      <c r="T348" s="91"/>
      <c r="U348" s="61"/>
      <c r="V348" s="61"/>
      <c r="W348" s="92"/>
      <c r="X348" s="61"/>
      <c r="Y348" s="61"/>
    </row>
    <row r="349" spans="1:25" x14ac:dyDescent="0.25">
      <c r="A349" s="12"/>
      <c r="B349" s="12"/>
      <c r="C349" s="12"/>
      <c r="D349" s="12"/>
      <c r="E349" s="12"/>
      <c r="F349" s="12"/>
      <c r="G349" s="12"/>
      <c r="H349" s="13"/>
      <c r="I349" s="12"/>
      <c r="J349" s="12"/>
      <c r="K349" s="12"/>
      <c r="L349" s="12"/>
      <c r="M349" s="12"/>
      <c r="N349" s="121"/>
      <c r="O349" s="118"/>
      <c r="P349" s="81"/>
      <c r="Q349" s="82"/>
      <c r="R349" s="82"/>
      <c r="S349" s="82"/>
      <c r="T349" s="89"/>
      <c r="U349" s="82"/>
      <c r="V349" s="82"/>
      <c r="W349" s="90"/>
      <c r="X349" s="82"/>
      <c r="Y349" s="82"/>
    </row>
    <row r="350" spans="1:25" x14ac:dyDescent="0.25">
      <c r="N350" s="122"/>
      <c r="O350" s="120"/>
      <c r="P350" s="60"/>
      <c r="Q350" s="61"/>
      <c r="R350" s="61"/>
      <c r="S350" s="61"/>
      <c r="T350" s="91"/>
      <c r="U350" s="61"/>
      <c r="V350" s="61"/>
      <c r="W350" s="92"/>
      <c r="X350" s="61"/>
      <c r="Y350" s="61"/>
    </row>
    <row r="351" spans="1:25" x14ac:dyDescent="0.25">
      <c r="A351" s="12"/>
      <c r="B351" s="12"/>
      <c r="C351" s="12"/>
      <c r="D351" s="12"/>
      <c r="E351" s="12"/>
      <c r="F351" s="12"/>
      <c r="G351" s="12"/>
      <c r="H351" s="13"/>
      <c r="I351" s="12"/>
      <c r="J351" s="12"/>
      <c r="K351" s="12"/>
      <c r="L351" s="12"/>
      <c r="M351" s="12"/>
      <c r="N351" s="121"/>
      <c r="O351" s="118"/>
      <c r="P351" s="81"/>
      <c r="Q351" s="82"/>
      <c r="R351" s="82"/>
      <c r="S351" s="82"/>
      <c r="T351" s="89"/>
      <c r="U351" s="82"/>
      <c r="V351" s="82"/>
      <c r="W351" s="90"/>
      <c r="X351" s="82"/>
      <c r="Y351" s="82"/>
    </row>
    <row r="352" spans="1:25" x14ac:dyDescent="0.25">
      <c r="A352" s="24"/>
      <c r="B352" s="24"/>
      <c r="C352" s="24"/>
      <c r="D352" s="24"/>
      <c r="E352" s="24"/>
      <c r="F352" s="24"/>
      <c r="G352" s="24"/>
      <c r="H352" s="25"/>
      <c r="I352" s="24"/>
      <c r="J352" s="24"/>
      <c r="K352" s="24"/>
      <c r="L352" s="24"/>
      <c r="M352" s="24"/>
      <c r="N352" s="122"/>
      <c r="O352" s="120"/>
      <c r="P352" s="60"/>
      <c r="Q352" s="61"/>
      <c r="R352" s="61"/>
      <c r="S352" s="61"/>
      <c r="T352" s="91"/>
      <c r="U352" s="61"/>
      <c r="V352" s="61"/>
      <c r="W352" s="92"/>
      <c r="X352" s="61"/>
      <c r="Y352" s="61"/>
    </row>
    <row r="353" spans="1:25" x14ac:dyDescent="0.25">
      <c r="A353" s="12"/>
      <c r="B353" s="12"/>
      <c r="C353" s="12"/>
      <c r="D353" s="12"/>
      <c r="E353" s="12"/>
      <c r="F353" s="12"/>
      <c r="G353" s="12"/>
      <c r="H353" s="13"/>
      <c r="I353" s="12"/>
      <c r="J353" s="12"/>
      <c r="K353" s="12"/>
      <c r="L353" s="12"/>
      <c r="M353" s="12"/>
      <c r="N353" s="121"/>
      <c r="O353" s="118"/>
      <c r="P353" s="81"/>
      <c r="Q353" s="82"/>
      <c r="R353" s="82"/>
      <c r="S353" s="82"/>
      <c r="T353" s="89"/>
      <c r="U353" s="82"/>
      <c r="V353" s="82"/>
      <c r="W353" s="90"/>
      <c r="X353" s="82"/>
      <c r="Y353" s="82"/>
    </row>
    <row r="354" spans="1:25" x14ac:dyDescent="0.25">
      <c r="A354" s="24"/>
      <c r="B354" s="24"/>
      <c r="C354" s="24"/>
      <c r="D354" s="24"/>
      <c r="E354" s="24"/>
      <c r="F354" s="24"/>
      <c r="G354" s="24"/>
      <c r="H354" s="25"/>
      <c r="I354" s="24"/>
      <c r="J354" s="24"/>
      <c r="K354" s="24"/>
      <c r="L354" s="24"/>
      <c r="M354" s="24"/>
      <c r="N354" s="122"/>
      <c r="O354" s="120"/>
      <c r="P354" s="60"/>
      <c r="Q354" s="61"/>
      <c r="R354" s="61"/>
      <c r="S354" s="61"/>
      <c r="T354" s="91"/>
      <c r="U354" s="61"/>
      <c r="V354" s="61"/>
      <c r="W354" s="92"/>
      <c r="X354" s="61"/>
      <c r="Y354" s="61"/>
    </row>
    <row r="355" spans="1:25" x14ac:dyDescent="0.25">
      <c r="A355" s="12"/>
      <c r="B355" s="12"/>
      <c r="C355" s="12"/>
      <c r="D355" s="12"/>
      <c r="E355" s="12"/>
      <c r="F355" s="12"/>
      <c r="G355" s="12"/>
      <c r="H355" s="13"/>
      <c r="I355" s="12"/>
      <c r="J355" s="12"/>
      <c r="K355" s="12"/>
      <c r="L355" s="12"/>
      <c r="M355" s="12"/>
      <c r="N355" s="121"/>
      <c r="O355" s="118"/>
      <c r="P355" s="81"/>
      <c r="Q355" s="82"/>
      <c r="R355" s="82"/>
      <c r="S355" s="82"/>
      <c r="T355" s="89"/>
      <c r="U355" s="82"/>
      <c r="V355" s="82"/>
      <c r="W355" s="90"/>
      <c r="X355" s="82"/>
      <c r="Y355" s="82"/>
    </row>
    <row r="356" spans="1:25" x14ac:dyDescent="0.25">
      <c r="A356" s="24"/>
      <c r="B356" s="24"/>
      <c r="C356" s="24"/>
      <c r="D356" s="24"/>
      <c r="E356" s="24"/>
      <c r="F356" s="24"/>
      <c r="G356" s="24"/>
      <c r="H356" s="25"/>
      <c r="I356" s="24"/>
      <c r="J356" s="24"/>
      <c r="K356" s="24"/>
      <c r="L356" s="24"/>
      <c r="M356" s="24"/>
      <c r="N356" s="122"/>
      <c r="O356" s="120"/>
      <c r="P356" s="60"/>
      <c r="Q356" s="61"/>
      <c r="R356" s="61"/>
      <c r="S356" s="61"/>
      <c r="T356" s="91"/>
      <c r="U356" s="61"/>
      <c r="V356" s="61"/>
      <c r="W356" s="92"/>
      <c r="X356" s="61"/>
      <c r="Y356" s="61"/>
    </row>
    <row r="357" spans="1:25" x14ac:dyDescent="0.25">
      <c r="A357" s="12"/>
      <c r="B357" s="12"/>
      <c r="C357" s="12"/>
      <c r="D357" s="12"/>
      <c r="E357" s="12"/>
      <c r="F357" s="12"/>
      <c r="G357" s="12"/>
      <c r="H357" s="13"/>
      <c r="I357" s="12"/>
      <c r="J357" s="12"/>
      <c r="K357" s="12"/>
      <c r="L357" s="12"/>
      <c r="M357" s="12"/>
      <c r="N357" s="121"/>
      <c r="O357" s="118"/>
      <c r="P357" s="81"/>
      <c r="Q357" s="82"/>
      <c r="R357" s="82"/>
      <c r="S357" s="82"/>
      <c r="T357" s="89"/>
      <c r="U357" s="82"/>
      <c r="V357" s="82"/>
      <c r="W357" s="90"/>
      <c r="X357" s="82"/>
      <c r="Y357" s="82"/>
    </row>
    <row r="358" spans="1:25" x14ac:dyDescent="0.25">
      <c r="A358" s="12"/>
      <c r="B358" s="12"/>
      <c r="C358" s="12"/>
      <c r="D358" s="12"/>
      <c r="E358" s="12"/>
      <c r="F358" s="12"/>
      <c r="G358" s="12"/>
      <c r="H358" s="13"/>
      <c r="I358" s="12"/>
      <c r="J358" s="12"/>
      <c r="K358" s="12"/>
      <c r="L358" s="12"/>
      <c r="M358" s="12"/>
      <c r="N358" s="122"/>
      <c r="O358" s="120"/>
      <c r="P358" s="60"/>
      <c r="Q358" s="61"/>
      <c r="R358" s="61"/>
      <c r="S358" s="61"/>
      <c r="T358" s="91"/>
      <c r="U358" s="61"/>
      <c r="V358" s="61"/>
      <c r="W358" s="92"/>
      <c r="X358" s="61"/>
      <c r="Y358" s="61"/>
    </row>
    <row r="359" spans="1:25" x14ac:dyDescent="0.25">
      <c r="A359" s="24"/>
      <c r="B359" s="24"/>
      <c r="C359" s="24"/>
      <c r="D359" s="24"/>
      <c r="E359" s="24"/>
      <c r="F359" s="24"/>
      <c r="G359" s="24"/>
      <c r="H359" s="25"/>
      <c r="I359" s="24"/>
      <c r="J359" s="24"/>
      <c r="K359" s="24"/>
      <c r="L359" s="24"/>
      <c r="M359" s="24"/>
      <c r="N359" s="121"/>
      <c r="O359" s="118"/>
      <c r="P359" s="81"/>
      <c r="Q359" s="82"/>
      <c r="R359" s="82"/>
      <c r="S359" s="82"/>
      <c r="T359" s="89"/>
      <c r="U359" s="82"/>
      <c r="V359" s="82"/>
      <c r="W359" s="90"/>
      <c r="X359" s="82"/>
      <c r="Y359" s="82"/>
    </row>
    <row r="360" spans="1:25" x14ac:dyDescent="0.25">
      <c r="A360" s="12"/>
      <c r="B360" s="12"/>
      <c r="C360" s="12"/>
      <c r="D360" s="12"/>
      <c r="E360" s="12"/>
      <c r="F360" s="12"/>
      <c r="G360" s="12"/>
      <c r="H360" s="13"/>
      <c r="I360" s="12"/>
      <c r="J360" s="12"/>
      <c r="K360" s="12"/>
      <c r="L360" s="12"/>
      <c r="M360" s="12"/>
      <c r="N360" s="123"/>
      <c r="O360" s="124"/>
      <c r="P360" s="109"/>
      <c r="Q360" s="110"/>
      <c r="R360" s="111"/>
      <c r="S360" s="111"/>
      <c r="T360" s="112"/>
      <c r="U360" s="113"/>
      <c r="V360" s="114"/>
      <c r="W360" s="114"/>
      <c r="X360" s="114"/>
      <c r="Y360" s="114"/>
    </row>
    <row r="361" spans="1:25" x14ac:dyDescent="0.25">
      <c r="A361" s="24"/>
      <c r="B361" s="24"/>
      <c r="C361" s="24"/>
      <c r="D361" s="24"/>
      <c r="E361" s="24"/>
      <c r="F361" s="24"/>
      <c r="G361" s="24"/>
      <c r="H361" s="25"/>
      <c r="I361" s="24"/>
      <c r="J361" s="24"/>
      <c r="K361" s="24"/>
      <c r="L361" s="24"/>
      <c r="M361" s="24"/>
      <c r="N361" s="121"/>
      <c r="O361" s="118"/>
      <c r="P361" s="81"/>
      <c r="Q361" s="82"/>
      <c r="R361" s="82"/>
      <c r="S361" s="82"/>
      <c r="T361" s="89"/>
      <c r="U361" s="82"/>
      <c r="V361" s="82"/>
      <c r="W361" s="90"/>
      <c r="X361" s="82"/>
      <c r="Y361" s="82"/>
    </row>
    <row r="362" spans="1:25" x14ac:dyDescent="0.25">
      <c r="A362" s="12"/>
      <c r="B362" s="12"/>
      <c r="C362" s="12"/>
      <c r="D362" s="12"/>
      <c r="E362" s="12"/>
      <c r="F362" s="12"/>
      <c r="G362" s="12"/>
      <c r="H362" s="13"/>
      <c r="I362" s="12"/>
      <c r="J362" s="12"/>
      <c r="K362" s="12"/>
      <c r="L362" s="12"/>
      <c r="M362" s="12"/>
      <c r="N362" s="122"/>
      <c r="O362" s="120"/>
      <c r="P362" s="60"/>
      <c r="Q362" s="61"/>
      <c r="R362" s="61"/>
      <c r="S362" s="61"/>
      <c r="T362" s="91"/>
      <c r="U362" s="61"/>
      <c r="V362" s="61"/>
      <c r="W362" s="92"/>
      <c r="X362" s="61"/>
      <c r="Y362" s="61"/>
    </row>
    <row r="363" spans="1:25" x14ac:dyDescent="0.25">
      <c r="A363" s="24"/>
      <c r="B363" s="24"/>
      <c r="C363" s="24"/>
      <c r="D363" s="24"/>
      <c r="E363" s="24"/>
      <c r="F363" s="24"/>
      <c r="G363" s="24"/>
      <c r="H363" s="25"/>
      <c r="I363" s="24"/>
      <c r="J363" s="24"/>
      <c r="K363" s="24"/>
      <c r="L363" s="24"/>
      <c r="M363" s="24"/>
      <c r="N363" s="121"/>
      <c r="O363" s="118"/>
      <c r="P363" s="81"/>
      <c r="Q363" s="82"/>
      <c r="R363" s="82"/>
      <c r="S363" s="82"/>
      <c r="T363" s="89"/>
      <c r="U363" s="82"/>
      <c r="V363" s="82"/>
      <c r="W363" s="90"/>
      <c r="X363" s="82"/>
      <c r="Y363" s="82"/>
    </row>
    <row r="364" spans="1:25" x14ac:dyDescent="0.25">
      <c r="A364" s="12"/>
      <c r="B364" s="12"/>
      <c r="C364" s="12"/>
      <c r="D364" s="12"/>
      <c r="E364" s="12"/>
      <c r="F364" s="12"/>
      <c r="G364" s="12"/>
      <c r="H364" s="13"/>
      <c r="I364" s="12"/>
      <c r="J364" s="12"/>
      <c r="K364" s="12"/>
      <c r="L364" s="12"/>
      <c r="M364" s="12"/>
      <c r="N364" s="122"/>
      <c r="O364" s="120"/>
      <c r="P364" s="60"/>
      <c r="Q364" s="61"/>
      <c r="R364" s="61"/>
      <c r="S364" s="61"/>
      <c r="T364" s="91"/>
      <c r="U364" s="61"/>
      <c r="V364" s="61"/>
      <c r="W364" s="92"/>
      <c r="X364" s="61"/>
      <c r="Y364" s="61"/>
    </row>
    <row r="365" spans="1:25" x14ac:dyDescent="0.25">
      <c r="A365" s="24"/>
      <c r="B365" s="24"/>
      <c r="C365" s="24"/>
      <c r="D365" s="24"/>
      <c r="E365" s="24"/>
      <c r="F365" s="24"/>
      <c r="G365" s="24"/>
      <c r="H365" s="25"/>
      <c r="I365" s="24"/>
      <c r="J365" s="24"/>
      <c r="K365" s="24"/>
      <c r="L365" s="24"/>
      <c r="M365" s="24"/>
      <c r="N365" s="121"/>
      <c r="O365" s="118"/>
      <c r="P365" s="81"/>
      <c r="Q365" s="82"/>
      <c r="R365" s="82"/>
      <c r="S365" s="82"/>
      <c r="T365" s="89"/>
      <c r="U365" s="82"/>
      <c r="V365" s="82"/>
      <c r="W365" s="90"/>
      <c r="X365" s="82"/>
      <c r="Y365" s="82"/>
    </row>
    <row r="366" spans="1:25" x14ac:dyDescent="0.25">
      <c r="A366" s="12"/>
      <c r="B366" s="12"/>
      <c r="C366" s="12"/>
      <c r="D366" s="12"/>
      <c r="E366" s="12"/>
      <c r="F366" s="12"/>
      <c r="G366" s="12"/>
      <c r="H366" s="13"/>
      <c r="I366" s="12"/>
      <c r="J366" s="12"/>
      <c r="K366" s="12"/>
      <c r="L366" s="12"/>
      <c r="M366" s="12"/>
      <c r="N366" s="122"/>
      <c r="O366" s="120"/>
      <c r="P366" s="60"/>
      <c r="Q366" s="61"/>
      <c r="R366" s="61"/>
      <c r="S366" s="61"/>
      <c r="T366" s="91"/>
      <c r="U366" s="61"/>
      <c r="V366" s="61"/>
      <c r="W366" s="92"/>
      <c r="X366" s="61"/>
      <c r="Y366" s="61"/>
    </row>
    <row r="367" spans="1:25" x14ac:dyDescent="0.25">
      <c r="N367" s="121"/>
      <c r="O367" s="118"/>
      <c r="P367" s="81"/>
      <c r="Q367" s="82"/>
      <c r="R367" s="82"/>
      <c r="S367" s="82"/>
      <c r="T367" s="89"/>
      <c r="U367" s="82"/>
      <c r="V367" s="82"/>
      <c r="W367" s="90"/>
      <c r="X367" s="82"/>
      <c r="Y367" s="82"/>
    </row>
    <row r="368" spans="1:25" x14ac:dyDescent="0.25">
      <c r="A368" s="12"/>
      <c r="B368" s="12"/>
      <c r="C368" s="12"/>
      <c r="D368" s="12"/>
      <c r="E368" s="12"/>
      <c r="F368" s="12"/>
      <c r="G368" s="12"/>
      <c r="H368" s="13"/>
      <c r="I368" s="12"/>
      <c r="J368" s="12"/>
      <c r="K368" s="12"/>
      <c r="L368" s="12"/>
      <c r="M368" s="12"/>
      <c r="N368" s="122"/>
      <c r="O368" s="120"/>
      <c r="P368" s="60"/>
      <c r="Q368" s="61"/>
      <c r="R368" s="61"/>
      <c r="S368" s="61"/>
      <c r="T368" s="91"/>
      <c r="U368" s="61"/>
      <c r="V368" s="61"/>
      <c r="W368" s="92"/>
      <c r="X368" s="61"/>
      <c r="Y368" s="61"/>
    </row>
    <row r="369" spans="1:25" x14ac:dyDescent="0.25">
      <c r="A369" s="24"/>
      <c r="B369" s="24"/>
      <c r="C369" s="24"/>
      <c r="D369" s="24"/>
      <c r="E369" s="24"/>
      <c r="F369" s="24"/>
      <c r="G369" s="24"/>
      <c r="H369" s="25"/>
      <c r="I369" s="24"/>
      <c r="J369" s="24"/>
      <c r="K369" s="24"/>
      <c r="L369" s="24"/>
      <c r="M369" s="24"/>
      <c r="N369" s="121"/>
      <c r="O369" s="118"/>
      <c r="P369" s="81"/>
      <c r="Q369" s="82"/>
      <c r="R369" s="82"/>
      <c r="S369" s="82"/>
      <c r="T369" s="89"/>
      <c r="U369" s="82"/>
      <c r="V369" s="82"/>
      <c r="W369" s="90"/>
      <c r="X369" s="82"/>
      <c r="Y369" s="82"/>
    </row>
    <row r="370" spans="1:25" x14ac:dyDescent="0.25">
      <c r="A370" s="12"/>
      <c r="B370" s="12"/>
      <c r="C370" s="12"/>
      <c r="D370" s="12"/>
      <c r="E370" s="12"/>
      <c r="F370" s="12"/>
      <c r="G370" s="12"/>
      <c r="H370" s="13"/>
      <c r="I370" s="12"/>
      <c r="J370" s="12"/>
      <c r="K370" s="12"/>
      <c r="L370" s="12"/>
      <c r="M370" s="12"/>
      <c r="N370" s="122"/>
      <c r="O370" s="120"/>
      <c r="P370" s="60"/>
      <c r="Q370" s="61"/>
      <c r="R370" s="61"/>
      <c r="S370" s="61"/>
      <c r="T370" s="91"/>
      <c r="U370" s="61"/>
      <c r="V370" s="61"/>
      <c r="W370" s="92"/>
      <c r="X370" s="61"/>
      <c r="Y370" s="61"/>
    </row>
    <row r="371" spans="1:25" x14ac:dyDescent="0.25">
      <c r="A371" s="24"/>
      <c r="B371" s="24"/>
      <c r="C371" s="24"/>
      <c r="D371" s="24"/>
      <c r="E371" s="24"/>
      <c r="F371" s="24"/>
      <c r="G371" s="24"/>
      <c r="H371" s="25"/>
      <c r="I371" s="24"/>
      <c r="J371" s="24"/>
      <c r="K371" s="24"/>
      <c r="L371" s="24"/>
      <c r="M371" s="24"/>
      <c r="N371" s="121"/>
      <c r="O371" s="118"/>
      <c r="P371" s="81"/>
      <c r="Q371" s="82"/>
      <c r="R371" s="82"/>
      <c r="S371" s="82"/>
      <c r="T371" s="89"/>
      <c r="U371" s="82"/>
      <c r="V371" s="82"/>
      <c r="W371" s="90"/>
      <c r="X371" s="82"/>
      <c r="Y371" s="82"/>
    </row>
    <row r="372" spans="1:25" x14ac:dyDescent="0.25">
      <c r="A372" s="12"/>
      <c r="B372" s="12"/>
      <c r="C372" s="12"/>
      <c r="D372" s="12"/>
      <c r="E372" s="12"/>
      <c r="F372" s="12"/>
      <c r="G372" s="12"/>
      <c r="H372" s="13"/>
      <c r="I372" s="12"/>
      <c r="J372" s="12"/>
      <c r="K372" s="12"/>
      <c r="L372" s="12"/>
      <c r="M372" s="12"/>
      <c r="N372" s="122"/>
      <c r="O372" s="120"/>
      <c r="P372" s="60"/>
      <c r="Q372" s="61"/>
      <c r="R372" s="61"/>
      <c r="S372" s="61"/>
      <c r="T372" s="91"/>
      <c r="U372" s="61"/>
      <c r="V372" s="61"/>
      <c r="W372" s="92"/>
      <c r="X372" s="61"/>
      <c r="Y372" s="61"/>
    </row>
    <row r="373" spans="1:25" x14ac:dyDescent="0.25">
      <c r="A373" s="24"/>
      <c r="B373" s="24"/>
      <c r="C373" s="24"/>
      <c r="D373" s="24"/>
      <c r="E373" s="24"/>
      <c r="F373" s="24"/>
      <c r="G373" s="24"/>
      <c r="H373" s="25"/>
      <c r="I373" s="24"/>
      <c r="J373" s="24"/>
      <c r="K373" s="24"/>
      <c r="L373" s="24"/>
      <c r="M373" s="24"/>
      <c r="N373" s="121"/>
      <c r="O373" s="118"/>
      <c r="P373" s="81"/>
      <c r="Q373" s="82"/>
      <c r="R373" s="82"/>
      <c r="S373" s="82"/>
      <c r="T373" s="89"/>
      <c r="U373" s="82"/>
      <c r="V373" s="82"/>
      <c r="W373" s="90"/>
      <c r="X373" s="82"/>
      <c r="Y373" s="82"/>
    </row>
    <row r="374" spans="1:25" x14ac:dyDescent="0.25">
      <c r="A374" s="12"/>
      <c r="B374" s="12"/>
      <c r="C374" s="12"/>
      <c r="D374" s="12"/>
      <c r="E374" s="12"/>
      <c r="F374" s="12"/>
      <c r="G374" s="12"/>
      <c r="H374" s="13"/>
      <c r="I374" s="12"/>
      <c r="J374" s="12"/>
      <c r="K374" s="12"/>
      <c r="L374" s="12"/>
      <c r="M374" s="12"/>
      <c r="N374" s="122"/>
      <c r="O374" s="120"/>
      <c r="P374" s="60"/>
      <c r="Q374" s="61"/>
      <c r="R374" s="61"/>
      <c r="S374" s="61"/>
      <c r="T374" s="91"/>
      <c r="U374" s="61"/>
      <c r="V374" s="61"/>
      <c r="W374" s="92"/>
      <c r="X374" s="61"/>
      <c r="Y374" s="61"/>
    </row>
    <row r="375" spans="1:25" x14ac:dyDescent="0.25">
      <c r="A375" s="12"/>
      <c r="B375" s="12"/>
      <c r="C375" s="12"/>
      <c r="D375" s="12"/>
      <c r="E375" s="12"/>
      <c r="F375" s="12"/>
      <c r="G375" s="12"/>
      <c r="H375" s="13"/>
      <c r="I375" s="12"/>
      <c r="J375" s="12"/>
      <c r="K375" s="12"/>
      <c r="L375" s="12"/>
      <c r="M375" s="12"/>
      <c r="N375" s="121"/>
      <c r="O375" s="118"/>
      <c r="P375" s="81"/>
      <c r="Q375" s="82"/>
      <c r="R375" s="82"/>
      <c r="S375" s="82"/>
      <c r="T375" s="89"/>
      <c r="U375" s="82"/>
      <c r="V375" s="82"/>
      <c r="W375" s="90"/>
      <c r="X375" s="82"/>
      <c r="Y375" s="82"/>
    </row>
    <row r="376" spans="1:25" x14ac:dyDescent="0.25">
      <c r="A376" s="24"/>
      <c r="B376" s="24"/>
      <c r="C376" s="24"/>
      <c r="D376" s="24"/>
      <c r="E376" s="24"/>
      <c r="F376" s="24"/>
      <c r="G376" s="24"/>
      <c r="H376" s="25"/>
      <c r="I376" s="24"/>
      <c r="J376" s="24"/>
      <c r="K376" s="24"/>
      <c r="L376" s="24"/>
      <c r="M376" s="24"/>
      <c r="N376" s="123"/>
      <c r="O376" s="124"/>
      <c r="P376" s="109"/>
      <c r="Q376" s="110"/>
      <c r="R376" s="111"/>
      <c r="S376" s="111"/>
      <c r="T376" s="112"/>
      <c r="U376" s="113"/>
      <c r="V376" s="114"/>
      <c r="W376" s="114"/>
      <c r="X376" s="114"/>
      <c r="Y376" s="114"/>
    </row>
    <row r="377" spans="1:25" x14ac:dyDescent="0.25">
      <c r="A377" s="12"/>
      <c r="B377" s="12"/>
      <c r="C377" s="12"/>
      <c r="D377" s="12"/>
      <c r="E377" s="12"/>
      <c r="F377" s="12"/>
      <c r="G377" s="12"/>
      <c r="H377" s="13"/>
      <c r="I377" s="12"/>
      <c r="J377" s="12"/>
      <c r="K377" s="12"/>
      <c r="L377" s="12"/>
      <c r="M377" s="12"/>
      <c r="N377" s="121"/>
      <c r="O377" s="118"/>
      <c r="P377" s="81"/>
      <c r="Q377" s="82"/>
      <c r="R377" s="82"/>
      <c r="S377" s="82"/>
      <c r="T377" s="89"/>
      <c r="U377" s="82"/>
      <c r="V377" s="82"/>
      <c r="W377" s="90"/>
      <c r="X377" s="82"/>
      <c r="Y377" s="82"/>
    </row>
    <row r="378" spans="1:25" x14ac:dyDescent="0.25">
      <c r="A378" s="24"/>
      <c r="B378" s="24"/>
      <c r="C378" s="24"/>
      <c r="D378" s="24"/>
      <c r="E378" s="24"/>
      <c r="F378" s="24"/>
      <c r="G378" s="24"/>
      <c r="H378" s="25"/>
      <c r="I378" s="24"/>
      <c r="J378" s="24"/>
      <c r="K378" s="24"/>
      <c r="L378" s="24"/>
      <c r="M378" s="24"/>
      <c r="N378" s="122"/>
      <c r="O378" s="120"/>
      <c r="P378" s="60"/>
      <c r="Q378" s="61"/>
      <c r="R378" s="61"/>
      <c r="S378" s="61"/>
      <c r="T378" s="91"/>
      <c r="U378" s="61"/>
      <c r="V378" s="61"/>
      <c r="W378" s="92"/>
      <c r="X378" s="61"/>
      <c r="Y378" s="61"/>
    </row>
    <row r="379" spans="1:25" x14ac:dyDescent="0.25">
      <c r="A379" s="12"/>
      <c r="B379" s="12"/>
      <c r="C379" s="12"/>
      <c r="D379" s="12"/>
      <c r="E379" s="12"/>
      <c r="F379" s="12"/>
      <c r="G379" s="12"/>
      <c r="H379" s="13"/>
      <c r="I379" s="12"/>
      <c r="J379" s="12"/>
      <c r="K379" s="12"/>
      <c r="L379" s="12"/>
      <c r="M379" s="12"/>
      <c r="N379" s="121"/>
      <c r="O379" s="118"/>
      <c r="P379" s="81"/>
      <c r="Q379" s="82"/>
      <c r="R379" s="82"/>
      <c r="S379" s="82"/>
      <c r="T379" s="89"/>
      <c r="U379" s="82"/>
      <c r="V379" s="82"/>
      <c r="W379" s="90"/>
      <c r="X379" s="82"/>
      <c r="Y379" s="82"/>
    </row>
    <row r="380" spans="1:25" x14ac:dyDescent="0.25">
      <c r="A380" s="24"/>
      <c r="B380" s="24"/>
      <c r="C380" s="24"/>
      <c r="D380" s="24"/>
      <c r="E380" s="24"/>
      <c r="F380" s="24"/>
      <c r="G380" s="24"/>
      <c r="H380" s="25"/>
      <c r="I380" s="24"/>
      <c r="J380" s="24"/>
      <c r="K380" s="24"/>
      <c r="L380" s="24"/>
      <c r="M380" s="24"/>
      <c r="N380" s="122"/>
      <c r="O380" s="120"/>
      <c r="P380" s="60"/>
      <c r="Q380" s="61"/>
      <c r="R380" s="61"/>
      <c r="S380" s="61"/>
      <c r="T380" s="91"/>
      <c r="U380" s="61"/>
      <c r="V380" s="61"/>
      <c r="W380" s="92"/>
      <c r="X380" s="61"/>
      <c r="Y380" s="61"/>
    </row>
    <row r="381" spans="1:25" x14ac:dyDescent="0.25">
      <c r="A381" s="12"/>
      <c r="B381" s="12"/>
      <c r="C381" s="12"/>
      <c r="D381" s="12"/>
      <c r="E381" s="12"/>
      <c r="F381" s="12"/>
      <c r="G381" s="12"/>
      <c r="H381" s="13"/>
      <c r="I381" s="12"/>
      <c r="J381" s="12"/>
      <c r="K381" s="12"/>
      <c r="L381" s="12"/>
      <c r="M381" s="12"/>
      <c r="N381" s="121"/>
      <c r="O381" s="118"/>
      <c r="P381" s="81"/>
      <c r="Q381" s="82"/>
      <c r="R381" s="82"/>
      <c r="S381" s="82"/>
      <c r="T381" s="89"/>
      <c r="U381" s="82"/>
      <c r="V381" s="82"/>
      <c r="W381" s="90"/>
      <c r="X381" s="82"/>
      <c r="Y381" s="82"/>
    </row>
    <row r="382" spans="1:25" x14ac:dyDescent="0.25">
      <c r="A382" s="24"/>
      <c r="B382" s="24"/>
      <c r="C382" s="24"/>
      <c r="D382" s="24"/>
      <c r="E382" s="24"/>
      <c r="F382" s="24"/>
      <c r="G382" s="24"/>
      <c r="H382" s="25"/>
      <c r="I382" s="24"/>
      <c r="J382" s="24"/>
      <c r="K382" s="24"/>
      <c r="L382" s="24"/>
      <c r="M382" s="24"/>
      <c r="N382" s="122"/>
      <c r="O382" s="120"/>
      <c r="P382" s="60"/>
      <c r="Q382" s="61"/>
      <c r="R382" s="61"/>
      <c r="S382" s="61"/>
      <c r="T382" s="91"/>
      <c r="U382" s="61"/>
      <c r="V382" s="61"/>
      <c r="W382" s="92"/>
      <c r="X382" s="61"/>
      <c r="Y382" s="61"/>
    </row>
    <row r="383" spans="1:25" x14ac:dyDescent="0.25">
      <c r="A383" s="12"/>
      <c r="B383" s="12"/>
      <c r="C383" s="12"/>
      <c r="D383" s="12"/>
      <c r="E383" s="12"/>
      <c r="F383" s="12"/>
      <c r="G383" s="12"/>
      <c r="H383" s="13"/>
      <c r="I383" s="12"/>
      <c r="J383" s="12"/>
      <c r="K383" s="12"/>
      <c r="L383" s="12"/>
      <c r="M383" s="12"/>
      <c r="N383" s="121"/>
      <c r="O383" s="118"/>
      <c r="P383" s="81"/>
      <c r="Q383" s="82"/>
      <c r="R383" s="82"/>
      <c r="S383" s="82"/>
      <c r="T383" s="89"/>
      <c r="U383" s="82"/>
      <c r="V383" s="82"/>
      <c r="W383" s="90"/>
      <c r="X383" s="82"/>
      <c r="Y383" s="82"/>
    </row>
    <row r="384" spans="1:25" x14ac:dyDescent="0.25">
      <c r="N384" s="122"/>
      <c r="O384" s="120"/>
      <c r="P384" s="60"/>
      <c r="Q384" s="61"/>
      <c r="R384" s="61"/>
      <c r="S384" s="61"/>
      <c r="T384" s="91"/>
      <c r="U384" s="61"/>
      <c r="V384" s="61"/>
      <c r="W384" s="92"/>
      <c r="X384" s="61"/>
      <c r="Y384" s="61"/>
    </row>
    <row r="385" spans="1:25" x14ac:dyDescent="0.25">
      <c r="A385" s="12"/>
      <c r="B385" s="12"/>
      <c r="C385" s="12"/>
      <c r="D385" s="12"/>
      <c r="E385" s="12"/>
      <c r="F385" s="12"/>
      <c r="G385" s="12"/>
      <c r="H385" s="13"/>
      <c r="I385" s="12"/>
      <c r="J385" s="12"/>
      <c r="K385" s="12"/>
      <c r="L385" s="12"/>
      <c r="M385" s="12"/>
      <c r="N385" s="121"/>
      <c r="O385" s="118"/>
      <c r="P385" s="81"/>
      <c r="Q385" s="82"/>
      <c r="R385" s="82"/>
      <c r="S385" s="82"/>
      <c r="T385" s="89"/>
      <c r="U385" s="82"/>
      <c r="V385" s="82"/>
      <c r="W385" s="90"/>
      <c r="X385" s="82"/>
      <c r="Y385" s="82"/>
    </row>
    <row r="386" spans="1:25" x14ac:dyDescent="0.25">
      <c r="A386" s="24"/>
      <c r="B386" s="24"/>
      <c r="C386" s="24"/>
      <c r="D386" s="24"/>
      <c r="E386" s="24"/>
      <c r="F386" s="24"/>
      <c r="G386" s="24"/>
      <c r="H386" s="25"/>
      <c r="I386" s="24"/>
      <c r="J386" s="24"/>
      <c r="K386" s="24"/>
      <c r="L386" s="24"/>
      <c r="M386" s="24"/>
      <c r="N386" s="122"/>
      <c r="O386" s="120"/>
      <c r="P386" s="60"/>
      <c r="Q386" s="61"/>
      <c r="R386" s="61"/>
      <c r="S386" s="61"/>
      <c r="T386" s="91"/>
      <c r="U386" s="61"/>
      <c r="V386" s="61"/>
      <c r="W386" s="92"/>
      <c r="X386" s="61"/>
      <c r="Y386" s="61"/>
    </row>
    <row r="387" spans="1:25" x14ac:dyDescent="0.25">
      <c r="A387" s="12"/>
      <c r="B387" s="12"/>
      <c r="C387" s="12"/>
      <c r="D387" s="12"/>
      <c r="E387" s="12"/>
      <c r="F387" s="12"/>
      <c r="G387" s="12"/>
      <c r="H387" s="13"/>
      <c r="I387" s="12"/>
      <c r="J387" s="12"/>
      <c r="K387" s="12"/>
      <c r="L387" s="12"/>
      <c r="M387" s="12"/>
      <c r="N387" s="121"/>
      <c r="O387" s="118"/>
      <c r="P387" s="81"/>
      <c r="Q387" s="82"/>
      <c r="R387" s="82"/>
      <c r="S387" s="82"/>
      <c r="T387" s="89"/>
      <c r="U387" s="82"/>
      <c r="V387" s="82"/>
      <c r="W387" s="90"/>
      <c r="X387" s="82"/>
      <c r="Y387" s="82"/>
    </row>
    <row r="388" spans="1:25" x14ac:dyDescent="0.25">
      <c r="A388" s="24"/>
      <c r="B388" s="24"/>
      <c r="C388" s="24"/>
      <c r="D388" s="24"/>
      <c r="E388" s="24"/>
      <c r="F388" s="24"/>
      <c r="G388" s="24"/>
      <c r="H388" s="25"/>
      <c r="I388" s="24"/>
      <c r="J388" s="24"/>
      <c r="K388" s="24"/>
      <c r="L388" s="24"/>
      <c r="M388" s="24"/>
      <c r="N388" s="122"/>
      <c r="O388" s="120"/>
      <c r="P388" s="60"/>
      <c r="Q388" s="61"/>
      <c r="R388" s="61"/>
      <c r="S388" s="61"/>
      <c r="T388" s="91"/>
      <c r="U388" s="61"/>
      <c r="V388" s="61"/>
      <c r="W388" s="92"/>
      <c r="X388" s="61"/>
      <c r="Y388" s="61"/>
    </row>
    <row r="389" spans="1:25" x14ac:dyDescent="0.25">
      <c r="A389" s="12"/>
      <c r="B389" s="12"/>
      <c r="C389" s="12"/>
      <c r="D389" s="12"/>
      <c r="E389" s="12"/>
      <c r="F389" s="12"/>
      <c r="G389" s="12"/>
      <c r="H389" s="13"/>
      <c r="I389" s="12"/>
      <c r="J389" s="12"/>
      <c r="K389" s="12"/>
      <c r="L389" s="12"/>
      <c r="M389" s="12"/>
      <c r="N389" s="121"/>
      <c r="O389" s="118"/>
      <c r="P389" s="81"/>
      <c r="Q389" s="82"/>
      <c r="R389" s="82"/>
      <c r="S389" s="82"/>
      <c r="T389" s="89"/>
      <c r="U389" s="82"/>
      <c r="V389" s="82"/>
      <c r="W389" s="90"/>
      <c r="X389" s="82"/>
      <c r="Y389" s="82"/>
    </row>
    <row r="390" spans="1:25" x14ac:dyDescent="0.25">
      <c r="A390" s="24"/>
      <c r="B390" s="24"/>
      <c r="C390" s="24"/>
      <c r="D390" s="24"/>
      <c r="E390" s="24"/>
      <c r="F390" s="24"/>
      <c r="G390" s="24"/>
      <c r="H390" s="25"/>
      <c r="I390" s="24"/>
      <c r="J390" s="24"/>
      <c r="K390" s="24"/>
      <c r="L390" s="24"/>
      <c r="M390" s="24"/>
      <c r="N390" s="122"/>
      <c r="O390" s="120"/>
      <c r="P390" s="60"/>
      <c r="Q390" s="61"/>
      <c r="R390" s="61"/>
      <c r="S390" s="61"/>
      <c r="T390" s="91"/>
      <c r="U390" s="61"/>
      <c r="V390" s="61"/>
      <c r="W390" s="92"/>
      <c r="X390" s="61"/>
      <c r="Y390" s="61"/>
    </row>
    <row r="391" spans="1:25" x14ac:dyDescent="0.25">
      <c r="A391" s="12"/>
      <c r="B391" s="12"/>
      <c r="C391" s="12"/>
      <c r="D391" s="12"/>
      <c r="E391" s="12"/>
      <c r="F391" s="12"/>
      <c r="G391" s="12"/>
      <c r="H391" s="13"/>
      <c r="I391" s="12"/>
      <c r="J391" s="12"/>
      <c r="K391" s="12"/>
      <c r="L391" s="12"/>
      <c r="M391" s="12"/>
      <c r="N391" s="121"/>
      <c r="O391" s="118"/>
      <c r="P391" s="81"/>
      <c r="Q391" s="82"/>
      <c r="R391" s="82"/>
      <c r="S391" s="82"/>
      <c r="T391" s="89"/>
      <c r="U391" s="82"/>
      <c r="V391" s="82"/>
      <c r="W391" s="90"/>
      <c r="X391" s="82"/>
      <c r="Y391" s="82"/>
    </row>
    <row r="392" spans="1:25" x14ac:dyDescent="0.25">
      <c r="A392" s="12"/>
      <c r="B392" s="12"/>
      <c r="C392" s="12"/>
      <c r="D392" s="12"/>
      <c r="E392" s="12"/>
      <c r="F392" s="12"/>
      <c r="G392" s="12"/>
      <c r="H392" s="13"/>
      <c r="I392" s="12"/>
      <c r="J392" s="12"/>
      <c r="K392" s="12"/>
      <c r="L392" s="12"/>
      <c r="M392" s="12"/>
      <c r="N392" s="123"/>
      <c r="O392" s="124"/>
      <c r="P392" s="109"/>
      <c r="Q392" s="110"/>
      <c r="R392" s="111"/>
      <c r="S392" s="111"/>
      <c r="T392" s="112"/>
      <c r="U392" s="113"/>
      <c r="V392" s="114"/>
      <c r="W392" s="114"/>
      <c r="X392" s="114"/>
      <c r="Y392" s="114"/>
    </row>
    <row r="393" spans="1:25" x14ac:dyDescent="0.25">
      <c r="A393" s="24"/>
      <c r="B393" s="24"/>
      <c r="C393" s="24"/>
      <c r="D393" s="24"/>
      <c r="E393" s="24"/>
      <c r="F393" s="24"/>
      <c r="G393" s="24"/>
      <c r="H393" s="25"/>
      <c r="I393" s="24"/>
      <c r="J393" s="24"/>
      <c r="K393" s="24"/>
      <c r="L393" s="24"/>
      <c r="M393" s="24"/>
      <c r="N393" s="121"/>
      <c r="O393" s="118"/>
      <c r="P393" s="81"/>
      <c r="Q393" s="82"/>
      <c r="R393" s="82"/>
      <c r="S393" s="82"/>
      <c r="T393" s="89"/>
      <c r="U393" s="82"/>
      <c r="V393" s="82"/>
      <c r="W393" s="90"/>
      <c r="X393" s="82"/>
      <c r="Y393" s="82"/>
    </row>
    <row r="394" spans="1:25" x14ac:dyDescent="0.25">
      <c r="A394" s="12"/>
      <c r="B394" s="12"/>
      <c r="C394" s="12"/>
      <c r="D394" s="12"/>
      <c r="E394" s="12"/>
      <c r="F394" s="12"/>
      <c r="G394" s="12"/>
      <c r="H394" s="13"/>
      <c r="I394" s="12"/>
      <c r="J394" s="12"/>
      <c r="K394" s="12"/>
      <c r="L394" s="12"/>
      <c r="M394" s="12"/>
      <c r="N394" s="122"/>
      <c r="O394" s="120"/>
      <c r="P394" s="60"/>
      <c r="Q394" s="61"/>
      <c r="R394" s="61"/>
      <c r="S394" s="61"/>
      <c r="T394" s="91"/>
      <c r="U394" s="61"/>
      <c r="V394" s="61"/>
      <c r="W394" s="92"/>
      <c r="X394" s="61"/>
      <c r="Y394" s="61"/>
    </row>
    <row r="395" spans="1:25" x14ac:dyDescent="0.25">
      <c r="A395" s="24"/>
      <c r="B395" s="24"/>
      <c r="C395" s="24"/>
      <c r="D395" s="24"/>
      <c r="E395" s="24"/>
      <c r="F395" s="24"/>
      <c r="G395" s="24"/>
      <c r="H395" s="25"/>
      <c r="I395" s="24"/>
      <c r="J395" s="24"/>
      <c r="K395" s="24"/>
      <c r="L395" s="24"/>
      <c r="M395" s="24"/>
      <c r="N395" s="121"/>
      <c r="O395" s="118"/>
      <c r="P395" s="81"/>
      <c r="Q395" s="82"/>
      <c r="R395" s="82"/>
      <c r="S395" s="82"/>
      <c r="T395" s="89"/>
      <c r="U395" s="82"/>
      <c r="V395" s="82"/>
      <c r="W395" s="90"/>
      <c r="X395" s="82"/>
      <c r="Y395" s="82"/>
    </row>
    <row r="396" spans="1:25" x14ac:dyDescent="0.25">
      <c r="A396" s="12"/>
      <c r="B396" s="12"/>
      <c r="C396" s="12"/>
      <c r="D396" s="12"/>
      <c r="E396" s="12"/>
      <c r="F396" s="12"/>
      <c r="G396" s="12"/>
      <c r="H396" s="13"/>
      <c r="I396" s="12"/>
      <c r="J396" s="12"/>
      <c r="K396" s="12"/>
      <c r="L396" s="12"/>
      <c r="M396" s="12"/>
      <c r="N396" s="122"/>
      <c r="O396" s="120"/>
      <c r="P396" s="60"/>
      <c r="Q396" s="61"/>
      <c r="R396" s="61"/>
      <c r="S396" s="61"/>
      <c r="T396" s="91"/>
      <c r="U396" s="61"/>
      <c r="V396" s="61"/>
      <c r="W396" s="92"/>
      <c r="X396" s="61"/>
      <c r="Y396" s="61"/>
    </row>
    <row r="397" spans="1:25" x14ac:dyDescent="0.25">
      <c r="A397" s="24"/>
      <c r="B397" s="24"/>
      <c r="C397" s="24"/>
      <c r="D397" s="24"/>
      <c r="E397" s="24"/>
      <c r="F397" s="24"/>
      <c r="G397" s="24"/>
      <c r="H397" s="25"/>
      <c r="I397" s="24"/>
      <c r="J397" s="24"/>
      <c r="K397" s="24"/>
      <c r="L397" s="24"/>
      <c r="M397" s="24"/>
      <c r="N397" s="121"/>
      <c r="O397" s="118"/>
      <c r="P397" s="81"/>
      <c r="Q397" s="82"/>
      <c r="R397" s="82"/>
      <c r="S397" s="82"/>
      <c r="T397" s="89"/>
      <c r="U397" s="82"/>
      <c r="V397" s="82"/>
      <c r="W397" s="90"/>
      <c r="X397" s="82"/>
      <c r="Y397" s="82"/>
    </row>
    <row r="398" spans="1:25" x14ac:dyDescent="0.25">
      <c r="A398" s="12"/>
      <c r="B398" s="12"/>
      <c r="C398" s="12"/>
      <c r="D398" s="12"/>
      <c r="E398" s="12"/>
      <c r="F398" s="12"/>
      <c r="G398" s="12"/>
      <c r="H398" s="13"/>
      <c r="I398" s="12"/>
      <c r="J398" s="12"/>
      <c r="K398" s="12"/>
      <c r="L398" s="12"/>
      <c r="M398" s="12"/>
      <c r="N398" s="122"/>
      <c r="O398" s="120"/>
      <c r="P398" s="60"/>
      <c r="Q398" s="61"/>
      <c r="R398" s="61"/>
      <c r="S398" s="61"/>
      <c r="T398" s="91"/>
      <c r="U398" s="61"/>
      <c r="V398" s="61"/>
      <c r="W398" s="92"/>
      <c r="X398" s="61"/>
      <c r="Y398" s="61"/>
    </row>
    <row r="399" spans="1:25" x14ac:dyDescent="0.25">
      <c r="A399" s="24"/>
      <c r="B399" s="24"/>
      <c r="C399" s="24"/>
      <c r="D399" s="24"/>
      <c r="E399" s="24"/>
      <c r="F399" s="24"/>
      <c r="G399" s="24"/>
      <c r="H399" s="25"/>
      <c r="I399" s="24"/>
      <c r="J399" s="24"/>
      <c r="K399" s="24"/>
      <c r="L399" s="24"/>
      <c r="M399" s="24"/>
      <c r="N399" s="121"/>
      <c r="O399" s="118"/>
      <c r="P399" s="81"/>
      <c r="Q399" s="82"/>
      <c r="R399" s="82"/>
      <c r="S399" s="82"/>
      <c r="T399" s="89"/>
      <c r="U399" s="82"/>
      <c r="V399" s="82"/>
      <c r="W399" s="90"/>
      <c r="X399" s="82"/>
      <c r="Y399" s="82"/>
    </row>
    <row r="400" spans="1:25" x14ac:dyDescent="0.25">
      <c r="A400" s="12"/>
      <c r="B400" s="12"/>
      <c r="C400" s="12"/>
      <c r="D400" s="12"/>
      <c r="E400" s="12"/>
      <c r="F400" s="12"/>
      <c r="G400" s="12"/>
      <c r="H400" s="13"/>
      <c r="I400" s="12"/>
      <c r="J400" s="12"/>
      <c r="K400" s="12"/>
      <c r="L400" s="12"/>
      <c r="M400" s="12"/>
      <c r="N400" s="122"/>
      <c r="O400" s="120"/>
      <c r="P400" s="60"/>
      <c r="Q400" s="61"/>
      <c r="R400" s="61"/>
      <c r="S400" s="61"/>
      <c r="T400" s="91"/>
      <c r="U400" s="61"/>
      <c r="V400" s="61"/>
      <c r="W400" s="92"/>
      <c r="X400" s="61"/>
      <c r="Y400" s="61"/>
    </row>
    <row r="401" spans="1:25" x14ac:dyDescent="0.25">
      <c r="N401" s="121"/>
      <c r="O401" s="118"/>
      <c r="P401" s="81"/>
      <c r="Q401" s="82"/>
      <c r="R401" s="82"/>
      <c r="S401" s="82"/>
      <c r="T401" s="89"/>
      <c r="U401" s="82"/>
      <c r="V401" s="82"/>
      <c r="W401" s="90"/>
      <c r="X401" s="82"/>
      <c r="Y401" s="82"/>
    </row>
    <row r="402" spans="1:25" x14ac:dyDescent="0.25">
      <c r="A402" s="12"/>
      <c r="B402" s="12"/>
      <c r="C402" s="12"/>
      <c r="D402" s="12"/>
      <c r="E402" s="12"/>
      <c r="F402" s="12"/>
      <c r="G402" s="12"/>
      <c r="H402" s="13"/>
      <c r="I402" s="12"/>
      <c r="J402" s="12"/>
      <c r="K402" s="12"/>
      <c r="L402" s="12"/>
      <c r="M402" s="12"/>
      <c r="N402" s="122"/>
      <c r="O402" s="120"/>
      <c r="P402" s="60"/>
      <c r="Q402" s="61"/>
      <c r="R402" s="61"/>
      <c r="S402" s="61"/>
      <c r="T402" s="91"/>
      <c r="U402" s="61"/>
      <c r="V402" s="61"/>
      <c r="W402" s="92"/>
      <c r="X402" s="61"/>
      <c r="Y402" s="61"/>
    </row>
    <row r="403" spans="1:25" x14ac:dyDescent="0.25">
      <c r="A403" s="24"/>
      <c r="B403" s="24"/>
      <c r="C403" s="24"/>
      <c r="D403" s="24"/>
      <c r="E403" s="24"/>
      <c r="F403" s="24"/>
      <c r="G403" s="24"/>
      <c r="H403" s="25"/>
      <c r="I403" s="24"/>
      <c r="J403" s="24"/>
      <c r="K403" s="24"/>
      <c r="L403" s="24"/>
      <c r="M403" s="24"/>
      <c r="N403" s="121"/>
      <c r="O403" s="118"/>
      <c r="P403" s="81"/>
      <c r="Q403" s="82"/>
      <c r="R403" s="82"/>
      <c r="S403" s="82"/>
      <c r="T403" s="89"/>
      <c r="U403" s="82"/>
      <c r="V403" s="82"/>
      <c r="W403" s="90"/>
      <c r="X403" s="82"/>
      <c r="Y403" s="82"/>
    </row>
    <row r="404" spans="1:25" x14ac:dyDescent="0.25">
      <c r="A404" s="12"/>
      <c r="B404" s="12"/>
      <c r="C404" s="12"/>
      <c r="D404" s="12"/>
      <c r="E404" s="12"/>
      <c r="F404" s="12"/>
      <c r="G404" s="12"/>
      <c r="H404" s="13"/>
      <c r="I404" s="12"/>
      <c r="J404" s="12"/>
      <c r="K404" s="12"/>
      <c r="L404" s="12"/>
      <c r="M404" s="12"/>
      <c r="N404" s="122"/>
      <c r="O404" s="120"/>
      <c r="P404" s="60"/>
      <c r="Q404" s="61"/>
      <c r="R404" s="61"/>
      <c r="S404" s="61"/>
      <c r="T404" s="91"/>
      <c r="U404" s="61"/>
      <c r="V404" s="61"/>
      <c r="W404" s="92"/>
      <c r="X404" s="61"/>
      <c r="Y404" s="61"/>
    </row>
    <row r="405" spans="1:25" x14ac:dyDescent="0.25">
      <c r="A405" s="24"/>
      <c r="B405" s="24"/>
      <c r="C405" s="24"/>
      <c r="D405" s="24"/>
      <c r="E405" s="24"/>
      <c r="F405" s="24"/>
      <c r="G405" s="24"/>
      <c r="H405" s="25"/>
      <c r="I405" s="24"/>
      <c r="J405" s="24"/>
      <c r="K405" s="24"/>
      <c r="L405" s="24"/>
      <c r="M405" s="24"/>
      <c r="N405" s="121"/>
      <c r="O405" s="118"/>
      <c r="P405" s="81"/>
      <c r="Q405" s="82"/>
      <c r="R405" s="82"/>
      <c r="S405" s="82"/>
      <c r="T405" s="89"/>
      <c r="U405" s="82"/>
      <c r="V405" s="82"/>
      <c r="W405" s="90"/>
      <c r="X405" s="82"/>
      <c r="Y405" s="82"/>
    </row>
    <row r="406" spans="1:25" x14ac:dyDescent="0.25">
      <c r="A406" s="12"/>
      <c r="B406" s="12"/>
      <c r="C406" s="12"/>
      <c r="D406" s="12"/>
      <c r="E406" s="12"/>
      <c r="F406" s="12"/>
      <c r="G406" s="12"/>
      <c r="H406" s="13"/>
      <c r="I406" s="12"/>
      <c r="J406" s="12"/>
      <c r="K406" s="12"/>
      <c r="L406" s="12"/>
      <c r="M406" s="12"/>
      <c r="N406" s="122"/>
      <c r="O406" s="120"/>
      <c r="P406" s="60"/>
      <c r="Q406" s="61"/>
      <c r="R406" s="61"/>
      <c r="S406" s="61"/>
      <c r="T406" s="91"/>
      <c r="U406" s="61"/>
      <c r="V406" s="61"/>
      <c r="W406" s="92"/>
      <c r="X406" s="61"/>
      <c r="Y406" s="61"/>
    </row>
    <row r="407" spans="1:25" x14ac:dyDescent="0.25">
      <c r="A407" s="24"/>
      <c r="B407" s="24"/>
      <c r="C407" s="24"/>
      <c r="D407" s="24"/>
      <c r="E407" s="24"/>
      <c r="F407" s="24"/>
      <c r="G407" s="24"/>
      <c r="H407" s="25"/>
      <c r="I407" s="24"/>
      <c r="J407" s="24"/>
      <c r="K407" s="24"/>
      <c r="L407" s="24"/>
      <c r="M407" s="24"/>
      <c r="N407" s="121"/>
      <c r="O407" s="118"/>
      <c r="P407" s="81"/>
      <c r="Q407" s="82"/>
      <c r="R407" s="82"/>
      <c r="S407" s="82"/>
      <c r="T407" s="89"/>
      <c r="U407" s="82"/>
      <c r="V407" s="82"/>
      <c r="W407" s="90"/>
      <c r="X407" s="82"/>
      <c r="Y407" s="82"/>
    </row>
    <row r="408" spans="1:25" x14ac:dyDescent="0.25">
      <c r="A408" s="12"/>
      <c r="B408" s="12"/>
      <c r="C408" s="12"/>
      <c r="D408" s="12"/>
      <c r="E408" s="12"/>
      <c r="F408" s="12"/>
      <c r="G408" s="12"/>
      <c r="H408" s="13"/>
      <c r="I408" s="12"/>
      <c r="J408" s="12"/>
      <c r="K408" s="12"/>
      <c r="L408" s="12"/>
      <c r="M408" s="12"/>
      <c r="N408" s="123"/>
      <c r="O408" s="124"/>
      <c r="P408" s="109"/>
      <c r="Q408" s="110"/>
      <c r="R408" s="111"/>
      <c r="S408" s="111"/>
      <c r="T408" s="112"/>
      <c r="U408" s="113"/>
      <c r="V408" s="114"/>
      <c r="W408" s="114"/>
      <c r="X408" s="114"/>
      <c r="Y408" s="114"/>
    </row>
    <row r="409" spans="1:25" x14ac:dyDescent="0.25">
      <c r="A409" s="12"/>
      <c r="B409" s="12"/>
      <c r="C409" s="12"/>
      <c r="D409" s="12"/>
      <c r="E409" s="12"/>
      <c r="F409" s="12"/>
      <c r="G409" s="12"/>
      <c r="H409" s="13"/>
      <c r="I409" s="12"/>
      <c r="J409" s="12"/>
      <c r="K409" s="12"/>
      <c r="L409" s="12"/>
      <c r="M409" s="12"/>
      <c r="N409" s="121"/>
      <c r="O409" s="118"/>
      <c r="P409" s="81"/>
      <c r="Q409" s="82"/>
      <c r="R409" s="82"/>
      <c r="S409" s="82"/>
      <c r="T409" s="89"/>
      <c r="U409" s="82"/>
      <c r="V409" s="82"/>
      <c r="W409" s="90"/>
      <c r="X409" s="82"/>
      <c r="Y409" s="82"/>
    </row>
    <row r="410" spans="1:25" x14ac:dyDescent="0.25">
      <c r="A410" s="24"/>
      <c r="B410" s="24"/>
      <c r="C410" s="24"/>
      <c r="D410" s="24"/>
      <c r="E410" s="24"/>
      <c r="F410" s="24"/>
      <c r="G410" s="24"/>
      <c r="H410" s="25"/>
      <c r="I410" s="24"/>
      <c r="J410" s="24"/>
      <c r="K410" s="24"/>
      <c r="L410" s="24"/>
      <c r="M410" s="24"/>
      <c r="N410" s="122"/>
      <c r="O410" s="120"/>
      <c r="P410" s="60"/>
      <c r="Q410" s="61"/>
      <c r="R410" s="61"/>
      <c r="S410" s="61"/>
      <c r="T410" s="91"/>
      <c r="U410" s="61"/>
      <c r="V410" s="61"/>
      <c r="W410" s="92"/>
      <c r="X410" s="61"/>
      <c r="Y410" s="61"/>
    </row>
    <row r="411" spans="1:25" x14ac:dyDescent="0.25">
      <c r="A411" s="12"/>
      <c r="B411" s="12"/>
      <c r="C411" s="12"/>
      <c r="D411" s="12"/>
      <c r="E411" s="12"/>
      <c r="F411" s="12"/>
      <c r="G411" s="12"/>
      <c r="H411" s="13"/>
      <c r="I411" s="12"/>
      <c r="J411" s="12"/>
      <c r="K411" s="12"/>
      <c r="L411" s="12"/>
      <c r="M411" s="12"/>
      <c r="N411" s="121"/>
      <c r="O411" s="118"/>
      <c r="P411" s="81"/>
      <c r="Q411" s="82"/>
      <c r="R411" s="82"/>
      <c r="S411" s="82"/>
      <c r="T411" s="89"/>
      <c r="U411" s="82"/>
      <c r="V411" s="82"/>
      <c r="W411" s="90"/>
      <c r="X411" s="82"/>
      <c r="Y411" s="82"/>
    </row>
    <row r="412" spans="1:25" x14ac:dyDescent="0.25">
      <c r="A412" s="24"/>
      <c r="B412" s="24"/>
      <c r="C412" s="24"/>
      <c r="D412" s="24"/>
      <c r="E412" s="24"/>
      <c r="F412" s="24"/>
      <c r="G412" s="24"/>
      <c r="H412" s="25"/>
      <c r="I412" s="24"/>
      <c r="J412" s="24"/>
      <c r="K412" s="24"/>
      <c r="L412" s="24"/>
      <c r="M412" s="24"/>
      <c r="N412" s="122"/>
      <c r="O412" s="120"/>
      <c r="P412" s="60"/>
      <c r="Q412" s="61"/>
      <c r="R412" s="61"/>
      <c r="S412" s="61"/>
      <c r="T412" s="91"/>
      <c r="U412" s="61"/>
      <c r="V412" s="61"/>
      <c r="W412" s="92"/>
      <c r="X412" s="61"/>
      <c r="Y412" s="61"/>
    </row>
    <row r="413" spans="1:25" x14ac:dyDescent="0.25">
      <c r="A413" s="12"/>
      <c r="B413" s="12"/>
      <c r="C413" s="12"/>
      <c r="D413" s="12"/>
      <c r="E413" s="12"/>
      <c r="F413" s="12"/>
      <c r="G413" s="12"/>
      <c r="H413" s="13"/>
      <c r="I413" s="12"/>
      <c r="J413" s="12"/>
      <c r="K413" s="12"/>
      <c r="L413" s="12"/>
      <c r="M413" s="12"/>
      <c r="N413" s="121"/>
      <c r="O413" s="118"/>
      <c r="P413" s="81"/>
      <c r="Q413" s="82"/>
      <c r="R413" s="82"/>
      <c r="S413" s="82"/>
      <c r="T413" s="89"/>
      <c r="U413" s="82"/>
      <c r="V413" s="82"/>
      <c r="W413" s="90"/>
      <c r="X413" s="82"/>
      <c r="Y413" s="82"/>
    </row>
    <row r="414" spans="1:25" x14ac:dyDescent="0.25">
      <c r="A414" s="24"/>
      <c r="B414" s="24"/>
      <c r="C414" s="24"/>
      <c r="D414" s="24"/>
      <c r="E414" s="24"/>
      <c r="F414" s="24"/>
      <c r="G414" s="24"/>
      <c r="H414" s="25"/>
      <c r="I414" s="24"/>
      <c r="J414" s="24"/>
      <c r="K414" s="24"/>
      <c r="L414" s="24"/>
      <c r="M414" s="24"/>
      <c r="N414" s="122"/>
      <c r="O414" s="120"/>
      <c r="P414" s="60"/>
      <c r="Q414" s="61"/>
      <c r="R414" s="61"/>
      <c r="S414" s="61"/>
      <c r="T414" s="91"/>
      <c r="U414" s="61"/>
      <c r="V414" s="61"/>
      <c r="W414" s="92"/>
      <c r="X414" s="61"/>
      <c r="Y414" s="61"/>
    </row>
    <row r="415" spans="1:25" x14ac:dyDescent="0.25">
      <c r="A415" s="12"/>
      <c r="B415" s="12"/>
      <c r="C415" s="12"/>
      <c r="D415" s="12"/>
      <c r="E415" s="12"/>
      <c r="F415" s="12"/>
      <c r="G415" s="12"/>
      <c r="H415" s="13"/>
      <c r="I415" s="12"/>
      <c r="J415" s="12"/>
      <c r="K415" s="12"/>
      <c r="L415" s="12"/>
      <c r="M415" s="12"/>
      <c r="N415" s="121"/>
      <c r="O415" s="118"/>
      <c r="P415" s="81"/>
      <c r="Q415" s="82"/>
      <c r="R415" s="82"/>
      <c r="S415" s="82"/>
      <c r="T415" s="89"/>
      <c r="U415" s="82"/>
      <c r="V415" s="82"/>
      <c r="W415" s="90"/>
      <c r="X415" s="82"/>
      <c r="Y415" s="82"/>
    </row>
    <row r="416" spans="1:25" x14ac:dyDescent="0.25">
      <c r="A416" s="24"/>
      <c r="B416" s="24"/>
      <c r="C416" s="24"/>
      <c r="D416" s="24"/>
      <c r="E416" s="24"/>
      <c r="F416" s="24"/>
      <c r="G416" s="24"/>
      <c r="H416" s="25"/>
      <c r="I416" s="24"/>
      <c r="J416" s="24"/>
      <c r="K416" s="24"/>
      <c r="L416" s="24"/>
      <c r="M416" s="24"/>
      <c r="N416" s="122"/>
      <c r="O416" s="120"/>
      <c r="P416" s="60"/>
      <c r="Q416" s="61"/>
      <c r="R416" s="61"/>
      <c r="S416" s="61"/>
      <c r="T416" s="91"/>
      <c r="U416" s="61"/>
      <c r="V416" s="61"/>
      <c r="W416" s="92"/>
      <c r="X416" s="61"/>
      <c r="Y416" s="61"/>
    </row>
    <row r="417" spans="1:25" x14ac:dyDescent="0.25">
      <c r="A417" s="12"/>
      <c r="B417" s="12"/>
      <c r="C417" s="12"/>
      <c r="D417" s="12"/>
      <c r="E417" s="12"/>
      <c r="F417" s="12"/>
      <c r="G417" s="12"/>
      <c r="H417" s="13"/>
      <c r="I417" s="12"/>
      <c r="J417" s="12"/>
      <c r="K417" s="12"/>
      <c r="L417" s="12"/>
      <c r="M417" s="12"/>
      <c r="N417" s="121"/>
      <c r="O417" s="118"/>
      <c r="P417" s="81"/>
      <c r="Q417" s="82"/>
      <c r="R417" s="82"/>
      <c r="S417" s="82"/>
      <c r="T417" s="89"/>
      <c r="U417" s="82"/>
      <c r="V417" s="82"/>
      <c r="W417" s="90"/>
      <c r="X417" s="82"/>
      <c r="Y417" s="82"/>
    </row>
    <row r="418" spans="1:25" x14ac:dyDescent="0.25">
      <c r="N418" s="122"/>
      <c r="O418" s="120"/>
      <c r="P418" s="60"/>
      <c r="Q418" s="61"/>
      <c r="R418" s="61"/>
      <c r="S418" s="61"/>
      <c r="T418" s="91"/>
      <c r="U418" s="61"/>
      <c r="V418" s="61"/>
      <c r="W418" s="92"/>
      <c r="X418" s="61"/>
      <c r="Y418" s="61"/>
    </row>
    <row r="419" spans="1:25" x14ac:dyDescent="0.25">
      <c r="A419" s="12"/>
      <c r="B419" s="12"/>
      <c r="C419" s="12"/>
      <c r="D419" s="12"/>
      <c r="E419" s="12"/>
      <c r="F419" s="12"/>
      <c r="G419" s="12"/>
      <c r="H419" s="13"/>
      <c r="I419" s="12"/>
      <c r="J419" s="12"/>
      <c r="K419" s="12"/>
      <c r="L419" s="12"/>
      <c r="M419" s="12"/>
      <c r="N419" s="121"/>
      <c r="O419" s="118"/>
      <c r="P419" s="81"/>
      <c r="Q419" s="82"/>
      <c r="R419" s="82"/>
      <c r="S419" s="82"/>
      <c r="T419" s="89"/>
      <c r="U419" s="82"/>
      <c r="V419" s="82"/>
      <c r="W419" s="90"/>
      <c r="X419" s="82"/>
      <c r="Y419" s="82"/>
    </row>
    <row r="420" spans="1:25" x14ac:dyDescent="0.25">
      <c r="A420" s="24"/>
      <c r="B420" s="24"/>
      <c r="C420" s="24"/>
      <c r="D420" s="24"/>
      <c r="E420" s="24"/>
      <c r="F420" s="24"/>
      <c r="G420" s="24"/>
      <c r="H420" s="25"/>
      <c r="I420" s="24"/>
      <c r="J420" s="24"/>
      <c r="K420" s="24"/>
      <c r="L420" s="24"/>
      <c r="M420" s="24"/>
      <c r="N420" s="122"/>
      <c r="O420" s="120"/>
      <c r="P420" s="60"/>
      <c r="Q420" s="61"/>
      <c r="R420" s="61"/>
      <c r="S420" s="61"/>
      <c r="T420" s="91"/>
      <c r="U420" s="61"/>
      <c r="V420" s="61"/>
      <c r="W420" s="92"/>
      <c r="X420" s="61"/>
      <c r="Y420" s="61"/>
    </row>
    <row r="421" spans="1:25" x14ac:dyDescent="0.25">
      <c r="A421" s="12"/>
      <c r="B421" s="12"/>
      <c r="C421" s="12"/>
      <c r="D421" s="12"/>
      <c r="E421" s="12"/>
      <c r="F421" s="12"/>
      <c r="G421" s="12"/>
      <c r="H421" s="13"/>
      <c r="I421" s="12"/>
      <c r="J421" s="12"/>
      <c r="K421" s="12"/>
      <c r="L421" s="12"/>
      <c r="M421" s="12"/>
      <c r="N421" s="121"/>
      <c r="O421" s="118"/>
      <c r="P421" s="81"/>
      <c r="Q421" s="82"/>
      <c r="R421" s="82"/>
      <c r="S421" s="82"/>
      <c r="T421" s="89"/>
      <c r="U421" s="82"/>
      <c r="V421" s="82"/>
      <c r="W421" s="90"/>
      <c r="X421" s="82"/>
      <c r="Y421" s="82"/>
    </row>
    <row r="422" spans="1:25" x14ac:dyDescent="0.25">
      <c r="A422" s="24"/>
      <c r="B422" s="24"/>
      <c r="C422" s="24"/>
      <c r="D422" s="24"/>
      <c r="E422" s="24"/>
      <c r="F422" s="24"/>
      <c r="G422" s="24"/>
      <c r="H422" s="25"/>
      <c r="I422" s="24"/>
      <c r="J422" s="24"/>
      <c r="K422" s="24"/>
      <c r="L422" s="24"/>
      <c r="M422" s="24"/>
      <c r="N422" s="122"/>
      <c r="O422" s="120"/>
      <c r="P422" s="60"/>
      <c r="Q422" s="61"/>
      <c r="R422" s="61"/>
      <c r="S422" s="61"/>
      <c r="T422" s="91"/>
      <c r="U422" s="61"/>
      <c r="V422" s="61"/>
      <c r="W422" s="92"/>
      <c r="X422" s="61"/>
      <c r="Y422" s="61"/>
    </row>
    <row r="423" spans="1:25" x14ac:dyDescent="0.25">
      <c r="A423" s="12"/>
      <c r="B423" s="12"/>
      <c r="C423" s="12"/>
      <c r="D423" s="12"/>
      <c r="E423" s="12"/>
      <c r="F423" s="12"/>
      <c r="G423" s="12"/>
      <c r="H423" s="13"/>
      <c r="I423" s="12"/>
      <c r="J423" s="12"/>
      <c r="K423" s="12"/>
      <c r="L423" s="12"/>
      <c r="M423" s="12"/>
      <c r="N423" s="121"/>
      <c r="O423" s="118"/>
      <c r="P423" s="81"/>
      <c r="Q423" s="82"/>
      <c r="R423" s="82"/>
      <c r="S423" s="82"/>
      <c r="T423" s="89"/>
      <c r="U423" s="82"/>
      <c r="V423" s="82"/>
      <c r="W423" s="90"/>
      <c r="X423" s="82"/>
      <c r="Y423" s="82"/>
    </row>
    <row r="424" spans="1:25" x14ac:dyDescent="0.25">
      <c r="A424" s="24"/>
      <c r="B424" s="24"/>
      <c r="C424" s="24"/>
      <c r="D424" s="24"/>
      <c r="E424" s="24"/>
      <c r="F424" s="24"/>
      <c r="G424" s="24"/>
      <c r="H424" s="25"/>
      <c r="I424" s="24"/>
      <c r="J424" s="24"/>
      <c r="K424" s="24"/>
      <c r="L424" s="24"/>
      <c r="M424" s="24"/>
      <c r="N424" s="123"/>
      <c r="O424" s="124"/>
      <c r="P424" s="109"/>
      <c r="Q424" s="110"/>
      <c r="R424" s="111"/>
      <c r="S424" s="111"/>
      <c r="T424" s="112"/>
      <c r="U424" s="113"/>
      <c r="V424" s="114"/>
      <c r="W424" s="114"/>
      <c r="X424" s="114"/>
      <c r="Y424" s="114"/>
    </row>
    <row r="425" spans="1:25" x14ac:dyDescent="0.25">
      <c r="A425" s="12"/>
      <c r="B425" s="12"/>
      <c r="C425" s="12"/>
      <c r="D425" s="12"/>
      <c r="E425" s="12"/>
      <c r="F425" s="12"/>
      <c r="G425" s="12"/>
      <c r="H425" s="13"/>
      <c r="I425" s="12"/>
      <c r="J425" s="12"/>
      <c r="K425" s="12"/>
      <c r="L425" s="12"/>
      <c r="M425" s="12"/>
      <c r="N425" s="121"/>
      <c r="O425" s="118"/>
      <c r="P425" s="81"/>
      <c r="Q425" s="82"/>
      <c r="R425" s="82"/>
      <c r="S425" s="82"/>
      <c r="T425" s="89"/>
      <c r="U425" s="82"/>
      <c r="V425" s="82"/>
      <c r="W425" s="90"/>
      <c r="X425" s="82"/>
      <c r="Y425" s="82"/>
    </row>
    <row r="426" spans="1:25" x14ac:dyDescent="0.25">
      <c r="A426" s="12"/>
      <c r="B426" s="12"/>
      <c r="C426" s="12"/>
      <c r="D426" s="12"/>
      <c r="E426" s="12"/>
      <c r="F426" s="12"/>
      <c r="G426" s="12"/>
      <c r="H426" s="13"/>
      <c r="I426" s="12"/>
      <c r="J426" s="12"/>
      <c r="K426" s="12"/>
      <c r="L426" s="12"/>
      <c r="M426" s="12"/>
      <c r="N426" s="122"/>
      <c r="O426" s="120"/>
      <c r="P426" s="60"/>
      <c r="Q426" s="61"/>
      <c r="R426" s="61"/>
      <c r="S426" s="61"/>
      <c r="T426" s="91"/>
      <c r="U426" s="61"/>
      <c r="V426" s="61"/>
      <c r="W426" s="92"/>
      <c r="X426" s="61"/>
      <c r="Y426" s="61"/>
    </row>
    <row r="427" spans="1:25" x14ac:dyDescent="0.25">
      <c r="A427" s="24"/>
      <c r="B427" s="24"/>
      <c r="C427" s="24"/>
      <c r="D427" s="24"/>
      <c r="E427" s="24"/>
      <c r="F427" s="24"/>
      <c r="G427" s="24"/>
      <c r="H427" s="25"/>
      <c r="I427" s="24"/>
      <c r="J427" s="24"/>
      <c r="K427" s="24"/>
      <c r="L427" s="24"/>
      <c r="M427" s="24"/>
      <c r="N427" s="121"/>
      <c r="O427" s="118"/>
      <c r="P427" s="81"/>
      <c r="Q427" s="82"/>
      <c r="R427" s="82"/>
      <c r="S427" s="82"/>
      <c r="T427" s="89"/>
      <c r="U427" s="82"/>
      <c r="V427" s="82"/>
      <c r="W427" s="90"/>
      <c r="X427" s="82"/>
      <c r="Y427" s="82"/>
    </row>
    <row r="428" spans="1:25" x14ac:dyDescent="0.25">
      <c r="A428" s="12"/>
      <c r="B428" s="12"/>
      <c r="C428" s="12"/>
      <c r="D428" s="12"/>
      <c r="E428" s="12"/>
      <c r="F428" s="12"/>
      <c r="G428" s="12"/>
      <c r="H428" s="13"/>
      <c r="I428" s="12"/>
      <c r="J428" s="12"/>
      <c r="K428" s="12"/>
      <c r="L428" s="12"/>
      <c r="M428" s="12"/>
      <c r="N428" s="122"/>
      <c r="O428" s="120"/>
      <c r="P428" s="60"/>
      <c r="Q428" s="61"/>
      <c r="R428" s="61"/>
      <c r="S428" s="61"/>
      <c r="T428" s="91"/>
      <c r="U428" s="61"/>
      <c r="V428" s="61"/>
      <c r="W428" s="92"/>
      <c r="X428" s="61"/>
      <c r="Y428" s="61"/>
    </row>
    <row r="429" spans="1:25" x14ac:dyDescent="0.25">
      <c r="A429" s="24"/>
      <c r="B429" s="24"/>
      <c r="C429" s="24"/>
      <c r="D429" s="24"/>
      <c r="E429" s="24"/>
      <c r="F429" s="24"/>
      <c r="G429" s="24"/>
      <c r="H429" s="25"/>
      <c r="I429" s="24"/>
      <c r="J429" s="24"/>
      <c r="K429" s="24"/>
      <c r="L429" s="24"/>
      <c r="M429" s="24"/>
      <c r="N429" s="121"/>
      <c r="O429" s="118"/>
      <c r="P429" s="81"/>
      <c r="Q429" s="82"/>
      <c r="R429" s="82"/>
      <c r="S429" s="82"/>
      <c r="T429" s="89"/>
      <c r="U429" s="82"/>
      <c r="V429" s="82"/>
      <c r="W429" s="90"/>
      <c r="X429" s="82"/>
      <c r="Y429" s="82"/>
    </row>
    <row r="430" spans="1:25" x14ac:dyDescent="0.25">
      <c r="A430" s="12"/>
      <c r="B430" s="12"/>
      <c r="C430" s="12"/>
      <c r="D430" s="12"/>
      <c r="E430" s="12"/>
      <c r="F430" s="12"/>
      <c r="G430" s="12"/>
      <c r="H430" s="13"/>
      <c r="I430" s="12"/>
      <c r="J430" s="12"/>
      <c r="K430" s="12"/>
      <c r="L430" s="12"/>
      <c r="M430" s="12"/>
      <c r="N430" s="122"/>
      <c r="O430" s="120"/>
      <c r="P430" s="60"/>
      <c r="Q430" s="61"/>
      <c r="R430" s="61"/>
      <c r="S430" s="61"/>
      <c r="T430" s="91"/>
      <c r="U430" s="61"/>
      <c r="V430" s="61"/>
      <c r="W430" s="92"/>
      <c r="X430" s="61"/>
      <c r="Y430" s="61"/>
    </row>
    <row r="431" spans="1:25" x14ac:dyDescent="0.25">
      <c r="A431" s="24"/>
      <c r="B431" s="24"/>
      <c r="C431" s="24"/>
      <c r="D431" s="24"/>
      <c r="E431" s="24"/>
      <c r="F431" s="24"/>
      <c r="G431" s="24"/>
      <c r="H431" s="25"/>
      <c r="I431" s="24"/>
      <c r="J431" s="24"/>
      <c r="K431" s="24"/>
      <c r="L431" s="24"/>
      <c r="M431" s="24"/>
      <c r="N431" s="121"/>
      <c r="O431" s="118"/>
      <c r="P431" s="81"/>
      <c r="Q431" s="82"/>
      <c r="R431" s="82"/>
      <c r="S431" s="82"/>
      <c r="T431" s="89"/>
      <c r="U431" s="82"/>
      <c r="V431" s="82"/>
      <c r="W431" s="90"/>
      <c r="X431" s="82"/>
      <c r="Y431" s="82"/>
    </row>
    <row r="432" spans="1:25" x14ac:dyDescent="0.25">
      <c r="A432" s="12"/>
      <c r="B432" s="12"/>
      <c r="C432" s="12"/>
      <c r="D432" s="12"/>
      <c r="E432" s="12"/>
      <c r="F432" s="12"/>
      <c r="G432" s="12"/>
      <c r="H432" s="13"/>
      <c r="I432" s="12"/>
      <c r="J432" s="12"/>
      <c r="K432" s="12"/>
      <c r="L432" s="12"/>
      <c r="M432" s="12"/>
      <c r="N432" s="122"/>
      <c r="O432" s="120"/>
      <c r="P432" s="60"/>
      <c r="Q432" s="61"/>
      <c r="R432" s="61"/>
      <c r="S432" s="61"/>
      <c r="T432" s="91"/>
      <c r="U432" s="61"/>
      <c r="V432" s="61"/>
      <c r="W432" s="92"/>
      <c r="X432" s="61"/>
      <c r="Y432" s="61"/>
    </row>
    <row r="433" spans="1:25" x14ac:dyDescent="0.25">
      <c r="A433" s="24"/>
      <c r="B433" s="24"/>
      <c r="C433" s="24"/>
      <c r="D433" s="24"/>
      <c r="E433" s="24"/>
      <c r="F433" s="24"/>
      <c r="G433" s="24"/>
      <c r="H433" s="25"/>
      <c r="I433" s="24"/>
      <c r="J433" s="24"/>
      <c r="K433" s="24"/>
      <c r="L433" s="24"/>
      <c r="M433" s="24"/>
      <c r="N433" s="121"/>
      <c r="O433" s="118"/>
      <c r="P433" s="81"/>
      <c r="Q433" s="82"/>
      <c r="R433" s="82"/>
      <c r="S433" s="82"/>
      <c r="T433" s="89"/>
      <c r="U433" s="82"/>
      <c r="V433" s="82"/>
      <c r="W433" s="90"/>
      <c r="X433" s="82"/>
      <c r="Y433" s="82"/>
    </row>
    <row r="434" spans="1:25" x14ac:dyDescent="0.25">
      <c r="A434" s="12"/>
      <c r="B434" s="12"/>
      <c r="C434" s="12"/>
      <c r="D434" s="12"/>
      <c r="E434" s="12"/>
      <c r="F434" s="12"/>
      <c r="G434" s="12"/>
      <c r="H434" s="13"/>
      <c r="I434" s="12"/>
      <c r="J434" s="12"/>
      <c r="K434" s="12"/>
      <c r="L434" s="12"/>
      <c r="M434" s="12"/>
      <c r="N434" s="122"/>
      <c r="O434" s="120"/>
      <c r="P434" s="60"/>
      <c r="Q434" s="61"/>
      <c r="R434" s="61"/>
      <c r="S434" s="61"/>
      <c r="T434" s="91"/>
      <c r="U434" s="61"/>
      <c r="V434" s="61"/>
      <c r="W434" s="92"/>
      <c r="X434" s="61"/>
      <c r="Y434" s="61"/>
    </row>
    <row r="435" spans="1:25" x14ac:dyDescent="0.25">
      <c r="N435" s="121"/>
      <c r="O435" s="118"/>
      <c r="P435" s="81"/>
      <c r="Q435" s="82"/>
      <c r="R435" s="82"/>
      <c r="S435" s="82"/>
      <c r="T435" s="89"/>
      <c r="U435" s="82"/>
      <c r="V435" s="82"/>
      <c r="W435" s="90"/>
      <c r="X435" s="82"/>
      <c r="Y435" s="82"/>
    </row>
    <row r="436" spans="1:25" x14ac:dyDescent="0.25">
      <c r="A436" s="12"/>
      <c r="B436" s="12"/>
      <c r="C436" s="12"/>
      <c r="D436" s="12"/>
      <c r="E436" s="12"/>
      <c r="F436" s="12"/>
      <c r="G436" s="12"/>
      <c r="H436" s="13"/>
      <c r="I436" s="12"/>
      <c r="J436" s="12"/>
      <c r="K436" s="12"/>
      <c r="L436" s="12"/>
      <c r="M436" s="12"/>
      <c r="N436" s="122"/>
      <c r="O436" s="120"/>
      <c r="P436" s="60"/>
      <c r="Q436" s="61"/>
      <c r="R436" s="61"/>
      <c r="S436" s="61"/>
      <c r="T436" s="91"/>
      <c r="U436" s="61"/>
      <c r="V436" s="61"/>
      <c r="W436" s="92"/>
      <c r="X436" s="61"/>
      <c r="Y436" s="61"/>
    </row>
    <row r="437" spans="1:25" x14ac:dyDescent="0.25">
      <c r="A437" s="24"/>
      <c r="B437" s="24"/>
      <c r="C437" s="24"/>
      <c r="D437" s="24"/>
      <c r="E437" s="24"/>
      <c r="F437" s="24"/>
      <c r="G437" s="24"/>
      <c r="H437" s="25"/>
      <c r="I437" s="24"/>
      <c r="J437" s="24"/>
      <c r="K437" s="24"/>
      <c r="L437" s="24"/>
      <c r="M437" s="24"/>
      <c r="N437" s="121"/>
      <c r="O437" s="118"/>
      <c r="P437" s="81"/>
      <c r="Q437" s="82"/>
      <c r="R437" s="82"/>
      <c r="S437" s="82"/>
      <c r="T437" s="89"/>
      <c r="U437" s="82"/>
      <c r="V437" s="82"/>
      <c r="W437" s="90"/>
      <c r="X437" s="82"/>
      <c r="Y437" s="82"/>
    </row>
    <row r="438" spans="1:25" x14ac:dyDescent="0.25">
      <c r="A438" s="12"/>
      <c r="B438" s="12"/>
      <c r="C438" s="12"/>
      <c r="D438" s="12"/>
      <c r="E438" s="12"/>
      <c r="F438" s="12"/>
      <c r="G438" s="12"/>
      <c r="H438" s="13"/>
      <c r="I438" s="12"/>
      <c r="J438" s="12"/>
      <c r="K438" s="12"/>
      <c r="L438" s="12"/>
      <c r="M438" s="12"/>
      <c r="N438" s="122"/>
      <c r="O438" s="120"/>
      <c r="P438" s="60"/>
      <c r="Q438" s="61"/>
      <c r="R438" s="61"/>
      <c r="S438" s="61"/>
      <c r="T438" s="91"/>
      <c r="U438" s="61"/>
      <c r="V438" s="61"/>
      <c r="W438" s="92"/>
      <c r="X438" s="61"/>
      <c r="Y438" s="61"/>
    </row>
    <row r="439" spans="1:25" x14ac:dyDescent="0.25">
      <c r="A439" s="24"/>
      <c r="B439" s="24"/>
      <c r="C439" s="24"/>
      <c r="D439" s="24"/>
      <c r="E439" s="24"/>
      <c r="F439" s="24"/>
      <c r="G439" s="24"/>
      <c r="H439" s="25"/>
      <c r="I439" s="24"/>
      <c r="J439" s="24"/>
      <c r="K439" s="24"/>
      <c r="L439" s="24"/>
      <c r="M439" s="24"/>
      <c r="N439" s="121"/>
      <c r="O439" s="118"/>
      <c r="P439" s="81"/>
      <c r="Q439" s="82"/>
      <c r="R439" s="82"/>
      <c r="S439" s="82"/>
      <c r="T439" s="89"/>
      <c r="U439" s="82"/>
      <c r="V439" s="82"/>
      <c r="W439" s="90"/>
      <c r="X439" s="82"/>
      <c r="Y439" s="82"/>
    </row>
    <row r="440" spans="1:25" x14ac:dyDescent="0.25">
      <c r="A440" s="12"/>
      <c r="B440" s="12"/>
      <c r="C440" s="12"/>
      <c r="D440" s="12"/>
      <c r="E440" s="12"/>
      <c r="F440" s="12"/>
      <c r="G440" s="12"/>
      <c r="H440" s="13"/>
      <c r="I440" s="12"/>
      <c r="J440" s="12"/>
      <c r="K440" s="12"/>
      <c r="L440" s="12"/>
      <c r="M440" s="12"/>
      <c r="N440" s="123"/>
      <c r="O440" s="124"/>
      <c r="P440" s="109"/>
      <c r="Q440" s="110"/>
      <c r="R440" s="111"/>
      <c r="S440" s="111"/>
      <c r="T440" s="112"/>
      <c r="U440" s="113"/>
      <c r="V440" s="114"/>
      <c r="W440" s="114"/>
      <c r="X440" s="114"/>
      <c r="Y440" s="114"/>
    </row>
    <row r="441" spans="1:25" x14ac:dyDescent="0.25">
      <c r="A441" s="24"/>
      <c r="B441" s="24"/>
      <c r="C441" s="24"/>
      <c r="D441" s="24"/>
      <c r="E441" s="24"/>
      <c r="F441" s="24"/>
      <c r="G441" s="24"/>
      <c r="H441" s="25"/>
      <c r="I441" s="24"/>
      <c r="J441" s="24"/>
      <c r="K441" s="24"/>
      <c r="L441" s="24"/>
      <c r="M441" s="24"/>
      <c r="N441" s="121"/>
      <c r="O441" s="118"/>
      <c r="P441" s="81"/>
      <c r="Q441" s="82"/>
      <c r="R441" s="82"/>
      <c r="S441" s="82"/>
      <c r="T441" s="89"/>
      <c r="U441" s="82"/>
      <c r="V441" s="82"/>
      <c r="W441" s="90"/>
      <c r="X441" s="82"/>
      <c r="Y441" s="82"/>
    </row>
    <row r="442" spans="1:25" x14ac:dyDescent="0.25">
      <c r="A442" s="12"/>
      <c r="B442" s="12"/>
      <c r="C442" s="12"/>
      <c r="D442" s="12"/>
      <c r="E442" s="12"/>
      <c r="F442" s="12"/>
      <c r="G442" s="12"/>
      <c r="H442" s="13"/>
      <c r="I442" s="12"/>
      <c r="J442" s="12"/>
      <c r="K442" s="12"/>
      <c r="L442" s="12"/>
      <c r="M442" s="12"/>
      <c r="N442" s="122"/>
      <c r="O442" s="120"/>
      <c r="P442" s="60"/>
      <c r="Q442" s="61"/>
      <c r="R442" s="61"/>
      <c r="S442" s="61"/>
      <c r="T442" s="91"/>
      <c r="U442" s="61"/>
      <c r="V442" s="61"/>
      <c r="W442" s="92"/>
      <c r="X442" s="61"/>
      <c r="Y442" s="61"/>
    </row>
    <row r="443" spans="1:25" x14ac:dyDescent="0.25">
      <c r="A443" s="12"/>
      <c r="B443" s="12"/>
      <c r="C443" s="12"/>
      <c r="D443" s="12"/>
      <c r="E443" s="12"/>
      <c r="F443" s="12"/>
      <c r="G443" s="12"/>
      <c r="H443" s="13"/>
      <c r="I443" s="12"/>
      <c r="J443" s="12"/>
      <c r="K443" s="12"/>
      <c r="L443" s="12"/>
      <c r="M443" s="12"/>
      <c r="N443" s="121"/>
      <c r="O443" s="118"/>
      <c r="P443" s="81"/>
      <c r="Q443" s="82"/>
      <c r="R443" s="82"/>
      <c r="S443" s="82"/>
      <c r="T443" s="89"/>
      <c r="U443" s="82"/>
      <c r="V443" s="82"/>
      <c r="W443" s="90"/>
      <c r="X443" s="82"/>
      <c r="Y443" s="82"/>
    </row>
    <row r="444" spans="1:25" x14ac:dyDescent="0.25">
      <c r="A444" s="24"/>
      <c r="B444" s="24"/>
      <c r="C444" s="24"/>
      <c r="D444" s="24"/>
      <c r="E444" s="24"/>
      <c r="F444" s="24"/>
      <c r="G444" s="24"/>
      <c r="H444" s="25"/>
      <c r="I444" s="24"/>
      <c r="J444" s="24"/>
      <c r="K444" s="24"/>
      <c r="L444" s="24"/>
      <c r="M444" s="24"/>
      <c r="N444" s="122"/>
      <c r="O444" s="120"/>
      <c r="P444" s="60"/>
      <c r="Q444" s="61"/>
      <c r="R444" s="61"/>
      <c r="S444" s="61"/>
      <c r="T444" s="91"/>
      <c r="U444" s="61"/>
      <c r="V444" s="61"/>
      <c r="W444" s="92"/>
      <c r="X444" s="61"/>
      <c r="Y444" s="61"/>
    </row>
    <row r="445" spans="1:25" x14ac:dyDescent="0.25">
      <c r="A445" s="12"/>
      <c r="B445" s="12"/>
      <c r="C445" s="12"/>
      <c r="D445" s="12"/>
      <c r="E445" s="12"/>
      <c r="F445" s="12"/>
      <c r="G445" s="12"/>
      <c r="H445" s="13"/>
      <c r="I445" s="12"/>
      <c r="J445" s="12"/>
      <c r="K445" s="12"/>
      <c r="L445" s="12"/>
      <c r="M445" s="12"/>
      <c r="N445" s="121"/>
      <c r="O445" s="118"/>
      <c r="P445" s="81"/>
      <c r="Q445" s="82"/>
      <c r="R445" s="82"/>
      <c r="S445" s="82"/>
      <c r="T445" s="89"/>
      <c r="U445" s="82"/>
      <c r="V445" s="82"/>
      <c r="W445" s="90"/>
      <c r="X445" s="82"/>
      <c r="Y445" s="82"/>
    </row>
    <row r="446" spans="1:25" x14ac:dyDescent="0.25">
      <c r="A446" s="24"/>
      <c r="B446" s="24"/>
      <c r="C446" s="24"/>
      <c r="D446" s="24"/>
      <c r="E446" s="24"/>
      <c r="F446" s="24"/>
      <c r="G446" s="24"/>
      <c r="H446" s="25"/>
      <c r="I446" s="24"/>
      <c r="J446" s="24"/>
      <c r="K446" s="24"/>
      <c r="L446" s="24"/>
      <c r="M446" s="24"/>
      <c r="N446" s="122"/>
      <c r="O446" s="120"/>
      <c r="P446" s="60"/>
      <c r="Q446" s="61"/>
      <c r="R446" s="61"/>
      <c r="S446" s="61"/>
      <c r="T446" s="91"/>
      <c r="U446" s="61"/>
      <c r="V446" s="61"/>
      <c r="W446" s="92"/>
      <c r="X446" s="61"/>
      <c r="Y446" s="61"/>
    </row>
    <row r="447" spans="1:25" x14ac:dyDescent="0.25">
      <c r="A447" s="12"/>
      <c r="B447" s="12"/>
      <c r="C447" s="12"/>
      <c r="D447" s="12"/>
      <c r="E447" s="12"/>
      <c r="F447" s="12"/>
      <c r="G447" s="12"/>
      <c r="H447" s="13"/>
      <c r="I447" s="12"/>
      <c r="J447" s="12"/>
      <c r="K447" s="12"/>
      <c r="L447" s="12"/>
      <c r="M447" s="12"/>
      <c r="N447" s="121"/>
      <c r="O447" s="118"/>
      <c r="P447" s="81"/>
      <c r="Q447" s="82"/>
      <c r="R447" s="82"/>
      <c r="S447" s="82"/>
      <c r="T447" s="89"/>
      <c r="U447" s="82"/>
      <c r="V447" s="82"/>
      <c r="W447" s="90"/>
      <c r="X447" s="82"/>
      <c r="Y447" s="82"/>
    </row>
    <row r="448" spans="1:25" x14ac:dyDescent="0.25">
      <c r="A448" s="24"/>
      <c r="B448" s="24"/>
      <c r="C448" s="24"/>
      <c r="D448" s="24"/>
      <c r="E448" s="24"/>
      <c r="F448" s="24"/>
      <c r="G448" s="24"/>
      <c r="H448" s="25"/>
      <c r="I448" s="24"/>
      <c r="J448" s="24"/>
      <c r="K448" s="24"/>
      <c r="L448" s="24"/>
      <c r="M448" s="24"/>
      <c r="N448" s="122"/>
      <c r="O448" s="120"/>
      <c r="P448" s="60"/>
      <c r="Q448" s="61"/>
      <c r="R448" s="61"/>
      <c r="S448" s="61"/>
      <c r="T448" s="91"/>
      <c r="U448" s="61"/>
      <c r="V448" s="61"/>
      <c r="W448" s="92"/>
      <c r="X448" s="61"/>
      <c r="Y448" s="61"/>
    </row>
    <row r="449" spans="1:25" x14ac:dyDescent="0.25">
      <c r="A449" s="12"/>
      <c r="B449" s="12"/>
      <c r="C449" s="12"/>
      <c r="D449" s="12"/>
      <c r="E449" s="12"/>
      <c r="F449" s="12"/>
      <c r="G449" s="12"/>
      <c r="H449" s="13"/>
      <c r="I449" s="12"/>
      <c r="J449" s="12"/>
      <c r="K449" s="12"/>
      <c r="L449" s="12"/>
      <c r="M449" s="12"/>
      <c r="N449" s="121"/>
      <c r="O449" s="118"/>
      <c r="P449" s="81"/>
      <c r="Q449" s="82"/>
      <c r="R449" s="82"/>
      <c r="S449" s="82"/>
      <c r="T449" s="89"/>
      <c r="U449" s="82"/>
      <c r="V449" s="82"/>
      <c r="W449" s="90"/>
      <c r="X449" s="82"/>
      <c r="Y449" s="82"/>
    </row>
    <row r="450" spans="1:25" x14ac:dyDescent="0.25">
      <c r="A450" s="24"/>
      <c r="B450" s="24"/>
      <c r="C450" s="24"/>
      <c r="D450" s="24"/>
      <c r="E450" s="24"/>
      <c r="F450" s="24"/>
      <c r="G450" s="24"/>
      <c r="H450" s="25"/>
      <c r="I450" s="24"/>
      <c r="J450" s="24"/>
      <c r="K450" s="24"/>
      <c r="L450" s="24"/>
      <c r="M450" s="24"/>
      <c r="N450" s="122"/>
      <c r="O450" s="120"/>
      <c r="P450" s="60"/>
      <c r="Q450" s="61"/>
      <c r="R450" s="61"/>
      <c r="S450" s="61"/>
      <c r="T450" s="91"/>
      <c r="U450" s="61"/>
      <c r="V450" s="61"/>
      <c r="W450" s="92"/>
      <c r="X450" s="61"/>
      <c r="Y450" s="61"/>
    </row>
    <row r="451" spans="1:25" x14ac:dyDescent="0.25">
      <c r="A451" s="12"/>
      <c r="B451" s="12"/>
      <c r="C451" s="12"/>
      <c r="D451" s="12"/>
      <c r="E451" s="12"/>
      <c r="F451" s="12"/>
      <c r="G451" s="12"/>
      <c r="H451" s="13"/>
      <c r="I451" s="12"/>
      <c r="J451" s="12"/>
      <c r="K451" s="12"/>
      <c r="L451" s="12"/>
      <c r="M451" s="12"/>
      <c r="N451" s="121"/>
      <c r="O451" s="118"/>
      <c r="P451" s="81"/>
      <c r="Q451" s="82"/>
      <c r="R451" s="82"/>
      <c r="S451" s="82"/>
      <c r="T451" s="89"/>
      <c r="U451" s="82"/>
      <c r="V451" s="82"/>
      <c r="W451" s="90"/>
      <c r="X451" s="82"/>
      <c r="Y451" s="82"/>
    </row>
    <row r="452" spans="1:25" x14ac:dyDescent="0.25">
      <c r="N452" s="122"/>
      <c r="O452" s="120"/>
      <c r="P452" s="60"/>
      <c r="Q452" s="61"/>
      <c r="R452" s="61"/>
      <c r="S452" s="61"/>
      <c r="T452" s="91"/>
      <c r="U452" s="61"/>
      <c r="V452" s="61"/>
      <c r="W452" s="92"/>
      <c r="X452" s="61"/>
      <c r="Y452" s="61"/>
    </row>
    <row r="453" spans="1:25" x14ac:dyDescent="0.25">
      <c r="A453" s="12"/>
      <c r="B453" s="12"/>
      <c r="C453" s="12"/>
      <c r="D453" s="12"/>
      <c r="E453" s="12"/>
      <c r="F453" s="12"/>
      <c r="G453" s="12"/>
      <c r="H453" s="13"/>
      <c r="I453" s="12"/>
      <c r="J453" s="12"/>
      <c r="K453" s="12"/>
      <c r="L453" s="12"/>
      <c r="M453" s="12"/>
      <c r="N453" s="121"/>
      <c r="O453" s="118"/>
      <c r="P453" s="81"/>
      <c r="Q453" s="82"/>
      <c r="R453" s="82"/>
      <c r="S453" s="82"/>
      <c r="T453" s="89"/>
      <c r="U453" s="82"/>
      <c r="V453" s="82"/>
      <c r="W453" s="90"/>
      <c r="X453" s="82"/>
      <c r="Y453" s="82"/>
    </row>
    <row r="454" spans="1:25" x14ac:dyDescent="0.25">
      <c r="A454" s="24"/>
      <c r="B454" s="24"/>
      <c r="C454" s="24"/>
      <c r="D454" s="24"/>
      <c r="E454" s="24"/>
      <c r="F454" s="24"/>
      <c r="G454" s="24"/>
      <c r="H454" s="25"/>
      <c r="I454" s="24"/>
      <c r="J454" s="24"/>
      <c r="K454" s="24"/>
      <c r="L454" s="24"/>
      <c r="M454" s="24"/>
      <c r="N454" s="122"/>
      <c r="O454" s="120"/>
      <c r="P454" s="60"/>
      <c r="Q454" s="61"/>
      <c r="R454" s="61"/>
      <c r="S454" s="61"/>
      <c r="T454" s="91"/>
      <c r="U454" s="61"/>
      <c r="V454" s="61"/>
      <c r="W454" s="92"/>
      <c r="X454" s="61"/>
      <c r="Y454" s="61"/>
    </row>
    <row r="455" spans="1:25" x14ac:dyDescent="0.25">
      <c r="A455" s="12"/>
      <c r="B455" s="12"/>
      <c r="C455" s="12"/>
      <c r="D455" s="12"/>
      <c r="E455" s="12"/>
      <c r="F455" s="12"/>
      <c r="G455" s="12"/>
      <c r="H455" s="13"/>
      <c r="I455" s="12"/>
      <c r="J455" s="12"/>
      <c r="K455" s="12"/>
      <c r="L455" s="12"/>
      <c r="M455" s="12"/>
      <c r="N455" s="121"/>
      <c r="O455" s="118"/>
      <c r="P455" s="81"/>
      <c r="Q455" s="82"/>
      <c r="R455" s="82"/>
      <c r="S455" s="82"/>
      <c r="T455" s="89"/>
      <c r="U455" s="82"/>
      <c r="V455" s="82"/>
      <c r="W455" s="90"/>
      <c r="X455" s="82"/>
      <c r="Y455" s="82"/>
    </row>
    <row r="456" spans="1:25" x14ac:dyDescent="0.25">
      <c r="A456" s="24"/>
      <c r="B456" s="24"/>
      <c r="C456" s="24"/>
      <c r="D456" s="24"/>
      <c r="E456" s="24"/>
      <c r="F456" s="24"/>
      <c r="G456" s="24"/>
      <c r="H456" s="25"/>
      <c r="I456" s="24"/>
      <c r="J456" s="24"/>
      <c r="K456" s="24"/>
      <c r="L456" s="24"/>
      <c r="M456" s="24"/>
      <c r="N456" s="123"/>
      <c r="O456" s="124"/>
      <c r="P456" s="109"/>
      <c r="Q456" s="110"/>
      <c r="R456" s="111"/>
      <c r="S456" s="111"/>
      <c r="T456" s="112"/>
      <c r="U456" s="113"/>
      <c r="V456" s="114"/>
      <c r="W456" s="114"/>
      <c r="X456" s="114"/>
      <c r="Y456" s="114"/>
    </row>
    <row r="457" spans="1:25" x14ac:dyDescent="0.25">
      <c r="A457" s="12"/>
      <c r="B457" s="12"/>
      <c r="C457" s="12"/>
      <c r="D457" s="12"/>
      <c r="E457" s="12"/>
      <c r="F457" s="12"/>
      <c r="G457" s="12"/>
      <c r="H457" s="13"/>
      <c r="I457" s="12"/>
      <c r="J457" s="12"/>
      <c r="K457" s="12"/>
      <c r="L457" s="12"/>
      <c r="M457" s="12"/>
      <c r="N457" s="121"/>
      <c r="O457" s="118"/>
      <c r="P457" s="81"/>
      <c r="Q457" s="82"/>
      <c r="R457" s="82"/>
      <c r="S457" s="82"/>
      <c r="T457" s="89"/>
      <c r="U457" s="82"/>
      <c r="V457" s="82"/>
      <c r="W457" s="90"/>
      <c r="X457" s="82"/>
      <c r="Y457" s="82"/>
    </row>
    <row r="458" spans="1:25" x14ac:dyDescent="0.25">
      <c r="A458" s="24"/>
      <c r="B458" s="24"/>
      <c r="C458" s="24"/>
      <c r="D458" s="24"/>
      <c r="E458" s="24"/>
      <c r="F458" s="24"/>
      <c r="G458" s="24"/>
      <c r="H458" s="25"/>
      <c r="I458" s="24"/>
      <c r="J458" s="24"/>
      <c r="K458" s="24"/>
      <c r="L458" s="24"/>
      <c r="M458" s="24"/>
      <c r="N458" s="122"/>
      <c r="O458" s="120"/>
      <c r="P458" s="60"/>
      <c r="Q458" s="61"/>
      <c r="R458" s="61"/>
      <c r="S458" s="61"/>
      <c r="T458" s="91"/>
      <c r="U458" s="61"/>
      <c r="V458" s="61"/>
      <c r="W458" s="92"/>
      <c r="X458" s="61"/>
      <c r="Y458" s="61"/>
    </row>
    <row r="459" spans="1:25" x14ac:dyDescent="0.25">
      <c r="A459" s="12"/>
      <c r="B459" s="12"/>
      <c r="C459" s="12"/>
      <c r="D459" s="12"/>
      <c r="E459" s="12"/>
      <c r="F459" s="12"/>
      <c r="G459" s="12"/>
      <c r="H459" s="13"/>
      <c r="I459" s="12"/>
      <c r="J459" s="12"/>
      <c r="K459" s="12"/>
      <c r="L459" s="12"/>
      <c r="M459" s="12"/>
      <c r="N459" s="121"/>
      <c r="O459" s="118"/>
      <c r="P459" s="81"/>
      <c r="Q459" s="82"/>
      <c r="R459" s="82"/>
      <c r="S459" s="82"/>
      <c r="T459" s="89"/>
      <c r="U459" s="82"/>
      <c r="V459" s="82"/>
      <c r="W459" s="90"/>
      <c r="X459" s="82"/>
      <c r="Y459" s="82"/>
    </row>
    <row r="460" spans="1:25" x14ac:dyDescent="0.25">
      <c r="A460" s="12"/>
      <c r="B460" s="12"/>
      <c r="C460" s="12"/>
      <c r="D460" s="12"/>
      <c r="E460" s="12"/>
      <c r="F460" s="12"/>
      <c r="G460" s="12"/>
      <c r="H460" s="13"/>
      <c r="I460" s="12"/>
      <c r="J460" s="12"/>
      <c r="K460" s="12"/>
      <c r="L460" s="12"/>
      <c r="M460" s="12"/>
      <c r="N460" s="122"/>
      <c r="O460" s="120"/>
      <c r="P460" s="60"/>
      <c r="Q460" s="61"/>
      <c r="R460" s="61"/>
      <c r="S460" s="61"/>
      <c r="T460" s="91"/>
      <c r="U460" s="61"/>
      <c r="V460" s="61"/>
      <c r="W460" s="92"/>
      <c r="X460" s="61"/>
      <c r="Y460" s="61"/>
    </row>
    <row r="461" spans="1:25" x14ac:dyDescent="0.25">
      <c r="A461" s="24"/>
      <c r="B461" s="24"/>
      <c r="C461" s="24"/>
      <c r="D461" s="24"/>
      <c r="E461" s="24"/>
      <c r="F461" s="24"/>
      <c r="G461" s="24"/>
      <c r="H461" s="25"/>
      <c r="I461" s="24"/>
      <c r="J461" s="24"/>
      <c r="K461" s="24"/>
      <c r="L461" s="24"/>
      <c r="M461" s="24"/>
      <c r="N461" s="121"/>
      <c r="O461" s="118"/>
      <c r="P461" s="81"/>
      <c r="Q461" s="82"/>
      <c r="R461" s="82"/>
      <c r="S461" s="82"/>
      <c r="T461" s="89"/>
      <c r="U461" s="82"/>
      <c r="V461" s="82"/>
      <c r="W461" s="90"/>
      <c r="X461" s="82"/>
      <c r="Y461" s="82"/>
    </row>
    <row r="462" spans="1:25" x14ac:dyDescent="0.25">
      <c r="A462" s="12"/>
      <c r="B462" s="12"/>
      <c r="C462" s="12"/>
      <c r="D462" s="12"/>
      <c r="E462" s="12"/>
      <c r="F462" s="12"/>
      <c r="G462" s="12"/>
      <c r="H462" s="13"/>
      <c r="I462" s="12"/>
      <c r="J462" s="12"/>
      <c r="K462" s="12"/>
      <c r="L462" s="12"/>
      <c r="M462" s="12"/>
      <c r="N462" s="122"/>
      <c r="O462" s="120"/>
      <c r="P462" s="60"/>
      <c r="Q462" s="61"/>
      <c r="R462" s="61"/>
      <c r="S462" s="61"/>
      <c r="T462" s="91"/>
      <c r="U462" s="61"/>
      <c r="V462" s="61"/>
      <c r="W462" s="92"/>
      <c r="X462" s="61"/>
      <c r="Y462" s="61"/>
    </row>
    <row r="463" spans="1:25" x14ac:dyDescent="0.25">
      <c r="A463" s="24"/>
      <c r="B463" s="24"/>
      <c r="C463" s="24"/>
      <c r="D463" s="24"/>
      <c r="E463" s="24"/>
      <c r="F463" s="24"/>
      <c r="G463" s="24"/>
      <c r="H463" s="25"/>
      <c r="I463" s="24"/>
      <c r="J463" s="24"/>
      <c r="K463" s="24"/>
      <c r="L463" s="24"/>
      <c r="M463" s="24"/>
      <c r="N463" s="121"/>
      <c r="O463" s="118"/>
      <c r="P463" s="81"/>
      <c r="Q463" s="82"/>
      <c r="R463" s="82"/>
      <c r="S463" s="82"/>
      <c r="T463" s="89"/>
      <c r="U463" s="82"/>
      <c r="V463" s="82"/>
      <c r="W463" s="90"/>
      <c r="X463" s="82"/>
      <c r="Y463" s="82"/>
    </row>
    <row r="464" spans="1:25" x14ac:dyDescent="0.25">
      <c r="A464" s="12"/>
      <c r="B464" s="12"/>
      <c r="C464" s="12"/>
      <c r="D464" s="12"/>
      <c r="E464" s="12"/>
      <c r="F464" s="12"/>
      <c r="G464" s="12"/>
      <c r="H464" s="13"/>
      <c r="I464" s="12"/>
      <c r="J464" s="12"/>
      <c r="K464" s="12"/>
      <c r="L464" s="12"/>
      <c r="M464" s="12"/>
      <c r="N464" s="122"/>
      <c r="O464" s="120"/>
      <c r="P464" s="60"/>
      <c r="Q464" s="61"/>
      <c r="R464" s="61"/>
      <c r="S464" s="61"/>
      <c r="T464" s="91"/>
      <c r="U464" s="61"/>
      <c r="V464" s="61"/>
      <c r="W464" s="92"/>
      <c r="X464" s="61"/>
      <c r="Y464" s="61"/>
    </row>
    <row r="465" spans="1:25" x14ac:dyDescent="0.25">
      <c r="A465" s="24"/>
      <c r="B465" s="24"/>
      <c r="C465" s="24"/>
      <c r="D465" s="24"/>
      <c r="E465" s="24"/>
      <c r="F465" s="24"/>
      <c r="G465" s="24"/>
      <c r="H465" s="25"/>
      <c r="I465" s="24"/>
      <c r="J465" s="24"/>
      <c r="K465" s="24"/>
      <c r="L465" s="24"/>
      <c r="M465" s="24"/>
      <c r="N465" s="121"/>
      <c r="O465" s="118"/>
      <c r="P465" s="81"/>
      <c r="Q465" s="82"/>
      <c r="R465" s="82"/>
      <c r="S465" s="82"/>
      <c r="T465" s="89"/>
      <c r="U465" s="82"/>
      <c r="V465" s="82"/>
      <c r="W465" s="90"/>
      <c r="X465" s="82"/>
      <c r="Y465" s="82"/>
    </row>
    <row r="466" spans="1:25" x14ac:dyDescent="0.25">
      <c r="A466" s="12"/>
      <c r="B466" s="12"/>
      <c r="C466" s="12"/>
      <c r="D466" s="12"/>
      <c r="E466" s="12"/>
      <c r="F466" s="12"/>
      <c r="G466" s="12"/>
      <c r="H466" s="13"/>
      <c r="I466" s="12"/>
      <c r="J466" s="12"/>
      <c r="K466" s="12"/>
      <c r="L466" s="12"/>
      <c r="M466" s="12"/>
      <c r="N466" s="122"/>
      <c r="O466" s="120"/>
      <c r="P466" s="60"/>
      <c r="Q466" s="61"/>
      <c r="R466" s="61"/>
      <c r="S466" s="61"/>
      <c r="T466" s="91"/>
      <c r="U466" s="61"/>
      <c r="V466" s="61"/>
      <c r="W466" s="92"/>
      <c r="X466" s="61"/>
      <c r="Y466" s="61"/>
    </row>
    <row r="467" spans="1:25" x14ac:dyDescent="0.25">
      <c r="A467" s="24"/>
      <c r="B467" s="24"/>
      <c r="C467" s="24"/>
      <c r="D467" s="24"/>
      <c r="E467" s="24"/>
      <c r="F467" s="24"/>
      <c r="G467" s="24"/>
      <c r="H467" s="25"/>
      <c r="I467" s="24"/>
      <c r="J467" s="24"/>
      <c r="K467" s="24"/>
      <c r="L467" s="24"/>
      <c r="M467" s="24"/>
      <c r="N467" s="121"/>
      <c r="O467" s="118"/>
      <c r="P467" s="81"/>
      <c r="Q467" s="82"/>
      <c r="R467" s="82"/>
      <c r="S467" s="82"/>
      <c r="T467" s="89"/>
      <c r="U467" s="82"/>
      <c r="V467" s="82"/>
      <c r="W467" s="90"/>
      <c r="X467" s="82"/>
      <c r="Y467" s="82"/>
    </row>
    <row r="468" spans="1:25" x14ac:dyDescent="0.25">
      <c r="A468" s="12"/>
      <c r="B468" s="12"/>
      <c r="C468" s="12"/>
      <c r="D468" s="12"/>
      <c r="E468" s="12"/>
      <c r="F468" s="12"/>
      <c r="G468" s="12"/>
      <c r="H468" s="13"/>
      <c r="I468" s="12"/>
      <c r="J468" s="12"/>
      <c r="K468" s="12"/>
      <c r="L468" s="12"/>
      <c r="M468" s="12"/>
      <c r="N468" s="122"/>
      <c r="O468" s="120"/>
      <c r="P468" s="60"/>
      <c r="Q468" s="61"/>
      <c r="R468" s="61"/>
      <c r="S468" s="61"/>
      <c r="T468" s="91"/>
      <c r="U468" s="61"/>
      <c r="V468" s="61"/>
      <c r="W468" s="92"/>
      <c r="X468" s="61"/>
      <c r="Y468" s="61"/>
    </row>
    <row r="469" spans="1:25" x14ac:dyDescent="0.25">
      <c r="N469" s="121"/>
      <c r="O469" s="118"/>
      <c r="P469" s="81"/>
      <c r="Q469" s="82"/>
      <c r="R469" s="82"/>
      <c r="S469" s="82"/>
      <c r="T469" s="89"/>
      <c r="U469" s="82"/>
      <c r="V469" s="82"/>
      <c r="W469" s="90"/>
      <c r="X469" s="82"/>
      <c r="Y469" s="82"/>
    </row>
    <row r="470" spans="1:25" x14ac:dyDescent="0.25">
      <c r="A470" s="12"/>
      <c r="B470" s="12"/>
      <c r="C470" s="12"/>
      <c r="D470" s="12"/>
      <c r="E470" s="12"/>
      <c r="F470" s="12"/>
      <c r="G470" s="12"/>
      <c r="H470" s="13"/>
      <c r="I470" s="12"/>
      <c r="J470" s="12"/>
      <c r="K470" s="12"/>
      <c r="L470" s="12"/>
      <c r="M470" s="12"/>
      <c r="N470" s="122"/>
      <c r="O470" s="120"/>
      <c r="P470" s="60"/>
      <c r="Q470" s="61"/>
      <c r="R470" s="61"/>
      <c r="S470" s="61"/>
      <c r="T470" s="91"/>
      <c r="U470" s="61"/>
      <c r="V470" s="61"/>
      <c r="W470" s="92"/>
      <c r="X470" s="61"/>
      <c r="Y470" s="61"/>
    </row>
    <row r="471" spans="1:25" x14ac:dyDescent="0.25">
      <c r="A471" s="24"/>
      <c r="B471" s="24"/>
      <c r="C471" s="24"/>
      <c r="D471" s="24"/>
      <c r="E471" s="24"/>
      <c r="F471" s="24"/>
      <c r="G471" s="24"/>
      <c r="H471" s="25"/>
      <c r="I471" s="24"/>
      <c r="J471" s="24"/>
      <c r="K471" s="24"/>
      <c r="L471" s="24"/>
      <c r="M471" s="24"/>
      <c r="N471" s="121"/>
      <c r="O471" s="118"/>
      <c r="P471" s="81"/>
      <c r="Q471" s="82"/>
      <c r="R471" s="82"/>
      <c r="S471" s="82"/>
      <c r="T471" s="89"/>
      <c r="U471" s="82"/>
      <c r="V471" s="82"/>
      <c r="W471" s="90"/>
      <c r="X471" s="82"/>
      <c r="Y471" s="82"/>
    </row>
    <row r="472" spans="1:25" x14ac:dyDescent="0.25">
      <c r="A472" s="12"/>
      <c r="B472" s="12"/>
      <c r="C472" s="12"/>
      <c r="D472" s="12"/>
      <c r="E472" s="12"/>
      <c r="F472" s="12"/>
      <c r="G472" s="12"/>
      <c r="H472" s="13"/>
      <c r="I472" s="12"/>
      <c r="J472" s="12"/>
      <c r="K472" s="12"/>
      <c r="L472" s="12"/>
      <c r="M472" s="12"/>
      <c r="N472" s="123"/>
      <c r="O472" s="124"/>
      <c r="P472" s="109"/>
      <c r="Q472" s="110"/>
      <c r="R472" s="111"/>
      <c r="S472" s="111"/>
      <c r="T472" s="112"/>
      <c r="U472" s="113"/>
      <c r="V472" s="114"/>
      <c r="W472" s="114"/>
      <c r="X472" s="114"/>
      <c r="Y472" s="114"/>
    </row>
    <row r="473" spans="1:25" x14ac:dyDescent="0.25">
      <c r="A473" s="24"/>
      <c r="B473" s="24"/>
      <c r="C473" s="24"/>
      <c r="D473" s="24"/>
      <c r="E473" s="24"/>
      <c r="F473" s="24"/>
      <c r="G473" s="24"/>
      <c r="H473" s="25"/>
      <c r="I473" s="24"/>
      <c r="J473" s="24"/>
      <c r="K473" s="24"/>
      <c r="L473" s="24"/>
      <c r="M473" s="24"/>
      <c r="N473" s="121"/>
      <c r="O473" s="118"/>
      <c r="P473" s="81"/>
      <c r="Q473" s="82"/>
      <c r="R473" s="82"/>
      <c r="S473" s="82"/>
      <c r="T473" s="89"/>
      <c r="U473" s="82"/>
      <c r="V473" s="82"/>
      <c r="W473" s="90"/>
      <c r="X473" s="82"/>
      <c r="Y473" s="82"/>
    </row>
    <row r="474" spans="1:25" x14ac:dyDescent="0.25">
      <c r="A474" s="12"/>
      <c r="B474" s="12"/>
      <c r="C474" s="12"/>
      <c r="D474" s="12"/>
      <c r="E474" s="12"/>
      <c r="F474" s="12"/>
      <c r="G474" s="12"/>
      <c r="H474" s="13"/>
      <c r="I474" s="12"/>
      <c r="J474" s="12"/>
      <c r="K474" s="12"/>
      <c r="L474" s="12"/>
      <c r="M474" s="12"/>
      <c r="N474" s="122"/>
      <c r="O474" s="120"/>
      <c r="P474" s="60"/>
      <c r="Q474" s="61"/>
      <c r="R474" s="61"/>
      <c r="S474" s="61"/>
      <c r="T474" s="91"/>
      <c r="U474" s="61"/>
      <c r="V474" s="61"/>
      <c r="W474" s="92"/>
      <c r="X474" s="61"/>
      <c r="Y474" s="61"/>
    </row>
    <row r="475" spans="1:25" x14ac:dyDescent="0.25">
      <c r="A475" s="24"/>
      <c r="B475" s="24"/>
      <c r="C475" s="24"/>
      <c r="D475" s="24"/>
      <c r="E475" s="24"/>
      <c r="F475" s="24"/>
      <c r="G475" s="24"/>
      <c r="H475" s="25"/>
      <c r="I475" s="24"/>
      <c r="J475" s="24"/>
      <c r="K475" s="24"/>
      <c r="L475" s="24"/>
      <c r="M475" s="24"/>
      <c r="N475" s="121"/>
      <c r="O475" s="118"/>
      <c r="P475" s="81"/>
      <c r="Q475" s="82"/>
      <c r="R475" s="82"/>
      <c r="S475" s="82"/>
      <c r="T475" s="89"/>
      <c r="U475" s="82"/>
      <c r="V475" s="82"/>
      <c r="W475" s="90"/>
      <c r="X475" s="82"/>
      <c r="Y475" s="82"/>
    </row>
    <row r="476" spans="1:25" x14ac:dyDescent="0.25">
      <c r="A476" s="12"/>
      <c r="B476" s="12"/>
      <c r="C476" s="12"/>
      <c r="D476" s="12"/>
      <c r="E476" s="12"/>
      <c r="F476" s="12"/>
      <c r="G476" s="12"/>
      <c r="H476" s="13"/>
      <c r="I476" s="12"/>
      <c r="J476" s="12"/>
      <c r="K476" s="12"/>
      <c r="L476" s="12"/>
      <c r="M476" s="12"/>
      <c r="N476" s="122"/>
      <c r="O476" s="120"/>
      <c r="P476" s="60"/>
      <c r="Q476" s="61"/>
      <c r="R476" s="61"/>
      <c r="S476" s="61"/>
      <c r="T476" s="91"/>
      <c r="U476" s="61"/>
      <c r="V476" s="61"/>
      <c r="W476" s="92"/>
      <c r="X476" s="61"/>
      <c r="Y476" s="61"/>
    </row>
    <row r="477" spans="1:25" x14ac:dyDescent="0.25">
      <c r="A477" s="12"/>
      <c r="B477" s="12"/>
      <c r="C477" s="12"/>
      <c r="D477" s="12"/>
      <c r="E477" s="12"/>
      <c r="F477" s="12"/>
      <c r="G477" s="12"/>
      <c r="H477" s="13"/>
      <c r="I477" s="12"/>
      <c r="J477" s="12"/>
      <c r="K477" s="12"/>
      <c r="L477" s="12"/>
      <c r="M477" s="12"/>
      <c r="N477" s="121"/>
      <c r="O477" s="118"/>
      <c r="P477" s="81"/>
      <c r="Q477" s="82"/>
      <c r="R477" s="82"/>
      <c r="S477" s="82"/>
      <c r="T477" s="89"/>
      <c r="U477" s="82"/>
      <c r="V477" s="82"/>
      <c r="W477" s="90"/>
      <c r="X477" s="82"/>
      <c r="Y477" s="82"/>
    </row>
    <row r="478" spans="1:25" x14ac:dyDescent="0.25">
      <c r="A478" s="24"/>
      <c r="B478" s="24"/>
      <c r="C478" s="24"/>
      <c r="D478" s="24"/>
      <c r="E478" s="24"/>
      <c r="F478" s="24"/>
      <c r="G478" s="24"/>
      <c r="H478" s="25"/>
      <c r="I478" s="24"/>
      <c r="J478" s="24"/>
      <c r="K478" s="24"/>
      <c r="L478" s="24"/>
      <c r="M478" s="24"/>
      <c r="N478" s="122"/>
      <c r="O478" s="120"/>
      <c r="P478" s="60"/>
      <c r="Q478" s="61"/>
      <c r="R478" s="61"/>
      <c r="S478" s="61"/>
      <c r="T478" s="91"/>
      <c r="U478" s="61"/>
      <c r="V478" s="61"/>
      <c r="W478" s="92"/>
      <c r="X478" s="61"/>
      <c r="Y478" s="61"/>
    </row>
    <row r="479" spans="1:25" x14ac:dyDescent="0.25">
      <c r="A479" s="12"/>
      <c r="B479" s="12"/>
      <c r="C479" s="12"/>
      <c r="D479" s="12"/>
      <c r="E479" s="12"/>
      <c r="F479" s="12"/>
      <c r="G479" s="12"/>
      <c r="H479" s="13"/>
      <c r="I479" s="12"/>
      <c r="J479" s="12"/>
      <c r="K479" s="12"/>
      <c r="L479" s="12"/>
      <c r="M479" s="12"/>
      <c r="N479" s="121"/>
      <c r="O479" s="118"/>
      <c r="P479" s="81"/>
      <c r="Q479" s="82"/>
      <c r="R479" s="82"/>
      <c r="S479" s="82"/>
      <c r="T479" s="89"/>
      <c r="U479" s="82"/>
      <c r="V479" s="82"/>
      <c r="W479" s="90"/>
      <c r="X479" s="82"/>
      <c r="Y479" s="82"/>
    </row>
    <row r="480" spans="1:25" x14ac:dyDescent="0.25">
      <c r="A480" s="24"/>
      <c r="B480" s="24"/>
      <c r="C480" s="24"/>
      <c r="D480" s="24"/>
      <c r="E480" s="24"/>
      <c r="F480" s="24"/>
      <c r="G480" s="24"/>
      <c r="H480" s="25"/>
      <c r="I480" s="24"/>
      <c r="J480" s="24"/>
      <c r="K480" s="24"/>
      <c r="L480" s="24"/>
      <c r="M480" s="24"/>
      <c r="N480" s="122"/>
      <c r="O480" s="120"/>
      <c r="P480" s="60"/>
      <c r="Q480" s="61"/>
      <c r="R480" s="61"/>
      <c r="S480" s="61"/>
      <c r="T480" s="91"/>
      <c r="U480" s="61"/>
      <c r="V480" s="61"/>
      <c r="W480" s="92"/>
      <c r="X480" s="61"/>
      <c r="Y480" s="61"/>
    </row>
    <row r="481" spans="1:25" x14ac:dyDescent="0.25">
      <c r="A481" s="12"/>
      <c r="B481" s="12"/>
      <c r="C481" s="12"/>
      <c r="D481" s="12"/>
      <c r="E481" s="12"/>
      <c r="F481" s="12"/>
      <c r="G481" s="12"/>
      <c r="H481" s="13"/>
      <c r="I481" s="12"/>
      <c r="J481" s="12"/>
      <c r="K481" s="12"/>
      <c r="L481" s="12"/>
      <c r="M481" s="12"/>
      <c r="N481" s="121"/>
      <c r="O481" s="118"/>
      <c r="P481" s="81"/>
      <c r="Q481" s="82"/>
      <c r="R481" s="82"/>
      <c r="S481" s="82"/>
      <c r="T481" s="89"/>
      <c r="U481" s="82"/>
      <c r="V481" s="82"/>
      <c r="W481" s="90"/>
      <c r="X481" s="82"/>
      <c r="Y481" s="82"/>
    </row>
    <row r="482" spans="1:25" x14ac:dyDescent="0.25">
      <c r="A482" s="24"/>
      <c r="B482" s="24"/>
      <c r="C482" s="24"/>
      <c r="D482" s="24"/>
      <c r="E482" s="24"/>
      <c r="F482" s="24"/>
      <c r="G482" s="24"/>
      <c r="H482" s="25"/>
      <c r="I482" s="24"/>
      <c r="J482" s="24"/>
      <c r="K482" s="24"/>
      <c r="L482" s="24"/>
      <c r="M482" s="24"/>
      <c r="N482" s="122"/>
      <c r="O482" s="120"/>
      <c r="P482" s="60"/>
      <c r="Q482" s="61"/>
      <c r="R482" s="61"/>
      <c r="S482" s="61"/>
      <c r="T482" s="91"/>
      <c r="U482" s="61"/>
      <c r="V482" s="61"/>
      <c r="W482" s="92"/>
      <c r="X482" s="61"/>
      <c r="Y482" s="61"/>
    </row>
    <row r="483" spans="1:25" x14ac:dyDescent="0.25">
      <c r="A483" s="12"/>
      <c r="B483" s="12"/>
      <c r="C483" s="12"/>
      <c r="D483" s="12"/>
      <c r="E483" s="12"/>
      <c r="F483" s="12"/>
      <c r="G483" s="12"/>
      <c r="H483" s="13"/>
      <c r="I483" s="12"/>
      <c r="J483" s="12"/>
      <c r="K483" s="12"/>
      <c r="L483" s="12"/>
      <c r="M483" s="12"/>
      <c r="N483" s="121"/>
      <c r="O483" s="118"/>
      <c r="P483" s="81"/>
      <c r="Q483" s="82"/>
      <c r="R483" s="82"/>
      <c r="S483" s="82"/>
      <c r="T483" s="89"/>
      <c r="U483" s="82"/>
      <c r="V483" s="82"/>
      <c r="W483" s="90"/>
      <c r="X483" s="82"/>
      <c r="Y483" s="82"/>
    </row>
    <row r="484" spans="1:25" x14ac:dyDescent="0.25">
      <c r="A484" s="24"/>
      <c r="B484" s="24"/>
      <c r="C484" s="24"/>
      <c r="D484" s="24"/>
      <c r="E484" s="24"/>
      <c r="F484" s="24"/>
      <c r="G484" s="24"/>
      <c r="H484" s="25"/>
      <c r="I484" s="24"/>
      <c r="J484" s="24"/>
      <c r="K484" s="24"/>
      <c r="L484" s="24"/>
      <c r="M484" s="24"/>
      <c r="N484" s="122"/>
      <c r="O484" s="120"/>
      <c r="P484" s="60"/>
      <c r="Q484" s="61"/>
      <c r="R484" s="61"/>
      <c r="S484" s="61"/>
      <c r="T484" s="91"/>
      <c r="U484" s="61"/>
      <c r="V484" s="61"/>
      <c r="W484" s="92"/>
      <c r="X484" s="61"/>
      <c r="Y484" s="61"/>
    </row>
    <row r="485" spans="1:25" x14ac:dyDescent="0.25">
      <c r="A485" s="12"/>
      <c r="B485" s="12"/>
      <c r="C485" s="12"/>
      <c r="D485" s="12"/>
      <c r="E485" s="12"/>
      <c r="F485" s="12"/>
      <c r="G485" s="12"/>
      <c r="H485" s="13"/>
      <c r="I485" s="12"/>
      <c r="J485" s="12"/>
      <c r="K485" s="12"/>
      <c r="L485" s="12"/>
      <c r="M485" s="12"/>
      <c r="N485" s="121"/>
      <c r="O485" s="118"/>
      <c r="P485" s="81"/>
      <c r="Q485" s="82"/>
      <c r="R485" s="82"/>
      <c r="S485" s="82"/>
      <c r="T485" s="89"/>
      <c r="U485" s="82"/>
      <c r="V485" s="82"/>
      <c r="W485" s="90"/>
      <c r="X485" s="82"/>
      <c r="Y485" s="82"/>
    </row>
    <row r="486" spans="1:25" x14ac:dyDescent="0.25">
      <c r="N486" s="122"/>
      <c r="O486" s="120"/>
      <c r="P486" s="60"/>
      <c r="Q486" s="61"/>
      <c r="R486" s="61"/>
      <c r="S486" s="61"/>
      <c r="T486" s="91"/>
      <c r="U486" s="61"/>
      <c r="V486" s="61"/>
      <c r="W486" s="92"/>
      <c r="X486" s="61"/>
      <c r="Y486" s="61"/>
    </row>
    <row r="487" spans="1:25" x14ac:dyDescent="0.25">
      <c r="A487" s="12"/>
      <c r="B487" s="12"/>
      <c r="C487" s="12"/>
      <c r="D487" s="12"/>
      <c r="E487" s="12"/>
      <c r="F487" s="12"/>
      <c r="G487" s="12"/>
      <c r="H487" s="13"/>
      <c r="I487" s="12"/>
      <c r="J487" s="12"/>
      <c r="K487" s="12"/>
      <c r="L487" s="12"/>
      <c r="M487" s="12"/>
      <c r="N487" s="121"/>
      <c r="O487" s="118"/>
      <c r="P487" s="81"/>
      <c r="Q487" s="82"/>
      <c r="R487" s="82"/>
      <c r="S487" s="82"/>
      <c r="T487" s="89"/>
      <c r="U487" s="82"/>
      <c r="V487" s="82"/>
      <c r="W487" s="90"/>
      <c r="X487" s="82"/>
      <c r="Y487" s="82"/>
    </row>
    <row r="488" spans="1:25" x14ac:dyDescent="0.25">
      <c r="A488" s="24"/>
      <c r="B488" s="24"/>
      <c r="C488" s="24"/>
      <c r="D488" s="24"/>
      <c r="E488" s="24"/>
      <c r="F488" s="24"/>
      <c r="G488" s="24"/>
      <c r="H488" s="25"/>
      <c r="I488" s="24"/>
      <c r="J488" s="24"/>
      <c r="K488" s="24"/>
      <c r="L488" s="24"/>
      <c r="M488" s="24"/>
      <c r="N488" s="123"/>
      <c r="O488" s="124"/>
      <c r="P488" s="109"/>
      <c r="Q488" s="110"/>
      <c r="R488" s="111"/>
      <c r="S488" s="111"/>
      <c r="T488" s="112"/>
      <c r="U488" s="113"/>
      <c r="V488" s="114"/>
      <c r="W488" s="114"/>
      <c r="X488" s="114"/>
      <c r="Y488" s="114"/>
    </row>
    <row r="489" spans="1:25" x14ac:dyDescent="0.25">
      <c r="A489" s="12"/>
      <c r="B489" s="12"/>
      <c r="C489" s="12"/>
      <c r="D489" s="12"/>
      <c r="E489" s="12"/>
      <c r="F489" s="12"/>
      <c r="G489" s="12"/>
      <c r="H489" s="13"/>
      <c r="I489" s="12"/>
      <c r="J489" s="12"/>
      <c r="K489" s="12"/>
      <c r="L489" s="12"/>
      <c r="M489" s="12"/>
      <c r="N489" s="121"/>
      <c r="O489" s="118"/>
      <c r="P489" s="81"/>
      <c r="Q489" s="82"/>
      <c r="R489" s="82"/>
      <c r="S489" s="82"/>
      <c r="T489" s="89"/>
      <c r="U489" s="82"/>
      <c r="V489" s="82"/>
      <c r="W489" s="90"/>
      <c r="X489" s="82"/>
      <c r="Y489" s="82"/>
    </row>
    <row r="490" spans="1:25" x14ac:dyDescent="0.25">
      <c r="A490" s="24"/>
      <c r="B490" s="24"/>
      <c r="C490" s="24"/>
      <c r="D490" s="24"/>
      <c r="E490" s="24"/>
      <c r="F490" s="24"/>
      <c r="G490" s="24"/>
      <c r="H490" s="25"/>
      <c r="I490" s="24"/>
      <c r="J490" s="24"/>
      <c r="K490" s="24"/>
      <c r="L490" s="24"/>
      <c r="M490" s="24"/>
      <c r="N490" s="122"/>
      <c r="O490" s="120"/>
      <c r="P490" s="60"/>
      <c r="Q490" s="61"/>
      <c r="R490" s="61"/>
      <c r="S490" s="61"/>
      <c r="T490" s="91"/>
      <c r="U490" s="61"/>
      <c r="V490" s="61"/>
      <c r="W490" s="92"/>
      <c r="X490" s="61"/>
      <c r="Y490" s="61"/>
    </row>
    <row r="491" spans="1:25" x14ac:dyDescent="0.25">
      <c r="A491" s="12"/>
      <c r="B491" s="12"/>
      <c r="C491" s="12"/>
      <c r="D491" s="12"/>
      <c r="E491" s="12"/>
      <c r="F491" s="12"/>
      <c r="G491" s="12"/>
      <c r="H491" s="13"/>
      <c r="I491" s="12"/>
      <c r="J491" s="12"/>
      <c r="K491" s="12"/>
      <c r="L491" s="12"/>
      <c r="M491" s="12"/>
      <c r="N491" s="121"/>
      <c r="O491" s="118"/>
      <c r="P491" s="81"/>
      <c r="Q491" s="82"/>
      <c r="R491" s="82"/>
      <c r="S491" s="82"/>
      <c r="T491" s="89"/>
      <c r="U491" s="82"/>
      <c r="V491" s="82"/>
      <c r="W491" s="90"/>
      <c r="X491" s="82"/>
      <c r="Y491" s="82"/>
    </row>
    <row r="492" spans="1:25" x14ac:dyDescent="0.25">
      <c r="A492" s="24"/>
      <c r="B492" s="24"/>
      <c r="C492" s="24"/>
      <c r="D492" s="24"/>
      <c r="E492" s="24"/>
      <c r="F492" s="24"/>
      <c r="G492" s="24"/>
      <c r="H492" s="25"/>
      <c r="I492" s="24"/>
      <c r="J492" s="24"/>
      <c r="K492" s="24"/>
      <c r="L492" s="24"/>
      <c r="M492" s="24"/>
      <c r="N492" s="122"/>
      <c r="O492" s="120"/>
      <c r="P492" s="60"/>
      <c r="Q492" s="61"/>
      <c r="R492" s="61"/>
      <c r="S492" s="61"/>
      <c r="T492" s="91"/>
      <c r="U492" s="61"/>
      <c r="V492" s="61"/>
      <c r="W492" s="92"/>
      <c r="X492" s="61"/>
      <c r="Y492" s="61"/>
    </row>
    <row r="493" spans="1:25" x14ac:dyDescent="0.25">
      <c r="A493" s="12"/>
      <c r="B493" s="12"/>
      <c r="C493" s="12"/>
      <c r="D493" s="12"/>
      <c r="E493" s="12"/>
      <c r="F493" s="12"/>
      <c r="G493" s="12"/>
      <c r="H493" s="13"/>
      <c r="I493" s="12"/>
      <c r="J493" s="12"/>
      <c r="K493" s="12"/>
      <c r="L493" s="12"/>
      <c r="M493" s="12"/>
      <c r="N493" s="121"/>
      <c r="O493" s="118"/>
      <c r="P493" s="81"/>
      <c r="Q493" s="82"/>
      <c r="R493" s="82"/>
      <c r="S493" s="82"/>
      <c r="T493" s="89"/>
      <c r="U493" s="82"/>
      <c r="V493" s="82"/>
      <c r="W493" s="90"/>
      <c r="X493" s="82"/>
      <c r="Y493" s="82"/>
    </row>
    <row r="494" spans="1:25" x14ac:dyDescent="0.25">
      <c r="A494" s="12"/>
      <c r="B494" s="12"/>
      <c r="C494" s="12"/>
      <c r="D494" s="12"/>
      <c r="E494" s="12"/>
      <c r="F494" s="12"/>
      <c r="G494" s="12"/>
      <c r="H494" s="13"/>
      <c r="I494" s="12"/>
      <c r="J494" s="12"/>
      <c r="K494" s="12"/>
      <c r="L494" s="12"/>
      <c r="M494" s="12"/>
      <c r="N494" s="122"/>
      <c r="O494" s="120"/>
      <c r="P494" s="60"/>
      <c r="Q494" s="61"/>
      <c r="R494" s="61"/>
      <c r="S494" s="61"/>
      <c r="T494" s="91"/>
      <c r="U494" s="61"/>
      <c r="V494" s="61"/>
      <c r="W494" s="92"/>
      <c r="X494" s="61"/>
      <c r="Y494" s="61"/>
    </row>
    <row r="495" spans="1:25" x14ac:dyDescent="0.25">
      <c r="A495" s="24"/>
      <c r="B495" s="24"/>
      <c r="C495" s="24"/>
      <c r="D495" s="24"/>
      <c r="E495" s="24"/>
      <c r="F495" s="24"/>
      <c r="G495" s="24"/>
      <c r="H495" s="25"/>
      <c r="I495" s="24"/>
      <c r="J495" s="24"/>
      <c r="K495" s="24"/>
      <c r="L495" s="24"/>
      <c r="M495" s="24"/>
      <c r="N495" s="121"/>
      <c r="O495" s="118"/>
      <c r="P495" s="81"/>
      <c r="Q495" s="82"/>
      <c r="R495" s="82"/>
      <c r="S495" s="82"/>
      <c r="T495" s="89"/>
      <c r="U495" s="82"/>
      <c r="V495" s="82"/>
      <c r="W495" s="90"/>
      <c r="X495" s="82"/>
      <c r="Y495" s="82"/>
    </row>
    <row r="496" spans="1:25" x14ac:dyDescent="0.25">
      <c r="A496" s="12"/>
      <c r="B496" s="12"/>
      <c r="C496" s="12"/>
      <c r="D496" s="12"/>
      <c r="E496" s="12"/>
      <c r="F496" s="12"/>
      <c r="G496" s="12"/>
      <c r="H496" s="13"/>
      <c r="I496" s="12"/>
      <c r="J496" s="12"/>
      <c r="K496" s="12"/>
      <c r="L496" s="12"/>
      <c r="M496" s="12"/>
      <c r="N496" s="122"/>
      <c r="O496" s="120"/>
      <c r="P496" s="60"/>
      <c r="Q496" s="61"/>
      <c r="R496" s="61"/>
      <c r="S496" s="61"/>
      <c r="T496" s="91"/>
      <c r="U496" s="61"/>
      <c r="V496" s="61"/>
      <c r="W496" s="92"/>
      <c r="X496" s="61"/>
      <c r="Y496" s="61"/>
    </row>
    <row r="497" spans="1:25" x14ac:dyDescent="0.25">
      <c r="A497" s="24"/>
      <c r="B497" s="24"/>
      <c r="C497" s="24"/>
      <c r="D497" s="24"/>
      <c r="E497" s="24"/>
      <c r="F497" s="24"/>
      <c r="G497" s="24"/>
      <c r="H497" s="25"/>
      <c r="I497" s="24"/>
      <c r="J497" s="24"/>
      <c r="K497" s="24"/>
      <c r="L497" s="24"/>
      <c r="M497" s="24"/>
      <c r="N497" s="121"/>
      <c r="O497" s="118"/>
      <c r="P497" s="81"/>
      <c r="Q497" s="82"/>
      <c r="R497" s="82"/>
      <c r="S497" s="82"/>
      <c r="T497" s="89"/>
      <c r="U497" s="82"/>
      <c r="V497" s="82"/>
      <c r="W497" s="90"/>
      <c r="X497" s="82"/>
      <c r="Y497" s="82"/>
    </row>
    <row r="498" spans="1:25" x14ac:dyDescent="0.25">
      <c r="A498" s="12"/>
      <c r="B498" s="12"/>
      <c r="C498" s="12"/>
      <c r="D498" s="12"/>
      <c r="E498" s="12"/>
      <c r="F498" s="12"/>
      <c r="G498" s="12"/>
      <c r="H498" s="13"/>
      <c r="I498" s="12"/>
      <c r="J498" s="12"/>
      <c r="K498" s="12"/>
      <c r="L498" s="12"/>
      <c r="M498" s="12"/>
      <c r="N498" s="122"/>
      <c r="O498" s="120"/>
      <c r="P498" s="60"/>
      <c r="Q498" s="61"/>
      <c r="R498" s="61"/>
      <c r="S498" s="61"/>
      <c r="T498" s="91"/>
      <c r="U498" s="61"/>
      <c r="V498" s="61"/>
      <c r="W498" s="92"/>
      <c r="X498" s="61"/>
      <c r="Y498" s="61"/>
    </row>
    <row r="499" spans="1:25" x14ac:dyDescent="0.25">
      <c r="A499" s="24"/>
      <c r="B499" s="24"/>
      <c r="C499" s="24"/>
      <c r="D499" s="24"/>
      <c r="E499" s="24"/>
      <c r="F499" s="24"/>
      <c r="G499" s="24"/>
      <c r="H499" s="25"/>
      <c r="I499" s="24"/>
      <c r="J499" s="24"/>
      <c r="K499" s="24"/>
      <c r="L499" s="24"/>
      <c r="M499" s="24"/>
      <c r="N499" s="121"/>
      <c r="O499" s="118"/>
      <c r="P499" s="81"/>
      <c r="Q499" s="82"/>
      <c r="R499" s="82"/>
      <c r="S499" s="82"/>
      <c r="T499" s="89"/>
      <c r="U499" s="82"/>
      <c r="V499" s="82"/>
      <c r="W499" s="90"/>
      <c r="X499" s="82"/>
      <c r="Y499" s="82"/>
    </row>
    <row r="500" spans="1:25" x14ac:dyDescent="0.25">
      <c r="A500" s="12"/>
      <c r="B500" s="12"/>
      <c r="C500" s="12"/>
      <c r="D500" s="12"/>
      <c r="E500" s="12"/>
      <c r="F500" s="12"/>
      <c r="G500" s="12"/>
      <c r="H500" s="13"/>
      <c r="I500" s="12"/>
      <c r="J500" s="12"/>
      <c r="K500" s="12"/>
      <c r="L500" s="12"/>
      <c r="M500" s="12"/>
      <c r="N500" s="122"/>
      <c r="O500" s="120"/>
      <c r="P500" s="60"/>
      <c r="Q500" s="61"/>
      <c r="R500" s="61"/>
      <c r="S500" s="61"/>
      <c r="T500" s="91"/>
      <c r="U500" s="61"/>
      <c r="V500" s="61"/>
      <c r="W500" s="92"/>
      <c r="X500" s="61"/>
      <c r="Y500" s="61"/>
    </row>
    <row r="501" spans="1:25" x14ac:dyDescent="0.25">
      <c r="A501" s="24"/>
      <c r="B501" s="24"/>
      <c r="C501" s="24"/>
      <c r="D501" s="24"/>
      <c r="E501" s="24"/>
      <c r="F501" s="24"/>
      <c r="G501" s="24"/>
      <c r="H501" s="25"/>
      <c r="I501" s="24"/>
      <c r="J501" s="24"/>
      <c r="K501" s="24"/>
      <c r="L501" s="24"/>
      <c r="M501" s="24"/>
      <c r="N501" s="121"/>
      <c r="O501" s="118"/>
      <c r="P501" s="81"/>
      <c r="Q501" s="82"/>
      <c r="R501" s="82"/>
      <c r="S501" s="82"/>
      <c r="T501" s="89"/>
      <c r="U501" s="82"/>
      <c r="V501" s="82"/>
      <c r="W501" s="90"/>
      <c r="X501" s="82"/>
      <c r="Y501" s="82"/>
    </row>
    <row r="502" spans="1:25" x14ac:dyDescent="0.25">
      <c r="A502" s="12"/>
      <c r="B502" s="12"/>
      <c r="C502" s="12"/>
      <c r="D502" s="12"/>
      <c r="E502" s="12"/>
      <c r="F502" s="12"/>
      <c r="G502" s="12"/>
      <c r="H502" s="13"/>
      <c r="I502" s="12"/>
      <c r="J502" s="12"/>
      <c r="K502" s="12"/>
      <c r="L502" s="12"/>
      <c r="M502" s="12"/>
      <c r="N502" s="122"/>
      <c r="O502" s="120"/>
      <c r="P502" s="60"/>
      <c r="Q502" s="61"/>
      <c r="R502" s="61"/>
      <c r="S502" s="61"/>
      <c r="T502" s="91"/>
      <c r="U502" s="61"/>
      <c r="V502" s="61"/>
      <c r="W502" s="92"/>
      <c r="X502" s="61"/>
      <c r="Y502" s="61"/>
    </row>
    <row r="503" spans="1:25" x14ac:dyDescent="0.25">
      <c r="N503" s="121"/>
      <c r="O503" s="118"/>
      <c r="P503" s="81"/>
      <c r="Q503" s="82"/>
      <c r="R503" s="82"/>
      <c r="S503" s="82"/>
      <c r="T503" s="89"/>
      <c r="U503" s="82"/>
      <c r="V503" s="82"/>
      <c r="W503" s="90"/>
      <c r="X503" s="82"/>
      <c r="Y503" s="82"/>
    </row>
    <row r="504" spans="1:25" x14ac:dyDescent="0.25">
      <c r="A504" s="12"/>
      <c r="B504" s="12"/>
      <c r="C504" s="12"/>
      <c r="D504" s="12"/>
      <c r="E504" s="12"/>
      <c r="F504" s="12"/>
      <c r="G504" s="12"/>
      <c r="H504" s="13"/>
      <c r="I504" s="12"/>
      <c r="J504" s="12"/>
      <c r="K504" s="12"/>
      <c r="L504" s="12"/>
      <c r="M504" s="12"/>
      <c r="N504" s="123"/>
      <c r="O504" s="124"/>
      <c r="P504" s="109"/>
      <c r="Q504" s="110"/>
      <c r="R504" s="111"/>
      <c r="S504" s="111"/>
      <c r="T504" s="112"/>
      <c r="U504" s="113"/>
      <c r="V504" s="114"/>
      <c r="W504" s="114"/>
      <c r="X504" s="114"/>
      <c r="Y504" s="114"/>
    </row>
    <row r="505" spans="1:25" x14ac:dyDescent="0.25">
      <c r="A505" s="24"/>
      <c r="B505" s="24"/>
      <c r="C505" s="24"/>
      <c r="D505" s="24"/>
      <c r="E505" s="24"/>
      <c r="F505" s="24"/>
      <c r="G505" s="24"/>
      <c r="H505" s="25"/>
      <c r="I505" s="24"/>
      <c r="J505" s="24"/>
      <c r="K505" s="24"/>
      <c r="L505" s="24"/>
      <c r="M505" s="24"/>
      <c r="N505" s="121"/>
      <c r="O505" s="118"/>
      <c r="P505" s="81"/>
      <c r="Q505" s="82"/>
      <c r="R505" s="82"/>
      <c r="S505" s="82"/>
      <c r="T505" s="89"/>
      <c r="U505" s="82"/>
      <c r="V505" s="82"/>
      <c r="W505" s="90"/>
      <c r="X505" s="82"/>
      <c r="Y505" s="82"/>
    </row>
    <row r="506" spans="1:25" x14ac:dyDescent="0.25">
      <c r="A506" s="12"/>
      <c r="B506" s="12"/>
      <c r="C506" s="12"/>
      <c r="D506" s="12"/>
      <c r="E506" s="12"/>
      <c r="F506" s="12"/>
      <c r="G506" s="12"/>
      <c r="H506" s="13"/>
      <c r="I506" s="12"/>
      <c r="J506" s="12"/>
      <c r="K506" s="12"/>
      <c r="L506" s="12"/>
      <c r="M506" s="12"/>
      <c r="N506" s="122"/>
      <c r="O506" s="120"/>
      <c r="P506" s="60"/>
      <c r="Q506" s="61"/>
      <c r="R506" s="61"/>
      <c r="S506" s="61"/>
      <c r="T506" s="91"/>
      <c r="U506" s="61"/>
      <c r="V506" s="61"/>
      <c r="W506" s="92"/>
      <c r="X506" s="61"/>
      <c r="Y506" s="61"/>
    </row>
    <row r="507" spans="1:25" x14ac:dyDescent="0.25">
      <c r="A507" s="24"/>
      <c r="B507" s="24"/>
      <c r="C507" s="24"/>
      <c r="D507" s="24"/>
      <c r="E507" s="24"/>
      <c r="F507" s="24"/>
      <c r="G507" s="24"/>
      <c r="H507" s="25"/>
      <c r="I507" s="24"/>
      <c r="J507" s="24"/>
      <c r="K507" s="24"/>
      <c r="L507" s="24"/>
      <c r="M507" s="24"/>
      <c r="N507" s="121"/>
      <c r="O507" s="118"/>
      <c r="P507" s="81"/>
      <c r="Q507" s="82"/>
      <c r="R507" s="82"/>
      <c r="S507" s="82"/>
      <c r="T507" s="89"/>
      <c r="U507" s="82"/>
      <c r="V507" s="82"/>
      <c r="W507" s="90"/>
      <c r="X507" s="82"/>
      <c r="Y507" s="82"/>
    </row>
    <row r="508" spans="1:25" x14ac:dyDescent="0.25">
      <c r="A508" s="12"/>
      <c r="B508" s="12"/>
      <c r="C508" s="12"/>
      <c r="D508" s="12"/>
      <c r="E508" s="12"/>
      <c r="F508" s="12"/>
      <c r="G508" s="12"/>
      <c r="H508" s="13"/>
      <c r="I508" s="12"/>
      <c r="J508" s="12"/>
      <c r="K508" s="12"/>
      <c r="L508" s="12"/>
      <c r="M508" s="12"/>
      <c r="N508" s="122"/>
      <c r="O508" s="120"/>
      <c r="P508" s="60"/>
      <c r="Q508" s="61"/>
      <c r="R508" s="61"/>
      <c r="S508" s="61"/>
      <c r="T508" s="91"/>
      <c r="U508" s="61"/>
      <c r="V508" s="61"/>
      <c r="W508" s="92"/>
      <c r="X508" s="61"/>
      <c r="Y508" s="61"/>
    </row>
    <row r="509" spans="1:25" x14ac:dyDescent="0.25">
      <c r="A509" s="24"/>
      <c r="B509" s="24"/>
      <c r="C509" s="24"/>
      <c r="D509" s="24"/>
      <c r="E509" s="24"/>
      <c r="F509" s="24"/>
      <c r="G509" s="24"/>
      <c r="H509" s="25"/>
      <c r="I509" s="24"/>
      <c r="J509" s="24"/>
      <c r="K509" s="24"/>
      <c r="L509" s="24"/>
      <c r="M509" s="24"/>
      <c r="N509" s="121"/>
      <c r="O509" s="118"/>
      <c r="P509" s="81"/>
      <c r="Q509" s="82"/>
      <c r="R509" s="82"/>
      <c r="S509" s="82"/>
      <c r="T509" s="89"/>
      <c r="U509" s="82"/>
      <c r="V509" s="82"/>
      <c r="W509" s="90"/>
      <c r="X509" s="82"/>
      <c r="Y509" s="82"/>
    </row>
    <row r="510" spans="1:25" x14ac:dyDescent="0.25">
      <c r="A510" s="12"/>
      <c r="B510" s="12"/>
      <c r="C510" s="12"/>
      <c r="D510" s="12"/>
      <c r="E510" s="12"/>
      <c r="F510" s="12"/>
      <c r="G510" s="12"/>
      <c r="H510" s="13"/>
      <c r="I510" s="12"/>
      <c r="J510" s="12"/>
      <c r="K510" s="12"/>
      <c r="L510" s="12"/>
      <c r="M510" s="12"/>
      <c r="N510" s="122"/>
      <c r="O510" s="120"/>
      <c r="P510" s="60"/>
      <c r="Q510" s="61"/>
      <c r="R510" s="61"/>
      <c r="S510" s="61"/>
      <c r="T510" s="91"/>
      <c r="U510" s="61"/>
      <c r="V510" s="61"/>
      <c r="W510" s="92"/>
      <c r="X510" s="61"/>
      <c r="Y510" s="61"/>
    </row>
    <row r="511" spans="1:25" x14ac:dyDescent="0.25">
      <c r="A511" s="12"/>
      <c r="B511" s="12"/>
      <c r="C511" s="12"/>
      <c r="D511" s="12"/>
      <c r="E511" s="12"/>
      <c r="F511" s="12"/>
      <c r="G511" s="12"/>
      <c r="H511" s="13"/>
      <c r="I511" s="12"/>
      <c r="J511" s="12"/>
      <c r="K511" s="12"/>
      <c r="L511" s="12"/>
      <c r="M511" s="12"/>
      <c r="N511" s="121"/>
      <c r="O511" s="118"/>
      <c r="P511" s="81"/>
      <c r="Q511" s="82"/>
      <c r="R511" s="82"/>
      <c r="S511" s="82"/>
      <c r="T511" s="89"/>
      <c r="U511" s="82"/>
      <c r="V511" s="82"/>
      <c r="W511" s="90"/>
      <c r="X511" s="82"/>
      <c r="Y511" s="82"/>
    </row>
    <row r="512" spans="1:25" x14ac:dyDescent="0.25">
      <c r="A512" s="24"/>
      <c r="B512" s="24"/>
      <c r="C512" s="24"/>
      <c r="D512" s="24"/>
      <c r="E512" s="24"/>
      <c r="F512" s="24"/>
      <c r="G512" s="24"/>
      <c r="H512" s="25"/>
      <c r="I512" s="24"/>
      <c r="J512" s="24"/>
      <c r="K512" s="24"/>
      <c r="L512" s="24"/>
      <c r="M512" s="24"/>
      <c r="N512" s="122"/>
      <c r="O512" s="120"/>
      <c r="P512" s="60"/>
      <c r="Q512" s="61"/>
      <c r="R512" s="61"/>
      <c r="S512" s="61"/>
      <c r="T512" s="91"/>
      <c r="U512" s="61"/>
      <c r="V512" s="61"/>
      <c r="W512" s="92"/>
      <c r="X512" s="61"/>
      <c r="Y512" s="61"/>
    </row>
    <row r="513" spans="1:25" x14ac:dyDescent="0.25">
      <c r="A513" s="12"/>
      <c r="B513" s="12"/>
      <c r="C513" s="12"/>
      <c r="D513" s="12"/>
      <c r="E513" s="12"/>
      <c r="F513" s="12"/>
      <c r="G513" s="12"/>
      <c r="H513" s="13"/>
      <c r="I513" s="12"/>
      <c r="J513" s="12"/>
      <c r="K513" s="12"/>
      <c r="L513" s="12"/>
      <c r="M513" s="12"/>
      <c r="N513" s="121"/>
      <c r="O513" s="118"/>
      <c r="P513" s="81"/>
      <c r="Q513" s="82"/>
      <c r="R513" s="82"/>
      <c r="S513" s="82"/>
      <c r="T513" s="89"/>
      <c r="U513" s="82"/>
      <c r="V513" s="82"/>
      <c r="W513" s="90"/>
      <c r="X513" s="82"/>
      <c r="Y513" s="82"/>
    </row>
    <row r="514" spans="1:25" x14ac:dyDescent="0.25">
      <c r="A514" s="24"/>
      <c r="B514" s="24"/>
      <c r="C514" s="24"/>
      <c r="D514" s="24"/>
      <c r="E514" s="24"/>
      <c r="F514" s="24"/>
      <c r="G514" s="24"/>
      <c r="H514" s="25"/>
      <c r="I514" s="24"/>
      <c r="J514" s="24"/>
      <c r="K514" s="24"/>
      <c r="L514" s="24"/>
      <c r="M514" s="24"/>
      <c r="N514" s="122"/>
      <c r="O514" s="120"/>
      <c r="P514" s="60"/>
      <c r="Q514" s="61"/>
      <c r="R514" s="61"/>
      <c r="S514" s="61"/>
      <c r="T514" s="91"/>
      <c r="U514" s="61"/>
      <c r="V514" s="61"/>
      <c r="W514" s="92"/>
      <c r="X514" s="61"/>
      <c r="Y514" s="61"/>
    </row>
    <row r="515" spans="1:25" x14ac:dyDescent="0.25">
      <c r="A515" s="12"/>
      <c r="B515" s="12"/>
      <c r="C515" s="12"/>
      <c r="D515" s="12"/>
      <c r="E515" s="12"/>
      <c r="F515" s="12"/>
      <c r="G515" s="12"/>
      <c r="H515" s="13"/>
      <c r="I515" s="12"/>
      <c r="J515" s="12"/>
      <c r="K515" s="12"/>
      <c r="L515" s="12"/>
      <c r="M515" s="12"/>
      <c r="N515" s="121"/>
      <c r="O515" s="118"/>
      <c r="P515" s="81"/>
      <c r="Q515" s="82"/>
      <c r="R515" s="82"/>
      <c r="S515" s="82"/>
      <c r="T515" s="89"/>
      <c r="U515" s="82"/>
      <c r="V515" s="82"/>
      <c r="W515" s="90"/>
      <c r="X515" s="82"/>
      <c r="Y515" s="82"/>
    </row>
    <row r="516" spans="1:25" x14ac:dyDescent="0.25">
      <c r="A516" s="24"/>
      <c r="B516" s="24"/>
      <c r="C516" s="24"/>
      <c r="D516" s="24"/>
      <c r="E516" s="24"/>
      <c r="F516" s="24"/>
      <c r="G516" s="24"/>
      <c r="H516" s="25"/>
      <c r="I516" s="24"/>
      <c r="J516" s="24"/>
      <c r="K516" s="24"/>
      <c r="L516" s="24"/>
      <c r="M516" s="24"/>
      <c r="N516" s="122"/>
      <c r="O516" s="120"/>
      <c r="P516" s="60"/>
      <c r="Q516" s="61"/>
      <c r="R516" s="61"/>
      <c r="S516" s="61"/>
      <c r="T516" s="91"/>
      <c r="U516" s="61"/>
      <c r="V516" s="61"/>
      <c r="W516" s="92"/>
      <c r="X516" s="61"/>
      <c r="Y516" s="61"/>
    </row>
    <row r="517" spans="1:25" x14ac:dyDescent="0.25">
      <c r="A517" s="12"/>
      <c r="B517" s="12"/>
      <c r="C517" s="12"/>
      <c r="D517" s="12"/>
      <c r="E517" s="12"/>
      <c r="F517" s="12"/>
      <c r="G517" s="12"/>
      <c r="H517" s="13"/>
      <c r="I517" s="12"/>
      <c r="J517" s="12"/>
      <c r="K517" s="12"/>
      <c r="L517" s="12"/>
      <c r="M517" s="12"/>
      <c r="N517" s="121"/>
      <c r="O517" s="118"/>
      <c r="P517" s="81"/>
      <c r="Q517" s="82"/>
      <c r="R517" s="82"/>
      <c r="S517" s="82"/>
      <c r="T517" s="89"/>
      <c r="U517" s="82"/>
      <c r="V517" s="82"/>
      <c r="W517" s="90"/>
      <c r="X517" s="82"/>
      <c r="Y517" s="82"/>
    </row>
    <row r="518" spans="1:25" x14ac:dyDescent="0.25">
      <c r="A518" s="24"/>
      <c r="B518" s="24"/>
      <c r="C518" s="24"/>
      <c r="D518" s="24"/>
      <c r="E518" s="24"/>
      <c r="F518" s="24"/>
      <c r="G518" s="24"/>
      <c r="H518" s="25"/>
      <c r="I518" s="24"/>
      <c r="J518" s="24"/>
      <c r="K518" s="24"/>
      <c r="L518" s="24"/>
      <c r="M518" s="24"/>
      <c r="N518" s="122"/>
      <c r="O518" s="120"/>
      <c r="P518" s="60"/>
      <c r="Q518" s="61"/>
      <c r="R518" s="61"/>
      <c r="S518" s="61"/>
      <c r="T518" s="91"/>
      <c r="U518" s="61"/>
      <c r="V518" s="61"/>
      <c r="W518" s="92"/>
      <c r="X518" s="61"/>
      <c r="Y518" s="61"/>
    </row>
    <row r="519" spans="1:25" x14ac:dyDescent="0.25">
      <c r="A519" s="12"/>
      <c r="B519" s="12"/>
      <c r="C519" s="12"/>
      <c r="D519" s="12"/>
      <c r="E519" s="12"/>
      <c r="F519" s="12"/>
      <c r="G519" s="12"/>
      <c r="H519" s="13"/>
      <c r="I519" s="12"/>
      <c r="J519" s="12"/>
      <c r="K519" s="12"/>
      <c r="L519" s="12"/>
      <c r="M519" s="12"/>
      <c r="N519" s="121"/>
      <c r="O519" s="118"/>
      <c r="P519" s="81"/>
      <c r="Q519" s="82"/>
      <c r="R519" s="82"/>
      <c r="S519" s="82"/>
      <c r="T519" s="89"/>
      <c r="U519" s="82"/>
      <c r="V519" s="82"/>
      <c r="W519" s="90"/>
      <c r="X519" s="82"/>
      <c r="Y519" s="82"/>
    </row>
    <row r="520" spans="1:25" ht="15" x14ac:dyDescent="0.2">
      <c r="N520" s="123"/>
      <c r="O520" s="124"/>
      <c r="P520" s="109"/>
      <c r="Q520" s="110"/>
      <c r="R520" s="111"/>
      <c r="S520" s="111"/>
      <c r="T520" s="112"/>
      <c r="U520" s="113"/>
      <c r="V520" s="114"/>
      <c r="W520" s="114"/>
      <c r="X520" s="114"/>
      <c r="Y520" s="114"/>
    </row>
    <row r="521" spans="1:25" x14ac:dyDescent="0.25">
      <c r="A521" s="12"/>
      <c r="B521" s="12"/>
      <c r="C521" s="12"/>
      <c r="D521" s="12"/>
      <c r="E521" s="12"/>
      <c r="F521" s="12"/>
      <c r="G521" s="12"/>
      <c r="H521" s="13"/>
      <c r="I521" s="12"/>
      <c r="J521" s="12"/>
      <c r="K521" s="12"/>
      <c r="L521" s="12"/>
      <c r="M521" s="12"/>
      <c r="N521" s="121"/>
      <c r="O521" s="118"/>
      <c r="P521" s="81"/>
      <c r="Q521" s="82"/>
      <c r="R521" s="82"/>
      <c r="S521" s="82"/>
      <c r="T521" s="89"/>
      <c r="U521" s="82"/>
      <c r="V521" s="82"/>
      <c r="W521" s="90"/>
      <c r="X521" s="82"/>
      <c r="Y521" s="82"/>
    </row>
    <row r="522" spans="1:25" x14ac:dyDescent="0.25">
      <c r="A522" s="24"/>
      <c r="B522" s="24"/>
      <c r="C522" s="24"/>
      <c r="D522" s="24"/>
      <c r="E522" s="24"/>
      <c r="F522" s="24"/>
      <c r="G522" s="24"/>
      <c r="H522" s="25"/>
      <c r="I522" s="24"/>
      <c r="J522" s="24"/>
      <c r="K522" s="24"/>
      <c r="L522" s="24"/>
      <c r="M522" s="24"/>
      <c r="N522" s="122"/>
      <c r="O522" s="120"/>
      <c r="P522" s="60"/>
      <c r="Q522" s="61"/>
      <c r="R522" s="61"/>
      <c r="S522" s="61"/>
      <c r="T522" s="91"/>
      <c r="U522" s="61"/>
      <c r="V522" s="61"/>
      <c r="W522" s="92"/>
      <c r="X522" s="61"/>
      <c r="Y522" s="61"/>
    </row>
    <row r="523" spans="1:25" x14ac:dyDescent="0.25">
      <c r="A523" s="12"/>
      <c r="B523" s="12"/>
      <c r="C523" s="12"/>
      <c r="D523" s="12"/>
      <c r="E523" s="12"/>
      <c r="F523" s="12"/>
      <c r="G523" s="12"/>
      <c r="H523" s="13"/>
      <c r="I523" s="12"/>
      <c r="J523" s="12"/>
      <c r="K523" s="12"/>
      <c r="L523" s="12"/>
      <c r="M523" s="12"/>
      <c r="N523" s="121"/>
      <c r="O523" s="118"/>
      <c r="P523" s="81"/>
      <c r="Q523" s="82"/>
      <c r="R523" s="82"/>
      <c r="S523" s="82"/>
      <c r="T523" s="89"/>
      <c r="U523" s="82"/>
      <c r="V523" s="82"/>
      <c r="W523" s="90"/>
      <c r="X523" s="82"/>
      <c r="Y523" s="82"/>
    </row>
    <row r="524" spans="1:25" x14ac:dyDescent="0.25">
      <c r="A524" s="24"/>
      <c r="B524" s="24"/>
      <c r="C524" s="24"/>
      <c r="D524" s="24"/>
      <c r="E524" s="24"/>
      <c r="F524" s="24"/>
      <c r="G524" s="24"/>
      <c r="H524" s="25"/>
      <c r="I524" s="24"/>
      <c r="J524" s="24"/>
      <c r="K524" s="24"/>
      <c r="L524" s="24"/>
      <c r="M524" s="24"/>
      <c r="N524" s="122"/>
      <c r="O524" s="120"/>
      <c r="P524" s="60"/>
      <c r="Q524" s="61"/>
      <c r="R524" s="61"/>
      <c r="S524" s="61"/>
      <c r="T524" s="91"/>
      <c r="U524" s="61"/>
      <c r="V524" s="61"/>
      <c r="W524" s="92"/>
      <c r="X524" s="61"/>
      <c r="Y524" s="61"/>
    </row>
    <row r="525" spans="1:25" x14ac:dyDescent="0.25">
      <c r="N525" s="125"/>
      <c r="O525" s="125"/>
      <c r="P525" s="126"/>
      <c r="Q525" s="62"/>
      <c r="R525" s="62"/>
      <c r="S525" s="127"/>
      <c r="T525" s="11"/>
      <c r="U525" s="124"/>
      <c r="V525" s="11"/>
      <c r="W525" s="124"/>
      <c r="X525" s="128"/>
      <c r="Y525" s="129"/>
    </row>
    <row r="526" spans="1:25" x14ac:dyDescent="0.25">
      <c r="N526" s="125"/>
      <c r="O526" s="125"/>
      <c r="P526" s="126"/>
      <c r="Q526" s="62"/>
      <c r="R526" s="62"/>
      <c r="S526" s="127"/>
      <c r="T526" s="11"/>
      <c r="U526" s="124"/>
      <c r="V526" s="11"/>
      <c r="W526" s="124"/>
      <c r="X526" s="128"/>
      <c r="Y526" s="129"/>
    </row>
    <row r="527" spans="1:25" x14ac:dyDescent="0.25">
      <c r="N527" s="125"/>
      <c r="O527" s="125"/>
      <c r="P527" s="126"/>
      <c r="Q527" s="62"/>
      <c r="R527" s="62"/>
      <c r="S527" s="127"/>
      <c r="T527" s="11"/>
      <c r="U527" s="124"/>
      <c r="V527" s="11"/>
      <c r="W527" s="124"/>
      <c r="X527" s="128"/>
      <c r="Y527" s="129"/>
    </row>
    <row r="528" spans="1:25" x14ac:dyDescent="0.25">
      <c r="N528" s="125"/>
      <c r="O528" s="125"/>
      <c r="P528" s="126"/>
      <c r="Q528" s="62"/>
      <c r="R528" s="62"/>
      <c r="S528" s="127"/>
      <c r="T528" s="11"/>
      <c r="U528" s="124"/>
      <c r="V528" s="11"/>
      <c r="W528" s="124"/>
      <c r="X528" s="128"/>
      <c r="Y528" s="129"/>
    </row>
    <row r="529" spans="14:25" x14ac:dyDescent="0.25">
      <c r="N529" s="125"/>
      <c r="O529" s="125"/>
      <c r="P529" s="126"/>
      <c r="Q529" s="62"/>
      <c r="R529" s="62"/>
      <c r="S529" s="127"/>
      <c r="T529" s="11"/>
      <c r="U529" s="124"/>
      <c r="V529" s="11"/>
      <c r="W529" s="124"/>
      <c r="X529" s="128"/>
      <c r="Y529" s="129"/>
    </row>
    <row r="530" spans="14:25" x14ac:dyDescent="0.25">
      <c r="N530" s="125"/>
      <c r="O530" s="125"/>
      <c r="P530" s="126"/>
      <c r="Q530" s="62"/>
      <c r="R530" s="62"/>
      <c r="S530" s="127"/>
      <c r="T530" s="11"/>
      <c r="U530" s="124"/>
      <c r="V530" s="11"/>
      <c r="W530" s="124"/>
      <c r="X530" s="128"/>
      <c r="Y530" s="129"/>
    </row>
    <row r="531" spans="14:25" x14ac:dyDescent="0.25">
      <c r="N531" s="125"/>
      <c r="O531" s="125"/>
      <c r="P531" s="126"/>
      <c r="Q531" s="62"/>
      <c r="R531" s="62"/>
      <c r="S531" s="127"/>
      <c r="T531" s="11"/>
      <c r="U531" s="124"/>
      <c r="V531" s="11"/>
      <c r="W531" s="124"/>
      <c r="X531" s="128"/>
      <c r="Y531" s="129"/>
    </row>
    <row r="532" spans="14:25" x14ac:dyDescent="0.25">
      <c r="N532" s="125"/>
      <c r="O532" s="125"/>
      <c r="P532" s="126"/>
      <c r="Q532" s="62"/>
      <c r="R532" s="62"/>
      <c r="S532" s="127"/>
      <c r="T532" s="11"/>
      <c r="U532" s="124"/>
      <c r="V532" s="11"/>
      <c r="W532" s="124"/>
      <c r="X532" s="128"/>
      <c r="Y532" s="129"/>
    </row>
    <row r="533" spans="14:25" x14ac:dyDescent="0.25">
      <c r="N533" s="125"/>
      <c r="O533" s="125"/>
      <c r="P533" s="126"/>
      <c r="Q533" s="62"/>
      <c r="R533" s="62"/>
      <c r="S533" s="127"/>
      <c r="T533" s="11"/>
      <c r="U533" s="124"/>
      <c r="V533" s="11"/>
      <c r="W533" s="124"/>
      <c r="X533" s="128"/>
      <c r="Y533" s="129"/>
    </row>
    <row r="534" spans="14:25" x14ac:dyDescent="0.25">
      <c r="N534" s="125"/>
      <c r="O534" s="125"/>
      <c r="P534" s="126"/>
      <c r="Q534" s="62"/>
      <c r="R534" s="62"/>
      <c r="S534" s="127"/>
      <c r="T534" s="11"/>
      <c r="U534" s="124"/>
      <c r="V534" s="11"/>
      <c r="W534" s="124"/>
      <c r="X534" s="128"/>
      <c r="Y534" s="129"/>
    </row>
    <row r="535" spans="14:25" x14ac:dyDescent="0.25">
      <c r="N535" s="125"/>
      <c r="O535" s="125"/>
      <c r="P535" s="126"/>
      <c r="Q535" s="62"/>
      <c r="R535" s="62"/>
      <c r="S535" s="127"/>
      <c r="T535" s="11"/>
      <c r="U535" s="124"/>
      <c r="V535" s="11"/>
      <c r="W535" s="124"/>
      <c r="X535" s="128"/>
      <c r="Y535" s="129"/>
    </row>
    <row r="536" spans="14:25" x14ac:dyDescent="0.25">
      <c r="N536" s="125"/>
      <c r="O536" s="125"/>
      <c r="P536" s="126"/>
      <c r="Q536" s="62"/>
      <c r="R536" s="62"/>
      <c r="S536" s="127"/>
      <c r="T536" s="11"/>
      <c r="U536" s="124"/>
      <c r="V536" s="11"/>
      <c r="W536" s="124"/>
      <c r="X536" s="128"/>
      <c r="Y536" s="129"/>
    </row>
    <row r="537" spans="14:25" x14ac:dyDescent="0.25">
      <c r="N537" s="125"/>
      <c r="O537" s="125"/>
      <c r="P537" s="126"/>
      <c r="Q537" s="62"/>
      <c r="R537" s="62"/>
      <c r="S537" s="127"/>
      <c r="T537" s="11"/>
      <c r="U537" s="124"/>
      <c r="V537" s="11"/>
      <c r="W537" s="124"/>
      <c r="X537" s="128"/>
      <c r="Y537" s="129"/>
    </row>
    <row r="538" spans="14:25" x14ac:dyDescent="0.25">
      <c r="N538" s="125"/>
      <c r="O538" s="125"/>
      <c r="P538" s="126"/>
      <c r="Q538" s="62"/>
      <c r="R538" s="62"/>
      <c r="S538" s="127"/>
      <c r="T538" s="11"/>
      <c r="U538" s="124"/>
      <c r="V538" s="11"/>
      <c r="W538" s="124"/>
      <c r="X538" s="128"/>
      <c r="Y538" s="129"/>
    </row>
    <row r="539" spans="14:25" x14ac:dyDescent="0.25">
      <c r="N539" s="125"/>
      <c r="O539" s="125"/>
      <c r="P539" s="126"/>
      <c r="Q539" s="62"/>
      <c r="R539" s="62"/>
      <c r="S539" s="127"/>
      <c r="T539" s="11"/>
      <c r="U539" s="124"/>
      <c r="V539" s="11"/>
      <c r="W539" s="124"/>
      <c r="X539" s="128"/>
      <c r="Y539" s="129"/>
    </row>
    <row r="540" spans="14:25" x14ac:dyDescent="0.25">
      <c r="N540" s="125"/>
      <c r="O540" s="125"/>
      <c r="P540" s="126"/>
      <c r="Q540" s="62"/>
      <c r="R540" s="62"/>
      <c r="S540" s="127"/>
      <c r="T540" s="11"/>
      <c r="U540" s="124"/>
      <c r="V540" s="11"/>
      <c r="W540" s="124"/>
      <c r="X540" s="128"/>
      <c r="Y540" s="129"/>
    </row>
    <row r="541" spans="14:25" x14ac:dyDescent="0.25">
      <c r="N541" s="125"/>
      <c r="O541" s="125"/>
      <c r="P541" s="126"/>
      <c r="Q541" s="62"/>
      <c r="R541" s="62"/>
      <c r="S541" s="127"/>
      <c r="T541" s="11"/>
      <c r="U541" s="124"/>
      <c r="V541" s="11"/>
      <c r="W541" s="124"/>
      <c r="X541" s="128"/>
      <c r="Y541" s="129"/>
    </row>
    <row r="542" spans="14:25" x14ac:dyDescent="0.25">
      <c r="N542" s="125"/>
      <c r="O542" s="125"/>
      <c r="P542" s="126"/>
      <c r="Q542" s="62"/>
      <c r="R542" s="62"/>
      <c r="S542" s="127"/>
      <c r="T542" s="11"/>
      <c r="U542" s="124"/>
      <c r="V542" s="11"/>
      <c r="W542" s="124"/>
      <c r="X542" s="128"/>
      <c r="Y542" s="129"/>
    </row>
    <row r="543" spans="14:25" x14ac:dyDescent="0.25">
      <c r="N543" s="125"/>
      <c r="O543" s="125"/>
      <c r="P543" s="126"/>
      <c r="Q543" s="62"/>
      <c r="R543" s="62"/>
      <c r="S543" s="127"/>
      <c r="T543" s="11"/>
      <c r="U543" s="124"/>
      <c r="V543" s="11"/>
      <c r="W543" s="124"/>
      <c r="X543" s="128"/>
      <c r="Y543" s="129"/>
    </row>
    <row r="544" spans="14:25" x14ac:dyDescent="0.25">
      <c r="N544" s="125"/>
      <c r="O544" s="125"/>
      <c r="P544" s="126"/>
      <c r="Q544" s="62"/>
      <c r="R544" s="62"/>
      <c r="S544" s="127"/>
      <c r="T544" s="11"/>
      <c r="U544" s="124"/>
      <c r="V544" s="11"/>
      <c r="W544" s="124"/>
      <c r="X544" s="128"/>
      <c r="Y544" s="129"/>
    </row>
    <row r="545" spans="14:25" x14ac:dyDescent="0.25">
      <c r="N545" s="125"/>
      <c r="O545" s="125"/>
      <c r="P545" s="126"/>
      <c r="Q545" s="62"/>
      <c r="R545" s="62"/>
      <c r="S545" s="127"/>
      <c r="T545" s="11"/>
      <c r="U545" s="124"/>
      <c r="V545" s="11"/>
      <c r="W545" s="124"/>
      <c r="X545" s="128"/>
      <c r="Y545" s="129"/>
    </row>
    <row r="546" spans="14:25" x14ac:dyDescent="0.25">
      <c r="N546" s="125"/>
      <c r="O546" s="125"/>
      <c r="P546" s="126"/>
      <c r="Q546" s="62"/>
      <c r="R546" s="62"/>
      <c r="S546" s="127"/>
      <c r="T546" s="11"/>
      <c r="U546" s="124"/>
      <c r="V546" s="11"/>
      <c r="W546" s="124"/>
      <c r="X546" s="128"/>
      <c r="Y546" s="129"/>
    </row>
    <row r="547" spans="14:25" x14ac:dyDescent="0.25">
      <c r="N547" s="125"/>
      <c r="O547" s="125"/>
      <c r="P547" s="126"/>
      <c r="Q547" s="62"/>
      <c r="R547" s="62"/>
      <c r="S547" s="127"/>
      <c r="T547" s="11"/>
      <c r="U547" s="124"/>
      <c r="V547" s="11"/>
      <c r="W547" s="124"/>
      <c r="X547" s="128"/>
      <c r="Y547" s="129"/>
    </row>
    <row r="548" spans="14:25" x14ac:dyDescent="0.25">
      <c r="N548" s="125"/>
      <c r="O548" s="125"/>
      <c r="P548" s="126"/>
      <c r="Q548" s="62"/>
      <c r="R548" s="62"/>
      <c r="S548" s="127"/>
      <c r="T548" s="11"/>
      <c r="U548" s="124"/>
      <c r="V548" s="11"/>
      <c r="W548" s="124"/>
      <c r="X548" s="128"/>
      <c r="Y548" s="129"/>
    </row>
    <row r="549" spans="14:25" x14ac:dyDescent="0.25">
      <c r="N549" s="125"/>
      <c r="O549" s="125"/>
      <c r="P549" s="126"/>
      <c r="Q549" s="62"/>
      <c r="R549" s="62"/>
      <c r="S549" s="127"/>
      <c r="T549" s="11"/>
      <c r="U549" s="124"/>
      <c r="V549" s="11"/>
      <c r="W549" s="124"/>
      <c r="X549" s="128"/>
      <c r="Y549" s="129"/>
    </row>
    <row r="550" spans="14:25" x14ac:dyDescent="0.25">
      <c r="N550" s="125"/>
      <c r="O550" s="125"/>
      <c r="P550" s="126"/>
      <c r="Q550" s="62"/>
      <c r="R550" s="62"/>
      <c r="S550" s="127"/>
      <c r="T550" s="11"/>
      <c r="U550" s="124"/>
      <c r="V550" s="11"/>
      <c r="W550" s="124"/>
      <c r="X550" s="128"/>
      <c r="Y550" s="129"/>
    </row>
    <row r="551" spans="14:25" x14ac:dyDescent="0.25">
      <c r="N551" s="125"/>
      <c r="O551" s="125"/>
      <c r="P551" s="126"/>
      <c r="Q551" s="62"/>
      <c r="R551" s="62"/>
      <c r="S551" s="127"/>
      <c r="T551" s="11"/>
      <c r="U551" s="124"/>
      <c r="V551" s="11"/>
      <c r="W551" s="124"/>
      <c r="X551" s="128"/>
      <c r="Y551" s="129"/>
    </row>
    <row r="552" spans="14:25" x14ac:dyDescent="0.25">
      <c r="N552" s="125"/>
      <c r="O552" s="125"/>
      <c r="P552" s="126"/>
      <c r="Q552" s="62"/>
      <c r="R552" s="62"/>
      <c r="S552" s="127"/>
      <c r="T552" s="11"/>
      <c r="U552" s="124"/>
      <c r="V552" s="11"/>
      <c r="W552" s="124"/>
      <c r="X552" s="128"/>
      <c r="Y552" s="129"/>
    </row>
    <row r="553" spans="14:25" x14ac:dyDescent="0.25">
      <c r="N553" s="125"/>
      <c r="O553" s="125"/>
      <c r="P553" s="126"/>
      <c r="Q553" s="62"/>
      <c r="R553" s="62"/>
      <c r="S553" s="127"/>
      <c r="T553" s="11"/>
      <c r="U553" s="124"/>
      <c r="V553" s="11"/>
      <c r="W553" s="124"/>
      <c r="X553" s="128"/>
      <c r="Y553" s="129"/>
    </row>
    <row r="554" spans="14:25" x14ac:dyDescent="0.25">
      <c r="N554" s="125"/>
      <c r="O554" s="125"/>
      <c r="P554" s="126"/>
      <c r="Q554" s="62"/>
      <c r="R554" s="62"/>
      <c r="S554" s="127"/>
      <c r="T554" s="11"/>
      <c r="U554" s="124"/>
      <c r="V554" s="11"/>
      <c r="W554" s="124"/>
      <c r="X554" s="128"/>
      <c r="Y554" s="129"/>
    </row>
    <row r="555" spans="14:25" x14ac:dyDescent="0.25">
      <c r="N555" s="125"/>
      <c r="O555" s="125"/>
      <c r="P555" s="126"/>
      <c r="Q555" s="62"/>
      <c r="R555" s="62"/>
      <c r="S555" s="127"/>
      <c r="T555" s="11"/>
      <c r="U555" s="124"/>
      <c r="V555" s="11"/>
      <c r="W555" s="124"/>
      <c r="X555" s="128"/>
      <c r="Y555" s="129"/>
    </row>
    <row r="556" spans="14:25" x14ac:dyDescent="0.25">
      <c r="N556" s="125"/>
      <c r="O556" s="125"/>
      <c r="P556" s="126"/>
      <c r="Q556" s="62"/>
      <c r="R556" s="62"/>
      <c r="S556" s="127"/>
      <c r="T556" s="11"/>
      <c r="U556" s="124"/>
      <c r="V556" s="11"/>
      <c r="W556" s="124"/>
      <c r="X556" s="128"/>
      <c r="Y556" s="129"/>
    </row>
    <row r="557" spans="14:25" x14ac:dyDescent="0.25">
      <c r="N557" s="125"/>
      <c r="O557" s="125"/>
      <c r="P557" s="126"/>
      <c r="Q557" s="62"/>
      <c r="R557" s="62"/>
      <c r="S557" s="127"/>
      <c r="T557" s="11"/>
      <c r="U557" s="124"/>
      <c r="V557" s="11"/>
      <c r="W557" s="124"/>
      <c r="X557" s="128"/>
      <c r="Y557" s="129"/>
    </row>
    <row r="558" spans="14:25" x14ac:dyDescent="0.25">
      <c r="N558" s="125"/>
      <c r="O558" s="125"/>
      <c r="P558" s="126"/>
      <c r="Q558" s="62"/>
      <c r="R558" s="62"/>
      <c r="S558" s="127"/>
      <c r="T558" s="11"/>
      <c r="U558" s="124"/>
      <c r="V558" s="11"/>
      <c r="W558" s="124"/>
      <c r="X558" s="128"/>
      <c r="Y558" s="129"/>
    </row>
    <row r="559" spans="14:25" x14ac:dyDescent="0.25">
      <c r="N559" s="125"/>
      <c r="O559" s="125"/>
      <c r="P559" s="126"/>
      <c r="Q559" s="62"/>
      <c r="R559" s="62"/>
      <c r="S559" s="127"/>
      <c r="T559" s="11"/>
      <c r="U559" s="124"/>
      <c r="V559" s="11"/>
      <c r="W559" s="124"/>
      <c r="X559" s="128"/>
      <c r="Y559" s="129"/>
    </row>
    <row r="560" spans="14:25" x14ac:dyDescent="0.25">
      <c r="N560" s="125"/>
      <c r="O560" s="125"/>
      <c r="P560" s="126"/>
      <c r="Q560" s="62"/>
      <c r="R560" s="62"/>
      <c r="S560" s="127"/>
      <c r="T560" s="11"/>
      <c r="U560" s="124"/>
      <c r="V560" s="11"/>
      <c r="W560" s="124"/>
      <c r="X560" s="128"/>
      <c r="Y560" s="129"/>
    </row>
    <row r="561" spans="14:25" x14ac:dyDescent="0.25">
      <c r="N561" s="125"/>
      <c r="O561" s="125"/>
      <c r="P561" s="126"/>
      <c r="Q561" s="62"/>
      <c r="R561" s="62"/>
      <c r="S561" s="127"/>
      <c r="T561" s="11"/>
      <c r="U561" s="124"/>
      <c r="V561" s="11"/>
      <c r="W561" s="124"/>
      <c r="X561" s="128"/>
      <c r="Y561" s="129"/>
    </row>
    <row r="562" spans="14:25" x14ac:dyDescent="0.25">
      <c r="N562" s="125"/>
      <c r="O562" s="125"/>
      <c r="P562" s="126"/>
      <c r="Q562" s="62"/>
      <c r="R562" s="62"/>
      <c r="S562" s="127"/>
      <c r="T562" s="11"/>
      <c r="U562" s="124"/>
      <c r="V562" s="11"/>
      <c r="W562" s="124"/>
      <c r="X562" s="128"/>
      <c r="Y562" s="129"/>
    </row>
    <row r="563" spans="14:25" x14ac:dyDescent="0.25">
      <c r="N563" s="125"/>
      <c r="O563" s="125"/>
      <c r="P563" s="126"/>
      <c r="Q563" s="62"/>
      <c r="R563" s="62"/>
      <c r="S563" s="127"/>
      <c r="T563" s="11"/>
      <c r="U563" s="124"/>
      <c r="V563" s="11"/>
      <c r="W563" s="124"/>
      <c r="X563" s="128"/>
      <c r="Y563" s="129"/>
    </row>
    <row r="564" spans="14:25" x14ac:dyDescent="0.25">
      <c r="N564" s="125"/>
      <c r="O564" s="125"/>
      <c r="P564" s="126"/>
      <c r="Q564" s="62"/>
      <c r="R564" s="62"/>
      <c r="S564" s="127"/>
      <c r="T564" s="11"/>
      <c r="U564" s="124"/>
      <c r="V564" s="11"/>
      <c r="W564" s="124"/>
      <c r="X564" s="128"/>
      <c r="Y564" s="129"/>
    </row>
    <row r="565" spans="14:25" x14ac:dyDescent="0.25">
      <c r="N565" s="125"/>
      <c r="O565" s="125"/>
      <c r="P565" s="126"/>
      <c r="Q565" s="62"/>
      <c r="R565" s="62"/>
      <c r="S565" s="127"/>
      <c r="T565" s="11"/>
      <c r="U565" s="124"/>
      <c r="V565" s="11"/>
      <c r="W565" s="124"/>
      <c r="X565" s="128"/>
      <c r="Y565" s="129"/>
    </row>
    <row r="566" spans="14:25" x14ac:dyDescent="0.25">
      <c r="N566" s="125"/>
      <c r="O566" s="125"/>
      <c r="P566" s="126"/>
      <c r="Q566" s="62"/>
      <c r="R566" s="62"/>
      <c r="S566" s="127"/>
      <c r="T566" s="11"/>
      <c r="U566" s="124"/>
      <c r="V566" s="11"/>
      <c r="W566" s="124"/>
      <c r="X566" s="128"/>
      <c r="Y566" s="129"/>
    </row>
    <row r="567" spans="14:25" x14ac:dyDescent="0.25">
      <c r="N567" s="125"/>
      <c r="O567" s="125"/>
      <c r="P567" s="126"/>
      <c r="Q567" s="62"/>
      <c r="R567" s="62"/>
      <c r="S567" s="127"/>
      <c r="T567" s="11"/>
      <c r="U567" s="124"/>
      <c r="V567" s="11"/>
      <c r="W567" s="124"/>
      <c r="X567" s="128"/>
      <c r="Y567" s="129"/>
    </row>
    <row r="568" spans="14:25" x14ac:dyDescent="0.25">
      <c r="N568" s="125"/>
      <c r="O568" s="125"/>
      <c r="P568" s="126"/>
      <c r="Q568" s="62"/>
      <c r="R568" s="62"/>
      <c r="S568" s="127"/>
      <c r="T568" s="11"/>
      <c r="U568" s="124"/>
      <c r="V568" s="11"/>
      <c r="W568" s="124"/>
      <c r="X568" s="128"/>
      <c r="Y568" s="129"/>
    </row>
    <row r="569" spans="14:25" x14ac:dyDescent="0.25">
      <c r="N569" s="125"/>
      <c r="O569" s="125"/>
      <c r="P569" s="126"/>
      <c r="Q569" s="62"/>
      <c r="R569" s="62"/>
      <c r="S569" s="127"/>
      <c r="T569" s="11"/>
      <c r="U569" s="124"/>
      <c r="V569" s="11"/>
      <c r="W569" s="124"/>
      <c r="X569" s="128"/>
      <c r="Y569" s="129"/>
    </row>
    <row r="570" spans="14:25" x14ac:dyDescent="0.25">
      <c r="N570" s="125"/>
      <c r="O570" s="125"/>
      <c r="P570" s="126"/>
      <c r="Q570" s="62"/>
      <c r="R570" s="62"/>
      <c r="S570" s="127"/>
      <c r="T570" s="11"/>
      <c r="U570" s="124"/>
      <c r="V570" s="11"/>
      <c r="W570" s="124"/>
      <c r="X570" s="128"/>
      <c r="Y570" s="129"/>
    </row>
    <row r="571" spans="14:25" x14ac:dyDescent="0.25">
      <c r="N571" s="125"/>
      <c r="O571" s="125"/>
      <c r="P571" s="126"/>
      <c r="Q571" s="62"/>
      <c r="R571" s="62"/>
      <c r="S571" s="127"/>
      <c r="T571" s="11"/>
      <c r="U571" s="124"/>
      <c r="V571" s="11"/>
      <c r="W571" s="124"/>
      <c r="X571" s="128"/>
      <c r="Y571" s="129"/>
    </row>
    <row r="572" spans="14:25" x14ac:dyDescent="0.25">
      <c r="N572" s="125"/>
      <c r="O572" s="125"/>
      <c r="P572" s="126"/>
      <c r="Q572" s="62"/>
      <c r="R572" s="62"/>
      <c r="S572" s="127"/>
      <c r="T572" s="11"/>
      <c r="U572" s="124"/>
      <c r="V572" s="11"/>
      <c r="W572" s="124"/>
      <c r="X572" s="128"/>
      <c r="Y572" s="129"/>
    </row>
    <row r="573" spans="14:25" x14ac:dyDescent="0.25">
      <c r="N573" s="125"/>
      <c r="O573" s="125"/>
      <c r="P573" s="126"/>
      <c r="Q573" s="62"/>
      <c r="R573" s="62"/>
      <c r="S573" s="127"/>
      <c r="T573" s="11"/>
      <c r="U573" s="124"/>
      <c r="V573" s="11"/>
      <c r="W573" s="124"/>
      <c r="X573" s="128"/>
      <c r="Y573" s="129"/>
    </row>
    <row r="574" spans="14:25" x14ac:dyDescent="0.25">
      <c r="N574" s="125"/>
      <c r="O574" s="125"/>
      <c r="P574" s="126"/>
      <c r="Q574" s="62"/>
      <c r="R574" s="62"/>
      <c r="S574" s="127"/>
      <c r="T574" s="11"/>
      <c r="U574" s="124"/>
      <c r="V574" s="11"/>
      <c r="W574" s="124"/>
      <c r="X574" s="128"/>
      <c r="Y574" s="129"/>
    </row>
    <row r="575" spans="14:25" x14ac:dyDescent="0.25">
      <c r="N575" s="125"/>
      <c r="O575" s="125"/>
      <c r="P575" s="126"/>
      <c r="Q575" s="62"/>
      <c r="R575" s="62"/>
      <c r="S575" s="127"/>
      <c r="T575" s="11"/>
      <c r="U575" s="124"/>
      <c r="V575" s="11"/>
      <c r="W575" s="124"/>
      <c r="X575" s="128"/>
      <c r="Y575" s="129"/>
    </row>
    <row r="576" spans="14:25" x14ac:dyDescent="0.25">
      <c r="N576" s="125"/>
      <c r="O576" s="125"/>
      <c r="P576" s="126"/>
      <c r="Q576" s="62"/>
      <c r="R576" s="62"/>
      <c r="S576" s="127"/>
      <c r="T576" s="11"/>
      <c r="U576" s="124"/>
      <c r="V576" s="11"/>
      <c r="W576" s="124"/>
      <c r="X576" s="128"/>
      <c r="Y576" s="129"/>
    </row>
    <row r="577" spans="14:25" x14ac:dyDescent="0.25">
      <c r="N577" s="125"/>
      <c r="O577" s="125"/>
      <c r="P577" s="126"/>
      <c r="Q577" s="62"/>
      <c r="R577" s="62"/>
      <c r="S577" s="127"/>
      <c r="T577" s="11"/>
      <c r="U577" s="124"/>
      <c r="V577" s="11"/>
      <c r="W577" s="124"/>
      <c r="X577" s="128"/>
      <c r="Y577" s="129"/>
    </row>
    <row r="578" spans="14:25" x14ac:dyDescent="0.25">
      <c r="N578" s="125"/>
      <c r="O578" s="125"/>
      <c r="P578" s="126"/>
      <c r="Q578" s="62"/>
      <c r="R578" s="62"/>
      <c r="S578" s="127"/>
      <c r="T578" s="11"/>
      <c r="U578" s="124"/>
      <c r="V578" s="11"/>
      <c r="W578" s="124"/>
      <c r="X578" s="128"/>
      <c r="Y578" s="129"/>
    </row>
    <row r="579" spans="14:25" x14ac:dyDescent="0.25">
      <c r="N579" s="125"/>
      <c r="O579" s="125"/>
      <c r="P579" s="126"/>
      <c r="Q579" s="62"/>
      <c r="R579" s="62"/>
      <c r="S579" s="127"/>
      <c r="T579" s="11"/>
      <c r="U579" s="124"/>
      <c r="V579" s="11"/>
      <c r="W579" s="124"/>
      <c r="X579" s="128"/>
      <c r="Y579" s="129"/>
    </row>
    <row r="580" spans="14:25" x14ac:dyDescent="0.25">
      <c r="N580" s="125"/>
      <c r="O580" s="125"/>
      <c r="P580" s="126"/>
      <c r="Q580" s="62"/>
      <c r="R580" s="62"/>
      <c r="S580" s="127"/>
      <c r="T580" s="11"/>
      <c r="U580" s="124"/>
      <c r="V580" s="11"/>
      <c r="W580" s="124"/>
      <c r="X580" s="128"/>
      <c r="Y580" s="129"/>
    </row>
    <row r="581" spans="14:25" x14ac:dyDescent="0.25">
      <c r="N581" s="125"/>
      <c r="O581" s="125"/>
      <c r="P581" s="126"/>
      <c r="Q581" s="62"/>
      <c r="R581" s="62"/>
      <c r="S581" s="127"/>
      <c r="T581" s="11"/>
      <c r="U581" s="124"/>
      <c r="V581" s="11"/>
      <c r="W581" s="124"/>
      <c r="X581" s="128"/>
      <c r="Y581" s="129"/>
    </row>
    <row r="582" spans="14:25" x14ac:dyDescent="0.25">
      <c r="N582" s="125"/>
      <c r="O582" s="125"/>
      <c r="P582" s="126"/>
      <c r="Q582" s="62"/>
      <c r="R582" s="62"/>
      <c r="S582" s="127"/>
      <c r="T582" s="11"/>
      <c r="U582" s="124"/>
      <c r="V582" s="11"/>
      <c r="W582" s="124"/>
      <c r="X582" s="128"/>
      <c r="Y582" s="129"/>
    </row>
    <row r="583" spans="14:25" x14ac:dyDescent="0.25">
      <c r="N583" s="125"/>
      <c r="O583" s="125"/>
      <c r="P583" s="126"/>
      <c r="Q583" s="62"/>
      <c r="R583" s="62"/>
      <c r="S583" s="127"/>
      <c r="T583" s="11"/>
      <c r="U583" s="124"/>
      <c r="V583" s="11"/>
      <c r="W583" s="124"/>
      <c r="X583" s="128"/>
      <c r="Y583" s="129"/>
    </row>
    <row r="584" spans="14:25" x14ac:dyDescent="0.25">
      <c r="N584" s="125"/>
      <c r="O584" s="125"/>
      <c r="P584" s="126"/>
      <c r="Q584" s="62"/>
      <c r="R584" s="62"/>
      <c r="S584" s="127"/>
      <c r="T584" s="11"/>
      <c r="U584" s="124"/>
      <c r="V584" s="11"/>
      <c r="W584" s="124"/>
      <c r="X584" s="128"/>
      <c r="Y584" s="129"/>
    </row>
    <row r="585" spans="14:25" x14ac:dyDescent="0.25">
      <c r="N585" s="125"/>
      <c r="O585" s="125"/>
      <c r="P585" s="126"/>
      <c r="Q585" s="62"/>
      <c r="R585" s="62"/>
      <c r="S585" s="127"/>
      <c r="T585" s="11"/>
      <c r="U585" s="124"/>
      <c r="V585" s="11"/>
      <c r="W585" s="124"/>
      <c r="X585" s="128"/>
      <c r="Y585" s="129"/>
    </row>
    <row r="586" spans="14:25" x14ac:dyDescent="0.25">
      <c r="N586" s="125"/>
      <c r="O586" s="125"/>
      <c r="P586" s="126"/>
      <c r="Q586" s="62"/>
      <c r="R586" s="62"/>
      <c r="S586" s="127"/>
      <c r="T586" s="11"/>
      <c r="U586" s="124"/>
      <c r="V586" s="11"/>
      <c r="W586" s="124"/>
      <c r="X586" s="128"/>
      <c r="Y586" s="129"/>
    </row>
    <row r="587" spans="14:25" x14ac:dyDescent="0.25">
      <c r="N587" s="125"/>
      <c r="O587" s="125"/>
      <c r="P587" s="126"/>
      <c r="Q587" s="62"/>
      <c r="R587" s="62"/>
      <c r="S587" s="127"/>
      <c r="T587" s="11"/>
      <c r="U587" s="124"/>
      <c r="V587" s="11"/>
      <c r="W587" s="124"/>
      <c r="X587" s="128"/>
      <c r="Y587" s="129"/>
    </row>
    <row r="588" spans="14:25" x14ac:dyDescent="0.25">
      <c r="N588" s="125"/>
      <c r="O588" s="125"/>
      <c r="P588" s="126"/>
      <c r="Q588" s="62"/>
      <c r="R588" s="62"/>
      <c r="S588" s="127"/>
      <c r="T588" s="11"/>
      <c r="U588" s="124"/>
      <c r="V588" s="11"/>
      <c r="W588" s="124"/>
      <c r="X588" s="128"/>
      <c r="Y588" s="129"/>
    </row>
    <row r="589" spans="14:25" x14ac:dyDescent="0.25">
      <c r="N589" s="125"/>
      <c r="O589" s="125"/>
      <c r="P589" s="126"/>
      <c r="Q589" s="62"/>
      <c r="R589" s="62"/>
      <c r="S589" s="127"/>
      <c r="T589" s="11"/>
      <c r="U589" s="124"/>
      <c r="V589" s="11"/>
      <c r="W589" s="124"/>
      <c r="X589" s="128"/>
      <c r="Y589" s="129"/>
    </row>
    <row r="590" spans="14:25" x14ac:dyDescent="0.25">
      <c r="N590" s="125"/>
      <c r="O590" s="125"/>
      <c r="P590" s="126"/>
      <c r="Q590" s="62"/>
      <c r="R590" s="62"/>
      <c r="S590" s="127"/>
      <c r="T590" s="11"/>
      <c r="U590" s="124"/>
      <c r="V590" s="11"/>
      <c r="W590" s="124"/>
      <c r="X590" s="128"/>
      <c r="Y590" s="129"/>
    </row>
    <row r="591" spans="14:25" x14ac:dyDescent="0.25">
      <c r="N591" s="125"/>
      <c r="O591" s="125"/>
      <c r="P591" s="126"/>
      <c r="Q591" s="62"/>
      <c r="R591" s="62"/>
      <c r="S591" s="127"/>
      <c r="T591" s="11"/>
      <c r="U591" s="124"/>
      <c r="V591" s="11"/>
      <c r="W591" s="124"/>
      <c r="X591" s="128"/>
      <c r="Y591" s="129"/>
    </row>
    <row r="592" spans="14:25" x14ac:dyDescent="0.25">
      <c r="N592" s="125"/>
      <c r="O592" s="125"/>
      <c r="P592" s="126"/>
      <c r="Q592" s="62"/>
      <c r="R592" s="62"/>
      <c r="S592" s="127"/>
      <c r="T592" s="11"/>
      <c r="U592" s="124"/>
      <c r="V592" s="11"/>
      <c r="W592" s="124"/>
      <c r="X592" s="128"/>
      <c r="Y592" s="129"/>
    </row>
    <row r="593" spans="14:25" x14ac:dyDescent="0.25">
      <c r="N593" s="125"/>
      <c r="O593" s="125"/>
      <c r="P593" s="126"/>
      <c r="Q593" s="62"/>
      <c r="R593" s="62"/>
      <c r="S593" s="127"/>
      <c r="T593" s="11"/>
      <c r="U593" s="124"/>
      <c r="V593" s="11"/>
      <c r="W593" s="124"/>
      <c r="X593" s="128"/>
      <c r="Y593" s="129"/>
    </row>
    <row r="594" spans="14:25" x14ac:dyDescent="0.25">
      <c r="N594" s="125"/>
      <c r="O594" s="125"/>
      <c r="P594" s="126"/>
      <c r="Q594" s="62"/>
      <c r="R594" s="62"/>
      <c r="S594" s="127"/>
      <c r="T594" s="11"/>
      <c r="U594" s="124"/>
      <c r="V594" s="11"/>
      <c r="W594" s="124"/>
      <c r="X594" s="128"/>
      <c r="Y594" s="129"/>
    </row>
    <row r="595" spans="14:25" x14ac:dyDescent="0.25">
      <c r="N595" s="125"/>
      <c r="O595" s="125"/>
      <c r="P595" s="126"/>
      <c r="Q595" s="62"/>
      <c r="R595" s="62"/>
      <c r="S595" s="127"/>
      <c r="T595" s="11"/>
      <c r="U595" s="124"/>
      <c r="V595" s="11"/>
      <c r="W595" s="124"/>
      <c r="X595" s="128"/>
      <c r="Y595" s="129"/>
    </row>
    <row r="596" spans="14:25" x14ac:dyDescent="0.25">
      <c r="N596" s="125"/>
      <c r="O596" s="125"/>
      <c r="P596" s="126"/>
      <c r="Q596" s="62"/>
      <c r="R596" s="62"/>
      <c r="S596" s="127"/>
      <c r="T596" s="11"/>
      <c r="U596" s="124"/>
      <c r="V596" s="11"/>
      <c r="W596" s="124"/>
      <c r="X596" s="128"/>
      <c r="Y596" s="129"/>
    </row>
    <row r="597" spans="14:25" x14ac:dyDescent="0.25">
      <c r="N597" s="125"/>
      <c r="O597" s="125"/>
      <c r="P597" s="126"/>
      <c r="Q597" s="62"/>
      <c r="R597" s="62"/>
      <c r="S597" s="127"/>
      <c r="T597" s="11"/>
      <c r="U597" s="124"/>
      <c r="V597" s="11"/>
      <c r="W597" s="124"/>
      <c r="X597" s="128"/>
      <c r="Y597" s="129"/>
    </row>
    <row r="598" spans="14:25" x14ac:dyDescent="0.25">
      <c r="N598" s="125"/>
      <c r="O598" s="125"/>
      <c r="P598" s="126"/>
      <c r="Q598" s="62"/>
      <c r="R598" s="62"/>
      <c r="S598" s="127"/>
      <c r="T598" s="11"/>
      <c r="U598" s="124"/>
      <c r="V598" s="11"/>
      <c r="W598" s="124"/>
      <c r="X598" s="128"/>
      <c r="Y598" s="129"/>
    </row>
    <row r="599" spans="14:25" x14ac:dyDescent="0.25">
      <c r="N599" s="125"/>
      <c r="O599" s="125"/>
      <c r="P599" s="126"/>
      <c r="Q599" s="62"/>
      <c r="R599" s="62"/>
      <c r="S599" s="127"/>
      <c r="T599" s="11"/>
      <c r="U599" s="124"/>
      <c r="V599" s="11"/>
      <c r="W599" s="124"/>
      <c r="X599" s="128"/>
      <c r="Y599" s="129"/>
    </row>
    <row r="600" spans="14:25" x14ac:dyDescent="0.25">
      <c r="N600" s="125"/>
      <c r="O600" s="125"/>
      <c r="P600" s="126"/>
      <c r="Q600" s="62"/>
      <c r="R600" s="62"/>
      <c r="S600" s="127"/>
      <c r="T600" s="11"/>
      <c r="U600" s="124"/>
      <c r="V600" s="11"/>
      <c r="W600" s="124"/>
      <c r="X600" s="128"/>
      <c r="Y600" s="129"/>
    </row>
    <row r="601" spans="14:25" x14ac:dyDescent="0.25">
      <c r="N601" s="125"/>
      <c r="O601" s="125"/>
      <c r="P601" s="126"/>
      <c r="Q601" s="62"/>
      <c r="R601" s="62"/>
      <c r="S601" s="127"/>
      <c r="T601" s="11"/>
      <c r="U601" s="124"/>
      <c r="V601" s="11"/>
      <c r="W601" s="124"/>
      <c r="X601" s="128"/>
      <c r="Y601" s="129"/>
    </row>
    <row r="602" spans="14:25" x14ac:dyDescent="0.25">
      <c r="N602" s="125"/>
      <c r="O602" s="125"/>
      <c r="P602" s="126"/>
      <c r="Q602" s="62"/>
      <c r="R602" s="62"/>
      <c r="S602" s="127"/>
      <c r="T602" s="11"/>
      <c r="U602" s="124"/>
      <c r="V602" s="11"/>
      <c r="W602" s="124"/>
      <c r="X602" s="128"/>
      <c r="Y602" s="129"/>
    </row>
    <row r="603" spans="14:25" x14ac:dyDescent="0.25">
      <c r="N603" s="125"/>
      <c r="O603" s="125"/>
      <c r="P603" s="126"/>
      <c r="Q603" s="62"/>
      <c r="R603" s="62"/>
      <c r="S603" s="127"/>
      <c r="T603" s="11"/>
      <c r="U603" s="124"/>
      <c r="V603" s="11"/>
      <c r="W603" s="124"/>
      <c r="X603" s="128"/>
      <c r="Y603" s="129"/>
    </row>
    <row r="604" spans="14:25" x14ac:dyDescent="0.25">
      <c r="N604" s="125"/>
      <c r="O604" s="125"/>
      <c r="P604" s="126"/>
      <c r="Q604" s="62"/>
      <c r="R604" s="62"/>
      <c r="S604" s="127"/>
      <c r="T604" s="11"/>
      <c r="U604" s="124"/>
      <c r="V604" s="11"/>
      <c r="W604" s="124"/>
      <c r="X604" s="128"/>
      <c r="Y604" s="129"/>
    </row>
    <row r="605" spans="14:25" x14ac:dyDescent="0.25">
      <c r="N605" s="125"/>
      <c r="O605" s="125"/>
      <c r="P605" s="126"/>
      <c r="Q605" s="62"/>
      <c r="R605" s="62"/>
      <c r="S605" s="127"/>
      <c r="T605" s="11"/>
      <c r="U605" s="124"/>
      <c r="V605" s="11"/>
      <c r="W605" s="124"/>
      <c r="X605" s="128"/>
      <c r="Y605" s="129"/>
    </row>
    <row r="606" spans="14:25" x14ac:dyDescent="0.25">
      <c r="N606" s="125"/>
      <c r="O606" s="125"/>
      <c r="P606" s="126"/>
      <c r="Q606" s="62"/>
      <c r="R606" s="62"/>
      <c r="S606" s="127"/>
      <c r="T606" s="11"/>
      <c r="U606" s="124"/>
      <c r="V606" s="11"/>
      <c r="W606" s="124"/>
      <c r="X606" s="128"/>
      <c r="Y606" s="129"/>
    </row>
    <row r="607" spans="14:25" x14ac:dyDescent="0.25">
      <c r="N607" s="125"/>
      <c r="O607" s="125"/>
      <c r="P607" s="126"/>
      <c r="Q607" s="62"/>
      <c r="R607" s="62"/>
      <c r="S607" s="127"/>
      <c r="T607" s="11"/>
      <c r="U607" s="124"/>
      <c r="V607" s="11"/>
      <c r="W607" s="124"/>
      <c r="X607" s="128"/>
      <c r="Y607" s="129"/>
    </row>
    <row r="608" spans="14:25" x14ac:dyDescent="0.25">
      <c r="N608" s="125"/>
      <c r="O608" s="125"/>
      <c r="P608" s="126"/>
      <c r="Q608" s="62"/>
      <c r="R608" s="62"/>
      <c r="S608" s="127"/>
      <c r="T608" s="11"/>
      <c r="U608" s="124"/>
      <c r="V608" s="11"/>
      <c r="W608" s="124"/>
      <c r="X608" s="128"/>
      <c r="Y608" s="129"/>
    </row>
    <row r="609" spans="14:25" x14ac:dyDescent="0.25">
      <c r="N609" s="125"/>
      <c r="O609" s="125"/>
      <c r="P609" s="126"/>
      <c r="Q609" s="62"/>
      <c r="R609" s="62"/>
      <c r="S609" s="127"/>
      <c r="T609" s="11"/>
      <c r="U609" s="124"/>
      <c r="V609" s="11"/>
      <c r="W609" s="124"/>
      <c r="X609" s="128"/>
      <c r="Y609" s="129"/>
    </row>
    <row r="610" spans="14:25" x14ac:dyDescent="0.25">
      <c r="N610" s="125"/>
      <c r="O610" s="125"/>
      <c r="P610" s="126"/>
      <c r="Q610" s="62"/>
      <c r="R610" s="62"/>
      <c r="S610" s="127"/>
      <c r="T610" s="11"/>
      <c r="U610" s="124"/>
      <c r="V610" s="11"/>
      <c r="W610" s="124"/>
      <c r="X610" s="128"/>
      <c r="Y610" s="129"/>
    </row>
    <row r="611" spans="14:25" x14ac:dyDescent="0.25">
      <c r="N611" s="125"/>
      <c r="O611" s="125"/>
      <c r="P611" s="126"/>
      <c r="Q611" s="62"/>
      <c r="R611" s="62"/>
      <c r="S611" s="127"/>
      <c r="T611" s="11"/>
      <c r="U611" s="124"/>
      <c r="V611" s="11"/>
      <c r="W611" s="124"/>
      <c r="X611" s="128"/>
      <c r="Y611" s="129"/>
    </row>
    <row r="612" spans="14:25" x14ac:dyDescent="0.25">
      <c r="N612" s="125"/>
      <c r="O612" s="125"/>
      <c r="P612" s="126"/>
      <c r="Q612" s="62"/>
      <c r="R612" s="62"/>
      <c r="S612" s="127"/>
      <c r="T612" s="11"/>
      <c r="U612" s="124"/>
      <c r="V612" s="11"/>
      <c r="W612" s="124"/>
      <c r="X612" s="128"/>
      <c r="Y612" s="129"/>
    </row>
    <row r="613" spans="14:25" x14ac:dyDescent="0.25">
      <c r="N613" s="125"/>
      <c r="O613" s="125"/>
      <c r="P613" s="126"/>
      <c r="Q613" s="62"/>
      <c r="R613" s="62"/>
      <c r="S613" s="127"/>
      <c r="T613" s="11"/>
      <c r="U613" s="124"/>
      <c r="V613" s="11"/>
      <c r="W613" s="124"/>
      <c r="X613" s="128"/>
      <c r="Y613" s="129"/>
    </row>
    <row r="614" spans="14:25" x14ac:dyDescent="0.25">
      <c r="N614" s="125"/>
      <c r="O614" s="125"/>
      <c r="P614" s="126"/>
      <c r="Q614" s="62"/>
      <c r="R614" s="62"/>
      <c r="S614" s="127"/>
      <c r="T614" s="11"/>
      <c r="U614" s="124"/>
      <c r="V614" s="11"/>
      <c r="W614" s="124"/>
      <c r="X614" s="128"/>
      <c r="Y614" s="129"/>
    </row>
    <row r="615" spans="14:25" x14ac:dyDescent="0.25">
      <c r="N615" s="125"/>
      <c r="O615" s="125"/>
      <c r="P615" s="126"/>
      <c r="Q615" s="62"/>
      <c r="R615" s="62"/>
      <c r="S615" s="127"/>
      <c r="T615" s="11"/>
      <c r="U615" s="124"/>
      <c r="V615" s="11"/>
      <c r="W615" s="124"/>
      <c r="X615" s="128"/>
      <c r="Y615" s="129"/>
    </row>
    <row r="616" spans="14:25" x14ac:dyDescent="0.25">
      <c r="N616" s="125"/>
      <c r="O616" s="125"/>
      <c r="P616" s="126"/>
      <c r="Q616" s="62"/>
      <c r="R616" s="62"/>
      <c r="S616" s="127"/>
      <c r="T616" s="11"/>
      <c r="U616" s="124"/>
      <c r="V616" s="11"/>
      <c r="W616" s="124"/>
      <c r="X616" s="128"/>
      <c r="Y616" s="129"/>
    </row>
    <row r="617" spans="14:25" x14ac:dyDescent="0.25">
      <c r="N617" s="125"/>
      <c r="O617" s="125"/>
      <c r="P617" s="126"/>
      <c r="Q617" s="62"/>
      <c r="R617" s="62"/>
      <c r="S617" s="127"/>
      <c r="T617" s="11"/>
      <c r="U617" s="124"/>
      <c r="V617" s="11"/>
      <c r="W617" s="124"/>
      <c r="X617" s="128"/>
      <c r="Y617" s="129"/>
    </row>
    <row r="618" spans="14:25" x14ac:dyDescent="0.25">
      <c r="N618" s="125"/>
      <c r="O618" s="125"/>
      <c r="P618" s="126"/>
      <c r="Q618" s="62"/>
      <c r="R618" s="62"/>
      <c r="S618" s="127"/>
      <c r="T618" s="11"/>
      <c r="U618" s="124"/>
      <c r="V618" s="11"/>
      <c r="W618" s="124"/>
      <c r="X618" s="128"/>
      <c r="Y618" s="129"/>
    </row>
    <row r="619" spans="14:25" x14ac:dyDescent="0.25">
      <c r="N619" s="125"/>
      <c r="O619" s="125"/>
      <c r="P619" s="126"/>
      <c r="Q619" s="62"/>
      <c r="R619" s="62"/>
      <c r="S619" s="127"/>
      <c r="T619" s="11"/>
      <c r="U619" s="124"/>
      <c r="V619" s="11"/>
      <c r="W619" s="124"/>
      <c r="X619" s="128"/>
      <c r="Y619" s="129"/>
    </row>
    <row r="620" spans="14:25" x14ac:dyDescent="0.25">
      <c r="N620" s="125"/>
      <c r="O620" s="125"/>
      <c r="P620" s="126"/>
      <c r="Q620" s="62"/>
      <c r="R620" s="62"/>
      <c r="S620" s="127"/>
      <c r="T620" s="11"/>
      <c r="U620" s="124"/>
      <c r="V620" s="11"/>
      <c r="W620" s="124"/>
      <c r="X620" s="128"/>
      <c r="Y620" s="129"/>
    </row>
    <row r="621" spans="14:25" x14ac:dyDescent="0.25">
      <c r="N621" s="125"/>
      <c r="O621" s="125"/>
      <c r="P621" s="126"/>
      <c r="Q621" s="62"/>
      <c r="R621" s="62"/>
      <c r="S621" s="127"/>
      <c r="T621" s="11"/>
      <c r="U621" s="124"/>
      <c r="V621" s="11"/>
      <c r="W621" s="124"/>
      <c r="X621" s="128"/>
      <c r="Y621" s="129"/>
    </row>
    <row r="622" spans="14:25" x14ac:dyDescent="0.25">
      <c r="N622" s="125"/>
      <c r="O622" s="125"/>
      <c r="P622" s="126"/>
      <c r="Q622" s="62"/>
      <c r="R622" s="62"/>
      <c r="S622" s="127"/>
      <c r="T622" s="11"/>
      <c r="U622" s="124"/>
      <c r="V622" s="11"/>
      <c r="W622" s="124"/>
      <c r="X622" s="128"/>
      <c r="Y622" s="129"/>
    </row>
    <row r="623" spans="14:25" x14ac:dyDescent="0.25">
      <c r="N623" s="125"/>
      <c r="O623" s="125"/>
      <c r="P623" s="126"/>
      <c r="Q623" s="62"/>
      <c r="R623" s="62"/>
      <c r="S623" s="127"/>
      <c r="T623" s="11"/>
      <c r="U623" s="124"/>
      <c r="V623" s="11"/>
      <c r="W623" s="124"/>
      <c r="X623" s="128"/>
      <c r="Y623" s="129"/>
    </row>
    <row r="624" spans="14:25" x14ac:dyDescent="0.25">
      <c r="N624" s="125"/>
      <c r="O624" s="125"/>
      <c r="P624" s="126"/>
      <c r="Q624" s="62"/>
      <c r="R624" s="62"/>
      <c r="S624" s="127"/>
      <c r="T624" s="11"/>
      <c r="U624" s="124"/>
      <c r="V624" s="11"/>
      <c r="W624" s="124"/>
      <c r="X624" s="128"/>
      <c r="Y624" s="129"/>
    </row>
    <row r="625" spans="14:25" x14ac:dyDescent="0.25">
      <c r="N625" s="125"/>
      <c r="O625" s="125"/>
      <c r="P625" s="126"/>
      <c r="Q625" s="62"/>
      <c r="R625" s="62"/>
      <c r="S625" s="127"/>
      <c r="T625" s="11"/>
      <c r="U625" s="124"/>
      <c r="V625" s="11"/>
      <c r="W625" s="124"/>
      <c r="X625" s="128"/>
      <c r="Y625" s="129"/>
    </row>
    <row r="626" spans="14:25" x14ac:dyDescent="0.25">
      <c r="N626" s="125"/>
      <c r="O626" s="125"/>
      <c r="P626" s="126"/>
      <c r="Q626" s="62"/>
      <c r="R626" s="62"/>
      <c r="S626" s="127"/>
      <c r="T626" s="11"/>
      <c r="U626" s="124"/>
      <c r="V626" s="11"/>
      <c r="W626" s="124"/>
      <c r="X626" s="128"/>
      <c r="Y626" s="129"/>
    </row>
    <row r="627" spans="14:25" x14ac:dyDescent="0.25">
      <c r="N627" s="125"/>
      <c r="O627" s="125"/>
      <c r="P627" s="126"/>
      <c r="Q627" s="62"/>
      <c r="R627" s="62"/>
      <c r="S627" s="127"/>
      <c r="T627" s="11"/>
      <c r="U627" s="124"/>
      <c r="V627" s="11"/>
      <c r="W627" s="124"/>
      <c r="X627" s="128"/>
      <c r="Y627" s="129"/>
    </row>
    <row r="628" spans="14:25" x14ac:dyDescent="0.25">
      <c r="N628" s="125"/>
      <c r="O628" s="125"/>
      <c r="P628" s="126"/>
      <c r="Q628" s="62"/>
      <c r="R628" s="62"/>
      <c r="S628" s="127"/>
      <c r="T628" s="11"/>
      <c r="U628" s="124"/>
      <c r="V628" s="11"/>
      <c r="W628" s="124"/>
      <c r="X628" s="128"/>
      <c r="Y628" s="129"/>
    </row>
    <row r="629" spans="14:25" x14ac:dyDescent="0.25">
      <c r="N629" s="125"/>
      <c r="O629" s="125"/>
      <c r="P629" s="126"/>
      <c r="Q629" s="62"/>
      <c r="R629" s="62"/>
      <c r="S629" s="127"/>
      <c r="T629" s="11"/>
      <c r="U629" s="124"/>
      <c r="V629" s="11"/>
      <c r="W629" s="124"/>
      <c r="X629" s="128"/>
      <c r="Y629" s="129"/>
    </row>
    <row r="630" spans="14:25" x14ac:dyDescent="0.25">
      <c r="N630" s="125"/>
      <c r="O630" s="125"/>
      <c r="P630" s="126"/>
      <c r="Q630" s="62"/>
      <c r="R630" s="62"/>
      <c r="S630" s="127"/>
      <c r="T630" s="11"/>
      <c r="U630" s="124"/>
      <c r="V630" s="11"/>
      <c r="W630" s="124"/>
      <c r="X630" s="128"/>
      <c r="Y630" s="129"/>
    </row>
    <row r="631" spans="14:25" x14ac:dyDescent="0.25">
      <c r="N631" s="125"/>
      <c r="O631" s="125"/>
      <c r="P631" s="126"/>
      <c r="Q631" s="62"/>
      <c r="R631" s="62"/>
      <c r="S631" s="127"/>
      <c r="T631" s="11"/>
      <c r="U631" s="124"/>
      <c r="V631" s="11"/>
      <c r="W631" s="124"/>
      <c r="X631" s="128"/>
      <c r="Y631" s="129"/>
    </row>
    <row r="632" spans="14:25" x14ac:dyDescent="0.25">
      <c r="N632" s="125"/>
      <c r="O632" s="125"/>
      <c r="P632" s="126"/>
      <c r="Q632" s="62"/>
      <c r="R632" s="62"/>
      <c r="S632" s="127"/>
      <c r="T632" s="11"/>
      <c r="U632" s="124"/>
      <c r="V632" s="11"/>
      <c r="W632" s="124"/>
      <c r="X632" s="128"/>
      <c r="Y632" s="129"/>
    </row>
    <row r="633" spans="14:25" x14ac:dyDescent="0.25">
      <c r="N633" s="125"/>
      <c r="O633" s="125"/>
      <c r="P633" s="126"/>
      <c r="Q633" s="62"/>
      <c r="R633" s="62"/>
      <c r="S633" s="127"/>
      <c r="T633" s="11"/>
      <c r="U633" s="124"/>
      <c r="V633" s="11"/>
      <c r="W633" s="124"/>
      <c r="X633" s="128"/>
      <c r="Y633" s="129"/>
    </row>
    <row r="634" spans="14:25" x14ac:dyDescent="0.25">
      <c r="N634" s="125"/>
      <c r="O634" s="125"/>
      <c r="P634" s="126"/>
      <c r="Q634" s="62"/>
      <c r="R634" s="62"/>
      <c r="S634" s="127"/>
      <c r="T634" s="11"/>
      <c r="U634" s="124"/>
      <c r="V634" s="11"/>
      <c r="W634" s="124"/>
      <c r="X634" s="128"/>
      <c r="Y634" s="129"/>
    </row>
    <row r="635" spans="14:25" x14ac:dyDescent="0.25">
      <c r="N635" s="125"/>
      <c r="O635" s="125"/>
      <c r="P635" s="126"/>
      <c r="Q635" s="62"/>
      <c r="R635" s="62"/>
      <c r="S635" s="127"/>
      <c r="T635" s="11"/>
      <c r="U635" s="124"/>
      <c r="V635" s="11"/>
      <c r="W635" s="124"/>
      <c r="X635" s="128"/>
      <c r="Y635" s="129"/>
    </row>
    <row r="636" spans="14:25" x14ac:dyDescent="0.25">
      <c r="N636" s="125"/>
      <c r="O636" s="125"/>
      <c r="P636" s="126"/>
      <c r="Q636" s="62"/>
      <c r="R636" s="62"/>
      <c r="S636" s="127"/>
      <c r="T636" s="11"/>
      <c r="U636" s="124"/>
      <c r="V636" s="11"/>
      <c r="W636" s="124"/>
      <c r="X636" s="128"/>
      <c r="Y636" s="129"/>
    </row>
    <row r="637" spans="14:25" x14ac:dyDescent="0.25">
      <c r="N637" s="125"/>
      <c r="O637" s="125"/>
      <c r="P637" s="126"/>
      <c r="Q637" s="62"/>
      <c r="R637" s="62"/>
      <c r="S637" s="127"/>
      <c r="T637" s="11"/>
      <c r="U637" s="124"/>
      <c r="V637" s="11"/>
      <c r="W637" s="124"/>
      <c r="X637" s="128"/>
      <c r="Y637" s="129"/>
    </row>
    <row r="638" spans="14:25" x14ac:dyDescent="0.25">
      <c r="N638" s="125"/>
      <c r="O638" s="125"/>
      <c r="P638" s="126"/>
      <c r="Q638" s="62"/>
      <c r="R638" s="62"/>
      <c r="S638" s="127"/>
      <c r="T638" s="11"/>
      <c r="U638" s="124"/>
      <c r="V638" s="11"/>
      <c r="W638" s="124"/>
      <c r="X638" s="128"/>
      <c r="Y638" s="129"/>
    </row>
    <row r="639" spans="14:25" x14ac:dyDescent="0.25">
      <c r="N639" s="125"/>
      <c r="O639" s="125"/>
      <c r="P639" s="126"/>
      <c r="Q639" s="62"/>
      <c r="R639" s="62"/>
      <c r="S639" s="127"/>
      <c r="T639" s="11"/>
      <c r="U639" s="124"/>
      <c r="V639" s="11"/>
      <c r="W639" s="124"/>
      <c r="X639" s="128"/>
      <c r="Y639" s="129"/>
    </row>
    <row r="640" spans="14:25" x14ac:dyDescent="0.25">
      <c r="N640" s="125"/>
      <c r="O640" s="125"/>
      <c r="P640" s="126"/>
      <c r="Q640" s="62"/>
      <c r="R640" s="62"/>
      <c r="S640" s="127"/>
      <c r="T640" s="11"/>
      <c r="U640" s="124"/>
      <c r="V640" s="11"/>
      <c r="W640" s="124"/>
      <c r="X640" s="128"/>
      <c r="Y640" s="129"/>
    </row>
    <row r="641" spans="14:25" x14ac:dyDescent="0.25">
      <c r="N641" s="125"/>
      <c r="O641" s="125"/>
      <c r="P641" s="126"/>
      <c r="Q641" s="62"/>
      <c r="R641" s="62"/>
      <c r="S641" s="127"/>
      <c r="T641" s="11"/>
      <c r="U641" s="124"/>
      <c r="V641" s="11"/>
      <c r="W641" s="124"/>
      <c r="X641" s="128"/>
      <c r="Y641" s="129"/>
    </row>
    <row r="642" spans="14:25" x14ac:dyDescent="0.25">
      <c r="N642" s="125"/>
      <c r="O642" s="125"/>
      <c r="P642" s="126"/>
      <c r="Q642" s="62"/>
      <c r="R642" s="62"/>
      <c r="S642" s="127"/>
      <c r="T642" s="11"/>
      <c r="U642" s="124"/>
      <c r="V642" s="11"/>
      <c r="W642" s="124"/>
      <c r="X642" s="128"/>
      <c r="Y642" s="129"/>
    </row>
    <row r="643" spans="14:25" x14ac:dyDescent="0.25">
      <c r="N643" s="125"/>
      <c r="O643" s="125"/>
      <c r="P643" s="126"/>
      <c r="Q643" s="62"/>
      <c r="R643" s="62"/>
      <c r="S643" s="127"/>
      <c r="T643" s="11"/>
      <c r="U643" s="124"/>
      <c r="V643" s="11"/>
      <c r="W643" s="124"/>
      <c r="X643" s="128"/>
      <c r="Y643" s="129"/>
    </row>
    <row r="644" spans="14:25" x14ac:dyDescent="0.25">
      <c r="N644" s="125"/>
      <c r="O644" s="125"/>
      <c r="P644" s="126"/>
      <c r="Q644" s="62"/>
      <c r="R644" s="62"/>
      <c r="S644" s="127"/>
      <c r="T644" s="11"/>
      <c r="U644" s="124"/>
      <c r="V644" s="11"/>
      <c r="W644" s="124"/>
      <c r="X644" s="128"/>
      <c r="Y644" s="129"/>
    </row>
    <row r="645" spans="14:25" x14ac:dyDescent="0.25">
      <c r="N645" s="125"/>
      <c r="O645" s="125"/>
      <c r="P645" s="126"/>
      <c r="Q645" s="62"/>
      <c r="R645" s="62"/>
      <c r="S645" s="127"/>
      <c r="T645" s="11"/>
      <c r="U645" s="124"/>
      <c r="V645" s="11"/>
      <c r="W645" s="124"/>
      <c r="X645" s="128"/>
      <c r="Y645" s="129"/>
    </row>
    <row r="646" spans="14:25" x14ac:dyDescent="0.25">
      <c r="N646" s="125"/>
      <c r="O646" s="125"/>
      <c r="P646" s="126"/>
      <c r="Q646" s="62"/>
      <c r="R646" s="62"/>
      <c r="S646" s="127"/>
      <c r="T646" s="11"/>
      <c r="U646" s="124"/>
      <c r="V646" s="11"/>
      <c r="W646" s="124"/>
      <c r="X646" s="128"/>
      <c r="Y646" s="129"/>
    </row>
    <row r="647" spans="14:25" x14ac:dyDescent="0.25">
      <c r="N647" s="125"/>
      <c r="O647" s="125"/>
      <c r="P647" s="126"/>
      <c r="Q647" s="62"/>
      <c r="R647" s="62"/>
      <c r="S647" s="127"/>
      <c r="T647" s="11"/>
      <c r="U647" s="124"/>
      <c r="V647" s="11"/>
      <c r="W647" s="124"/>
      <c r="X647" s="128"/>
      <c r="Y647" s="129"/>
    </row>
    <row r="648" spans="14:25" x14ac:dyDescent="0.25">
      <c r="N648" s="125"/>
      <c r="O648" s="125"/>
      <c r="P648" s="126"/>
      <c r="Q648" s="62"/>
      <c r="R648" s="62"/>
      <c r="S648" s="127"/>
      <c r="T648" s="11"/>
      <c r="U648" s="124"/>
      <c r="V648" s="11"/>
      <c r="W648" s="124"/>
      <c r="X648" s="128"/>
      <c r="Y648" s="129"/>
    </row>
    <row r="649" spans="14:25" x14ac:dyDescent="0.25">
      <c r="N649" s="125"/>
      <c r="O649" s="125"/>
      <c r="P649" s="126"/>
      <c r="Q649" s="62"/>
      <c r="R649" s="62"/>
      <c r="S649" s="127"/>
      <c r="T649" s="11"/>
      <c r="U649" s="124"/>
      <c r="V649" s="11"/>
      <c r="W649" s="124"/>
      <c r="X649" s="128"/>
      <c r="Y649" s="129"/>
    </row>
    <row r="650" spans="14:25" x14ac:dyDescent="0.25">
      <c r="N650" s="125"/>
      <c r="O650" s="125"/>
      <c r="P650" s="126"/>
      <c r="Q650" s="62"/>
      <c r="R650" s="62"/>
      <c r="S650" s="127"/>
      <c r="T650" s="11"/>
      <c r="U650" s="124"/>
      <c r="V650" s="11"/>
      <c r="W650" s="124"/>
      <c r="X650" s="128"/>
      <c r="Y650" s="129"/>
    </row>
    <row r="651" spans="14:25" x14ac:dyDescent="0.25">
      <c r="N651" s="125"/>
      <c r="O651" s="125"/>
      <c r="P651" s="126"/>
      <c r="Q651" s="62"/>
      <c r="R651" s="62"/>
      <c r="S651" s="127"/>
      <c r="T651" s="11"/>
      <c r="U651" s="124"/>
      <c r="V651" s="11"/>
      <c r="W651" s="124"/>
      <c r="X651" s="128"/>
      <c r="Y651" s="129"/>
    </row>
    <row r="652" spans="14:25" x14ac:dyDescent="0.25">
      <c r="N652" s="125"/>
      <c r="O652" s="125"/>
      <c r="P652" s="126"/>
      <c r="Q652" s="62"/>
      <c r="R652" s="62"/>
      <c r="S652" s="127"/>
      <c r="T652" s="11"/>
      <c r="U652" s="124"/>
      <c r="V652" s="11"/>
      <c r="W652" s="124"/>
      <c r="X652" s="128"/>
      <c r="Y652" s="129"/>
    </row>
    <row r="653" spans="14:25" x14ac:dyDescent="0.25">
      <c r="N653" s="125"/>
      <c r="O653" s="125"/>
      <c r="P653" s="126"/>
      <c r="Q653" s="62"/>
      <c r="R653" s="62"/>
      <c r="S653" s="127"/>
      <c r="T653" s="11"/>
      <c r="U653" s="124"/>
      <c r="V653" s="11"/>
      <c r="W653" s="124"/>
      <c r="X653" s="128"/>
      <c r="Y653" s="129"/>
    </row>
    <row r="654" spans="14:25" x14ac:dyDescent="0.25">
      <c r="N654" s="125"/>
      <c r="O654" s="125"/>
      <c r="P654" s="126"/>
      <c r="Q654" s="62"/>
      <c r="R654" s="62"/>
      <c r="S654" s="127"/>
      <c r="T654" s="11"/>
      <c r="U654" s="124"/>
      <c r="V654" s="11"/>
      <c r="W654" s="124"/>
      <c r="X654" s="128"/>
      <c r="Y654" s="129"/>
    </row>
    <row r="655" spans="14:25" x14ac:dyDescent="0.25">
      <c r="N655" s="125"/>
      <c r="O655" s="125"/>
      <c r="P655" s="126"/>
      <c r="Q655" s="62"/>
      <c r="R655" s="62"/>
      <c r="S655" s="127"/>
      <c r="T655" s="11"/>
      <c r="U655" s="124"/>
      <c r="V655" s="11"/>
      <c r="W655" s="124"/>
      <c r="X655" s="128"/>
      <c r="Y655" s="129"/>
    </row>
    <row r="656" spans="14:25" x14ac:dyDescent="0.25">
      <c r="N656" s="125"/>
      <c r="O656" s="125"/>
      <c r="P656" s="126"/>
      <c r="Q656" s="62"/>
      <c r="R656" s="62"/>
      <c r="S656" s="127"/>
      <c r="T656" s="11"/>
      <c r="U656" s="124"/>
      <c r="V656" s="11"/>
      <c r="W656" s="124"/>
      <c r="X656" s="128"/>
      <c r="Y656" s="129"/>
    </row>
    <row r="657" spans="14:25" x14ac:dyDescent="0.25">
      <c r="N657" s="125"/>
      <c r="O657" s="125"/>
      <c r="P657" s="126"/>
      <c r="Q657" s="62"/>
      <c r="R657" s="62"/>
      <c r="S657" s="127"/>
      <c r="T657" s="11"/>
      <c r="U657" s="124"/>
      <c r="V657" s="11"/>
      <c r="W657" s="124"/>
      <c r="X657" s="128"/>
      <c r="Y657" s="129"/>
    </row>
    <row r="658" spans="14:25" x14ac:dyDescent="0.25">
      <c r="N658" s="125"/>
      <c r="O658" s="125"/>
      <c r="P658" s="126"/>
      <c r="Q658" s="62"/>
      <c r="R658" s="62"/>
      <c r="S658" s="127"/>
      <c r="T658" s="11"/>
      <c r="U658" s="124"/>
      <c r="V658" s="11"/>
      <c r="W658" s="124"/>
      <c r="X658" s="128"/>
      <c r="Y658" s="129"/>
    </row>
    <row r="659" spans="14:25" x14ac:dyDescent="0.25">
      <c r="N659" s="125"/>
      <c r="O659" s="125"/>
      <c r="P659" s="126"/>
      <c r="Q659" s="62"/>
      <c r="R659" s="62"/>
      <c r="S659" s="127"/>
      <c r="T659" s="11"/>
      <c r="U659" s="124"/>
      <c r="V659" s="11"/>
      <c r="W659" s="124"/>
      <c r="X659" s="128"/>
      <c r="Y659" s="129"/>
    </row>
    <row r="660" spans="14:25" x14ac:dyDescent="0.25">
      <c r="N660" s="125"/>
      <c r="O660" s="125"/>
      <c r="P660" s="126"/>
      <c r="Q660" s="62"/>
      <c r="R660" s="62"/>
      <c r="S660" s="127"/>
      <c r="T660" s="11"/>
      <c r="U660" s="124"/>
      <c r="V660" s="11"/>
      <c r="W660" s="124"/>
      <c r="X660" s="128"/>
      <c r="Y660" s="129"/>
    </row>
    <row r="661" spans="14:25" x14ac:dyDescent="0.25">
      <c r="N661" s="125"/>
      <c r="O661" s="125"/>
      <c r="P661" s="126"/>
      <c r="Q661" s="62"/>
      <c r="R661" s="62"/>
      <c r="S661" s="127"/>
      <c r="T661" s="11"/>
      <c r="U661" s="124"/>
      <c r="V661" s="11"/>
      <c r="W661" s="124"/>
      <c r="X661" s="128"/>
      <c r="Y661" s="129"/>
    </row>
    <row r="662" spans="14:25" x14ac:dyDescent="0.25">
      <c r="N662" s="125"/>
      <c r="O662" s="125"/>
      <c r="P662" s="126"/>
      <c r="Q662" s="62"/>
      <c r="R662" s="62"/>
      <c r="S662" s="127"/>
      <c r="T662" s="11"/>
      <c r="U662" s="124"/>
      <c r="V662" s="11"/>
      <c r="W662" s="124"/>
      <c r="X662" s="128"/>
      <c r="Y662" s="129"/>
    </row>
    <row r="663" spans="14:25" x14ac:dyDescent="0.25">
      <c r="N663" s="125"/>
      <c r="O663" s="125"/>
      <c r="P663" s="126"/>
      <c r="Q663" s="62"/>
      <c r="R663" s="62"/>
      <c r="S663" s="127"/>
      <c r="T663" s="11"/>
      <c r="U663" s="124"/>
      <c r="V663" s="11"/>
      <c r="W663" s="124"/>
      <c r="X663" s="128"/>
      <c r="Y663" s="129"/>
    </row>
    <row r="664" spans="14:25" x14ac:dyDescent="0.25">
      <c r="N664" s="125"/>
      <c r="O664" s="125"/>
      <c r="P664" s="126"/>
      <c r="Q664" s="62"/>
      <c r="R664" s="62"/>
      <c r="S664" s="127"/>
      <c r="T664" s="11"/>
      <c r="U664" s="124"/>
      <c r="V664" s="11"/>
      <c r="W664" s="124"/>
      <c r="X664" s="128"/>
      <c r="Y664" s="129"/>
    </row>
    <row r="665" spans="14:25" x14ac:dyDescent="0.25">
      <c r="N665" s="125"/>
      <c r="O665" s="125"/>
      <c r="P665" s="126"/>
      <c r="Q665" s="62"/>
      <c r="R665" s="62"/>
      <c r="S665" s="127"/>
      <c r="T665" s="11"/>
      <c r="U665" s="124"/>
      <c r="V665" s="11"/>
      <c r="W665" s="124"/>
      <c r="X665" s="128"/>
      <c r="Y665" s="129"/>
    </row>
    <row r="666" spans="14:25" x14ac:dyDescent="0.25">
      <c r="N666" s="125"/>
      <c r="O666" s="125"/>
      <c r="P666" s="126"/>
      <c r="Q666" s="62"/>
      <c r="R666" s="62"/>
      <c r="S666" s="127"/>
      <c r="T666" s="11"/>
      <c r="U666" s="124"/>
      <c r="V666" s="11"/>
      <c r="W666" s="124"/>
      <c r="X666" s="128"/>
      <c r="Y666" s="129"/>
    </row>
    <row r="667" spans="14:25" x14ac:dyDescent="0.25">
      <c r="N667" s="125"/>
      <c r="O667" s="125"/>
      <c r="P667" s="126"/>
      <c r="Q667" s="62"/>
      <c r="R667" s="62"/>
      <c r="S667" s="127"/>
      <c r="T667" s="11"/>
      <c r="U667" s="124"/>
      <c r="V667" s="11"/>
      <c r="W667" s="124"/>
      <c r="X667" s="128"/>
      <c r="Y667" s="129"/>
    </row>
    <row r="668" spans="14:25" x14ac:dyDescent="0.25">
      <c r="N668" s="125"/>
      <c r="O668" s="125"/>
      <c r="P668" s="126"/>
      <c r="Q668" s="62"/>
      <c r="R668" s="62"/>
      <c r="S668" s="127"/>
      <c r="T668" s="11"/>
      <c r="U668" s="124"/>
      <c r="V668" s="11"/>
      <c r="W668" s="124"/>
      <c r="X668" s="128"/>
      <c r="Y668" s="129"/>
    </row>
    <row r="669" spans="14:25" x14ac:dyDescent="0.25">
      <c r="N669" s="125"/>
      <c r="O669" s="125"/>
      <c r="P669" s="126"/>
      <c r="Q669" s="62"/>
      <c r="R669" s="62"/>
      <c r="S669" s="127"/>
      <c r="T669" s="11"/>
      <c r="U669" s="124"/>
      <c r="V669" s="11"/>
      <c r="W669" s="124"/>
      <c r="X669" s="128"/>
      <c r="Y669" s="129"/>
    </row>
    <row r="670" spans="14:25" x14ac:dyDescent="0.25">
      <c r="N670" s="125"/>
      <c r="O670" s="125"/>
      <c r="P670" s="126"/>
      <c r="Q670" s="62"/>
      <c r="R670" s="62"/>
      <c r="S670" s="127"/>
      <c r="T670" s="11"/>
      <c r="U670" s="124"/>
      <c r="V670" s="11"/>
      <c r="W670" s="124"/>
      <c r="X670" s="128"/>
      <c r="Y670" s="129"/>
    </row>
    <row r="671" spans="14:25" x14ac:dyDescent="0.25">
      <c r="N671" s="125"/>
      <c r="O671" s="125"/>
      <c r="P671" s="126"/>
      <c r="Q671" s="62"/>
      <c r="R671" s="62"/>
      <c r="S671" s="127"/>
      <c r="T671" s="11"/>
      <c r="U671" s="124"/>
      <c r="V671" s="11"/>
      <c r="W671" s="124"/>
      <c r="X671" s="128"/>
      <c r="Y671" s="129"/>
    </row>
    <row r="672" spans="14:25" x14ac:dyDescent="0.25">
      <c r="N672" s="125"/>
      <c r="O672" s="125"/>
      <c r="P672" s="126"/>
      <c r="Q672" s="62"/>
      <c r="R672" s="62"/>
      <c r="S672" s="127"/>
      <c r="T672" s="11"/>
      <c r="U672" s="124"/>
      <c r="V672" s="11"/>
      <c r="W672" s="124"/>
      <c r="X672" s="128"/>
      <c r="Y672" s="129"/>
    </row>
    <row r="673" spans="14:25" x14ac:dyDescent="0.25">
      <c r="N673" s="125"/>
      <c r="O673" s="125"/>
      <c r="P673" s="126"/>
      <c r="Q673" s="62"/>
      <c r="R673" s="62"/>
      <c r="S673" s="127"/>
      <c r="T673" s="11"/>
      <c r="U673" s="124"/>
      <c r="V673" s="11"/>
      <c r="W673" s="124"/>
      <c r="X673" s="128"/>
      <c r="Y673" s="129"/>
    </row>
    <row r="674" spans="14:25" x14ac:dyDescent="0.25">
      <c r="N674" s="125"/>
      <c r="O674" s="125"/>
      <c r="P674" s="126"/>
      <c r="Q674" s="62"/>
      <c r="R674" s="62"/>
      <c r="S674" s="127"/>
      <c r="T674" s="11"/>
      <c r="U674" s="124"/>
      <c r="V674" s="11"/>
      <c r="W674" s="124"/>
      <c r="X674" s="128"/>
      <c r="Y674" s="129"/>
    </row>
    <row r="675" spans="14:25" x14ac:dyDescent="0.25">
      <c r="N675" s="125"/>
      <c r="O675" s="125"/>
      <c r="P675" s="126"/>
      <c r="Q675" s="62"/>
      <c r="R675" s="62"/>
      <c r="S675" s="127"/>
      <c r="T675" s="11"/>
      <c r="U675" s="124"/>
      <c r="V675" s="11"/>
      <c r="W675" s="124"/>
      <c r="X675" s="128"/>
      <c r="Y675" s="129"/>
    </row>
    <row r="676" spans="14:25" x14ac:dyDescent="0.25">
      <c r="N676" s="125"/>
      <c r="O676" s="125"/>
      <c r="P676" s="126"/>
      <c r="Q676" s="62"/>
      <c r="R676" s="62"/>
      <c r="S676" s="127"/>
      <c r="T676" s="11"/>
      <c r="U676" s="124"/>
      <c r="V676" s="11"/>
      <c r="W676" s="124"/>
      <c r="X676" s="128"/>
      <c r="Y676" s="129"/>
    </row>
    <row r="677" spans="14:25" x14ac:dyDescent="0.25">
      <c r="N677" s="125"/>
      <c r="O677" s="125"/>
      <c r="P677" s="126"/>
      <c r="Q677" s="62"/>
      <c r="R677" s="62"/>
      <c r="S677" s="127"/>
      <c r="T677" s="11"/>
      <c r="U677" s="124"/>
      <c r="V677" s="11"/>
      <c r="W677" s="124"/>
      <c r="X677" s="128"/>
      <c r="Y677" s="129"/>
    </row>
    <row r="678" spans="14:25" x14ac:dyDescent="0.25">
      <c r="N678" s="125"/>
      <c r="O678" s="125"/>
      <c r="P678" s="126"/>
      <c r="Q678" s="62"/>
      <c r="R678" s="62"/>
      <c r="S678" s="127"/>
      <c r="T678" s="11"/>
      <c r="U678" s="124"/>
      <c r="V678" s="11"/>
      <c r="W678" s="124"/>
      <c r="X678" s="128"/>
      <c r="Y678" s="129"/>
    </row>
    <row r="679" spans="14:25" x14ac:dyDescent="0.25">
      <c r="N679" s="125"/>
      <c r="O679" s="125"/>
      <c r="P679" s="126"/>
      <c r="Q679" s="62"/>
      <c r="R679" s="62"/>
      <c r="S679" s="127"/>
      <c r="T679" s="11"/>
      <c r="U679" s="124"/>
      <c r="V679" s="11"/>
      <c r="W679" s="124"/>
      <c r="X679" s="128"/>
      <c r="Y679" s="129"/>
    </row>
    <row r="680" spans="14:25" x14ac:dyDescent="0.25">
      <c r="N680" s="125"/>
      <c r="O680" s="125"/>
      <c r="P680" s="126"/>
      <c r="Q680" s="62"/>
      <c r="R680" s="62"/>
      <c r="S680" s="127"/>
      <c r="T680" s="11"/>
      <c r="U680" s="124"/>
      <c r="V680" s="11"/>
      <c r="W680" s="124"/>
      <c r="X680" s="128"/>
      <c r="Y680" s="129"/>
    </row>
    <row r="681" spans="14:25" x14ac:dyDescent="0.25">
      <c r="N681" s="125"/>
      <c r="O681" s="125"/>
      <c r="P681" s="126"/>
      <c r="Q681" s="62"/>
      <c r="R681" s="62"/>
      <c r="S681" s="127"/>
      <c r="T681" s="11"/>
      <c r="U681" s="124"/>
      <c r="V681" s="11"/>
      <c r="W681" s="124"/>
      <c r="X681" s="128"/>
      <c r="Y681" s="129"/>
    </row>
    <row r="682" spans="14:25" x14ac:dyDescent="0.25">
      <c r="N682" s="125"/>
      <c r="O682" s="125"/>
      <c r="P682" s="126"/>
      <c r="Q682" s="62"/>
      <c r="R682" s="62"/>
      <c r="S682" s="127"/>
      <c r="T682" s="11"/>
      <c r="U682" s="124"/>
      <c r="V682" s="11"/>
      <c r="W682" s="124"/>
      <c r="X682" s="128"/>
      <c r="Y682" s="129"/>
    </row>
    <row r="683" spans="14:25" x14ac:dyDescent="0.25">
      <c r="N683" s="125"/>
      <c r="O683" s="125"/>
      <c r="P683" s="126"/>
      <c r="Q683" s="62"/>
      <c r="R683" s="62"/>
      <c r="S683" s="127"/>
      <c r="T683" s="11"/>
      <c r="U683" s="124"/>
      <c r="V683" s="11"/>
      <c r="W683" s="124"/>
      <c r="X683" s="128"/>
      <c r="Y683" s="129"/>
    </row>
    <row r="684" spans="14:25" x14ac:dyDescent="0.25">
      <c r="N684" s="125"/>
      <c r="O684" s="125"/>
      <c r="P684" s="126"/>
      <c r="Q684" s="62"/>
      <c r="R684" s="62"/>
      <c r="S684" s="127"/>
      <c r="T684" s="11"/>
      <c r="U684" s="124"/>
      <c r="V684" s="11"/>
      <c r="W684" s="124"/>
      <c r="X684" s="128"/>
      <c r="Y684" s="129"/>
    </row>
    <row r="685" spans="14:25" x14ac:dyDescent="0.25">
      <c r="N685" s="125"/>
      <c r="O685" s="125"/>
      <c r="P685" s="126"/>
      <c r="Q685" s="62"/>
      <c r="R685" s="62"/>
      <c r="S685" s="127"/>
      <c r="T685" s="11"/>
      <c r="U685" s="124"/>
      <c r="V685" s="11"/>
      <c r="W685" s="124"/>
      <c r="X685" s="128"/>
      <c r="Y685" s="129"/>
    </row>
    <row r="686" spans="14:25" x14ac:dyDescent="0.25">
      <c r="N686" s="125"/>
      <c r="O686" s="125"/>
      <c r="P686" s="126"/>
      <c r="Q686" s="62"/>
      <c r="R686" s="62"/>
      <c r="S686" s="127"/>
      <c r="T686" s="11"/>
      <c r="U686" s="124"/>
      <c r="V686" s="11"/>
      <c r="W686" s="124"/>
      <c r="X686" s="128"/>
      <c r="Y686" s="129"/>
    </row>
    <row r="687" spans="14:25" x14ac:dyDescent="0.25">
      <c r="N687" s="125"/>
      <c r="O687" s="125"/>
      <c r="P687" s="126"/>
      <c r="Q687" s="62"/>
      <c r="R687" s="62"/>
      <c r="S687" s="127"/>
      <c r="T687" s="11"/>
      <c r="U687" s="124"/>
      <c r="V687" s="11"/>
      <c r="W687" s="124"/>
      <c r="X687" s="128"/>
      <c r="Y687" s="129"/>
    </row>
    <row r="688" spans="14:25" x14ac:dyDescent="0.25">
      <c r="N688" s="125"/>
      <c r="O688" s="125"/>
      <c r="P688" s="126"/>
      <c r="Q688" s="62"/>
      <c r="R688" s="62"/>
      <c r="S688" s="127"/>
      <c r="T688" s="11"/>
      <c r="U688" s="124"/>
      <c r="V688" s="11"/>
      <c r="W688" s="124"/>
      <c r="X688" s="128"/>
      <c r="Y688" s="129"/>
    </row>
    <row r="689" spans="14:25" x14ac:dyDescent="0.25">
      <c r="N689" s="125"/>
      <c r="O689" s="125"/>
      <c r="P689" s="126"/>
      <c r="Q689" s="62"/>
      <c r="R689" s="62"/>
      <c r="S689" s="127"/>
      <c r="T689" s="11"/>
      <c r="U689" s="124"/>
      <c r="V689" s="11"/>
      <c r="W689" s="124"/>
      <c r="X689" s="128"/>
      <c r="Y689" s="129"/>
    </row>
    <row r="690" spans="14:25" x14ac:dyDescent="0.25">
      <c r="N690" s="125"/>
      <c r="O690" s="125"/>
      <c r="P690" s="126"/>
      <c r="Q690" s="62"/>
      <c r="R690" s="62"/>
      <c r="S690" s="127"/>
      <c r="T690" s="11"/>
      <c r="U690" s="124"/>
      <c r="V690" s="11"/>
      <c r="W690" s="124"/>
      <c r="X690" s="128"/>
      <c r="Y690" s="129"/>
    </row>
    <row r="691" spans="14:25" x14ac:dyDescent="0.25">
      <c r="N691" s="125"/>
      <c r="O691" s="125"/>
      <c r="P691" s="126"/>
      <c r="Q691" s="62"/>
      <c r="R691" s="62"/>
      <c r="S691" s="127"/>
      <c r="T691" s="11"/>
      <c r="U691" s="124"/>
      <c r="V691" s="11"/>
      <c r="W691" s="124"/>
      <c r="X691" s="128"/>
      <c r="Y691" s="129"/>
    </row>
    <row r="692" spans="14:25" x14ac:dyDescent="0.25">
      <c r="N692" s="125"/>
      <c r="O692" s="125"/>
      <c r="P692" s="126"/>
      <c r="Q692" s="62"/>
      <c r="R692" s="62"/>
      <c r="S692" s="127"/>
      <c r="T692" s="11"/>
      <c r="U692" s="124"/>
      <c r="V692" s="11"/>
      <c r="W692" s="124"/>
      <c r="X692" s="128"/>
      <c r="Y692" s="129"/>
    </row>
    <row r="693" spans="14:25" x14ac:dyDescent="0.25">
      <c r="N693" s="125"/>
      <c r="O693" s="125"/>
      <c r="P693" s="126"/>
      <c r="Q693" s="62"/>
      <c r="R693" s="62"/>
      <c r="S693" s="127"/>
      <c r="T693" s="11"/>
      <c r="U693" s="124"/>
      <c r="V693" s="11"/>
      <c r="W693" s="124"/>
      <c r="X693" s="128"/>
      <c r="Y693" s="129"/>
    </row>
    <row r="694" spans="14:25" x14ac:dyDescent="0.25">
      <c r="N694" s="125"/>
      <c r="O694" s="125"/>
      <c r="P694" s="126"/>
      <c r="Q694" s="62"/>
      <c r="R694" s="62"/>
      <c r="S694" s="127"/>
      <c r="T694" s="11"/>
      <c r="U694" s="124"/>
      <c r="V694" s="11"/>
      <c r="W694" s="124"/>
      <c r="X694" s="128"/>
      <c r="Y694" s="129"/>
    </row>
    <row r="695" spans="14:25" x14ac:dyDescent="0.25">
      <c r="N695" s="125"/>
      <c r="O695" s="125"/>
      <c r="P695" s="126"/>
      <c r="Q695" s="62"/>
      <c r="R695" s="62"/>
      <c r="S695" s="127"/>
      <c r="T695" s="11"/>
      <c r="U695" s="124"/>
      <c r="V695" s="11"/>
      <c r="W695" s="124"/>
      <c r="X695" s="128"/>
      <c r="Y695" s="129"/>
    </row>
    <row r="696" spans="14:25" x14ac:dyDescent="0.25">
      <c r="N696" s="125"/>
      <c r="O696" s="125"/>
      <c r="P696" s="126"/>
      <c r="Q696" s="62"/>
      <c r="R696" s="62"/>
      <c r="S696" s="127"/>
      <c r="T696" s="11"/>
      <c r="U696" s="124"/>
      <c r="V696" s="11"/>
      <c r="W696" s="124"/>
      <c r="X696" s="128"/>
      <c r="Y696" s="129"/>
    </row>
    <row r="697" spans="14:25" x14ac:dyDescent="0.25">
      <c r="N697" s="125"/>
      <c r="O697" s="125"/>
      <c r="P697" s="126"/>
      <c r="Q697" s="62"/>
      <c r="R697" s="62"/>
      <c r="S697" s="127"/>
      <c r="T697" s="11"/>
      <c r="U697" s="124"/>
      <c r="V697" s="11"/>
      <c r="W697" s="124"/>
      <c r="X697" s="128"/>
      <c r="Y697" s="129"/>
    </row>
    <row r="698" spans="14:25" x14ac:dyDescent="0.25">
      <c r="N698" s="125"/>
      <c r="O698" s="125"/>
      <c r="P698" s="126"/>
      <c r="Q698" s="62"/>
      <c r="R698" s="62"/>
      <c r="S698" s="127"/>
      <c r="T698" s="11"/>
      <c r="U698" s="124"/>
      <c r="V698" s="11"/>
      <c r="W698" s="124"/>
      <c r="X698" s="128"/>
      <c r="Y698" s="129"/>
    </row>
    <row r="699" spans="14:25" x14ac:dyDescent="0.25">
      <c r="N699" s="125"/>
      <c r="O699" s="125"/>
      <c r="P699" s="126"/>
      <c r="Q699" s="62"/>
      <c r="R699" s="62"/>
      <c r="S699" s="127"/>
      <c r="T699" s="11"/>
      <c r="U699" s="124"/>
      <c r="V699" s="11"/>
      <c r="W699" s="124"/>
      <c r="X699" s="128"/>
      <c r="Y699" s="129"/>
    </row>
    <row r="700" spans="14:25" x14ac:dyDescent="0.25">
      <c r="N700" s="125"/>
      <c r="O700" s="125"/>
      <c r="P700" s="126"/>
      <c r="Q700" s="62"/>
      <c r="R700" s="62"/>
      <c r="S700" s="127"/>
      <c r="T700" s="11"/>
      <c r="U700" s="124"/>
      <c r="V700" s="11"/>
      <c r="W700" s="124"/>
      <c r="X700" s="128"/>
      <c r="Y700" s="129"/>
    </row>
    <row r="701" spans="14:25" x14ac:dyDescent="0.25">
      <c r="N701" s="125"/>
      <c r="O701" s="125"/>
      <c r="P701" s="126"/>
      <c r="Q701" s="62"/>
      <c r="R701" s="62"/>
      <c r="S701" s="127"/>
      <c r="T701" s="11"/>
      <c r="U701" s="124"/>
      <c r="V701" s="11"/>
      <c r="W701" s="124"/>
      <c r="X701" s="128"/>
      <c r="Y701" s="129"/>
    </row>
    <row r="702" spans="14:25" x14ac:dyDescent="0.25">
      <c r="N702" s="125"/>
      <c r="O702" s="125"/>
      <c r="P702" s="126"/>
      <c r="Q702" s="62"/>
      <c r="R702" s="62"/>
      <c r="S702" s="127"/>
      <c r="T702" s="11"/>
      <c r="U702" s="124"/>
      <c r="V702" s="11"/>
      <c r="W702" s="124"/>
      <c r="X702" s="128"/>
      <c r="Y702" s="129"/>
    </row>
    <row r="703" spans="14:25" x14ac:dyDescent="0.25">
      <c r="N703" s="125"/>
      <c r="O703" s="125"/>
      <c r="P703" s="126"/>
      <c r="Q703" s="62"/>
      <c r="R703" s="62"/>
      <c r="S703" s="127"/>
      <c r="T703" s="11"/>
      <c r="U703" s="124"/>
      <c r="V703" s="11"/>
      <c r="W703" s="124"/>
      <c r="X703" s="128"/>
      <c r="Y703" s="129"/>
    </row>
    <row r="704" spans="14:25" x14ac:dyDescent="0.25">
      <c r="N704" s="125"/>
      <c r="O704" s="125"/>
      <c r="P704" s="126"/>
      <c r="Q704" s="62"/>
      <c r="R704" s="62"/>
      <c r="S704" s="127"/>
      <c r="T704" s="11"/>
      <c r="U704" s="124"/>
      <c r="V704" s="11"/>
      <c r="W704" s="124"/>
      <c r="X704" s="128"/>
      <c r="Y704" s="129"/>
    </row>
    <row r="705" spans="14:25" x14ac:dyDescent="0.25">
      <c r="N705" s="125"/>
      <c r="O705" s="125"/>
      <c r="P705" s="126"/>
      <c r="Q705" s="62"/>
      <c r="R705" s="62"/>
      <c r="S705" s="127"/>
      <c r="T705" s="11"/>
      <c r="U705" s="124"/>
      <c r="V705" s="11"/>
      <c r="W705" s="124"/>
      <c r="X705" s="128"/>
      <c r="Y705" s="129"/>
    </row>
    <row r="706" spans="14:25" x14ac:dyDescent="0.25">
      <c r="N706" s="125"/>
      <c r="O706" s="125"/>
      <c r="P706" s="126"/>
      <c r="Q706" s="62"/>
      <c r="R706" s="62"/>
      <c r="S706" s="127"/>
      <c r="T706" s="11"/>
      <c r="U706" s="124"/>
      <c r="V706" s="11"/>
      <c r="W706" s="124"/>
      <c r="X706" s="128"/>
      <c r="Y706" s="129"/>
    </row>
    <row r="707" spans="14:25" x14ac:dyDescent="0.25">
      <c r="N707" s="125"/>
      <c r="O707" s="125"/>
      <c r="P707" s="126"/>
      <c r="Q707" s="62"/>
      <c r="R707" s="62"/>
      <c r="S707" s="127"/>
      <c r="T707" s="11"/>
      <c r="U707" s="124"/>
      <c r="V707" s="11"/>
      <c r="W707" s="124"/>
      <c r="X707" s="128"/>
      <c r="Y707" s="129"/>
    </row>
    <row r="708" spans="14:25" x14ac:dyDescent="0.25">
      <c r="N708" s="125"/>
      <c r="O708" s="125"/>
      <c r="P708" s="126"/>
      <c r="Q708" s="62"/>
      <c r="R708" s="62"/>
      <c r="S708" s="127"/>
      <c r="T708" s="11"/>
      <c r="U708" s="124"/>
      <c r="V708" s="11"/>
      <c r="W708" s="124"/>
      <c r="X708" s="128"/>
      <c r="Y708" s="129"/>
    </row>
    <row r="709" spans="14:25" x14ac:dyDescent="0.25">
      <c r="N709" s="125"/>
      <c r="O709" s="125"/>
      <c r="P709" s="126"/>
      <c r="Q709" s="62"/>
      <c r="R709" s="62"/>
      <c r="S709" s="127"/>
      <c r="T709" s="11"/>
      <c r="U709" s="124"/>
      <c r="V709" s="11"/>
      <c r="W709" s="124"/>
      <c r="X709" s="128"/>
      <c r="Y709" s="129"/>
    </row>
    <row r="710" spans="14:25" x14ac:dyDescent="0.25">
      <c r="N710" s="125"/>
      <c r="O710" s="125"/>
      <c r="P710" s="126"/>
      <c r="Q710" s="62"/>
      <c r="R710" s="62"/>
      <c r="S710" s="127"/>
      <c r="T710" s="11"/>
      <c r="U710" s="124"/>
      <c r="V710" s="11"/>
      <c r="W710" s="124"/>
      <c r="X710" s="128"/>
      <c r="Y710" s="129"/>
    </row>
    <row r="711" spans="14:25" x14ac:dyDescent="0.25">
      <c r="N711" s="125"/>
      <c r="O711" s="125"/>
      <c r="P711" s="126"/>
      <c r="Q711" s="62"/>
      <c r="R711" s="62"/>
      <c r="S711" s="127"/>
      <c r="T711" s="11"/>
      <c r="U711" s="124"/>
      <c r="V711" s="11"/>
      <c r="W711" s="124"/>
      <c r="X711" s="128"/>
      <c r="Y711" s="129"/>
    </row>
    <row r="712" spans="14:25" x14ac:dyDescent="0.25">
      <c r="N712" s="125"/>
      <c r="O712" s="125"/>
      <c r="P712" s="126"/>
      <c r="Q712" s="62"/>
      <c r="R712" s="62"/>
      <c r="S712" s="127"/>
      <c r="T712" s="11"/>
      <c r="U712" s="124"/>
      <c r="V712" s="11"/>
      <c r="W712" s="124"/>
      <c r="X712" s="128"/>
      <c r="Y712" s="129"/>
    </row>
    <row r="713" spans="14:25" x14ac:dyDescent="0.25">
      <c r="N713" s="125"/>
      <c r="O713" s="125"/>
      <c r="P713" s="126"/>
      <c r="Q713" s="62"/>
      <c r="R713" s="62"/>
      <c r="S713" s="127"/>
      <c r="T713" s="11"/>
      <c r="U713" s="124"/>
      <c r="V713" s="11"/>
      <c r="W713" s="124"/>
      <c r="X713" s="128"/>
      <c r="Y713" s="129"/>
    </row>
    <row r="714" spans="14:25" x14ac:dyDescent="0.25">
      <c r="N714" s="125"/>
      <c r="O714" s="125"/>
      <c r="P714" s="126"/>
      <c r="Q714" s="62"/>
      <c r="R714" s="62"/>
      <c r="S714" s="127"/>
      <c r="T714" s="11"/>
      <c r="U714" s="124"/>
      <c r="V714" s="11"/>
      <c r="W714" s="124"/>
      <c r="X714" s="128"/>
      <c r="Y714" s="129"/>
    </row>
    <row r="715" spans="14:25" x14ac:dyDescent="0.25">
      <c r="N715" s="125"/>
      <c r="O715" s="125"/>
      <c r="P715" s="126"/>
      <c r="Q715" s="62"/>
      <c r="R715" s="62"/>
      <c r="S715" s="127"/>
      <c r="T715" s="11"/>
      <c r="U715" s="124"/>
      <c r="V715" s="11"/>
      <c r="W715" s="124"/>
      <c r="X715" s="128"/>
      <c r="Y715" s="129"/>
    </row>
    <row r="716" spans="14:25" x14ac:dyDescent="0.25">
      <c r="N716" s="125"/>
      <c r="O716" s="125"/>
      <c r="P716" s="126"/>
      <c r="Q716" s="62"/>
      <c r="R716" s="62"/>
      <c r="S716" s="127"/>
      <c r="T716" s="11"/>
      <c r="U716" s="124"/>
      <c r="V716" s="11"/>
      <c r="W716" s="124"/>
      <c r="X716" s="128"/>
      <c r="Y716" s="129"/>
    </row>
    <row r="717" spans="14:25" x14ac:dyDescent="0.25">
      <c r="N717" s="125"/>
      <c r="O717" s="125"/>
      <c r="P717" s="126"/>
      <c r="Q717" s="62"/>
      <c r="R717" s="62"/>
      <c r="S717" s="127"/>
      <c r="T717" s="11"/>
      <c r="U717" s="124"/>
      <c r="V717" s="11"/>
      <c r="W717" s="124"/>
      <c r="X717" s="128"/>
      <c r="Y717" s="129"/>
    </row>
    <row r="718" spans="14:25" x14ac:dyDescent="0.25">
      <c r="N718" s="125"/>
      <c r="O718" s="125"/>
      <c r="P718" s="126"/>
      <c r="Q718" s="62"/>
      <c r="R718" s="62"/>
      <c r="S718" s="127"/>
      <c r="T718" s="11"/>
      <c r="U718" s="124"/>
      <c r="V718" s="11"/>
      <c r="W718" s="124"/>
      <c r="X718" s="128"/>
      <c r="Y718" s="129"/>
    </row>
    <row r="719" spans="14:25" x14ac:dyDescent="0.25">
      <c r="N719" s="125"/>
      <c r="O719" s="125"/>
      <c r="P719" s="126"/>
      <c r="Q719" s="62"/>
      <c r="R719" s="62"/>
      <c r="S719" s="127"/>
      <c r="T719" s="11"/>
      <c r="U719" s="124"/>
      <c r="V719" s="11"/>
      <c r="W719" s="124"/>
      <c r="X719" s="128"/>
      <c r="Y719" s="129"/>
    </row>
    <row r="720" spans="14:25" x14ac:dyDescent="0.25">
      <c r="N720" s="125"/>
      <c r="O720" s="125"/>
      <c r="P720" s="126"/>
      <c r="Q720" s="62"/>
      <c r="R720" s="62"/>
      <c r="S720" s="127"/>
      <c r="T720" s="11"/>
      <c r="U720" s="124"/>
      <c r="V720" s="11"/>
      <c r="W720" s="124"/>
      <c r="X720" s="128"/>
      <c r="Y720" s="129"/>
    </row>
    <row r="721" spans="14:25" x14ac:dyDescent="0.25">
      <c r="N721" s="125"/>
      <c r="O721" s="125"/>
      <c r="P721" s="126"/>
      <c r="Q721" s="62"/>
      <c r="R721" s="62"/>
      <c r="S721" s="127"/>
      <c r="T721" s="11"/>
      <c r="U721" s="124"/>
      <c r="V721" s="11"/>
      <c r="W721" s="124"/>
      <c r="X721" s="128"/>
      <c r="Y721" s="129"/>
    </row>
    <row r="722" spans="14:25" x14ac:dyDescent="0.25">
      <c r="N722" s="125"/>
      <c r="O722" s="125"/>
      <c r="P722" s="126"/>
      <c r="Q722" s="62"/>
      <c r="R722" s="62"/>
      <c r="S722" s="127"/>
      <c r="T722" s="11"/>
      <c r="U722" s="124"/>
      <c r="V722" s="11"/>
      <c r="W722" s="124"/>
      <c r="X722" s="128"/>
      <c r="Y722" s="129"/>
    </row>
    <row r="723" spans="14:25" x14ac:dyDescent="0.25">
      <c r="N723" s="125"/>
      <c r="O723" s="125"/>
      <c r="P723" s="126"/>
      <c r="Q723" s="62"/>
      <c r="R723" s="62"/>
      <c r="S723" s="127"/>
      <c r="T723" s="11"/>
      <c r="U723" s="124"/>
      <c r="V723" s="11"/>
      <c r="W723" s="124"/>
      <c r="X723" s="128"/>
      <c r="Y723" s="129"/>
    </row>
    <row r="724" spans="14:25" x14ac:dyDescent="0.25">
      <c r="N724" s="125"/>
      <c r="O724" s="125"/>
      <c r="P724" s="126"/>
      <c r="Q724" s="62"/>
      <c r="R724" s="62"/>
      <c r="S724" s="127"/>
      <c r="T724" s="11"/>
      <c r="U724" s="124"/>
      <c r="V724" s="11"/>
      <c r="W724" s="124"/>
      <c r="X724" s="128"/>
      <c r="Y724" s="129"/>
    </row>
    <row r="725" spans="14:25" x14ac:dyDescent="0.25">
      <c r="N725" s="125"/>
      <c r="O725" s="125"/>
      <c r="P725" s="126"/>
      <c r="Q725" s="62"/>
      <c r="R725" s="62"/>
      <c r="S725" s="127"/>
      <c r="T725" s="11"/>
      <c r="U725" s="124"/>
      <c r="V725" s="11"/>
      <c r="W725" s="124"/>
      <c r="X725" s="128"/>
      <c r="Y725" s="129"/>
    </row>
    <row r="726" spans="14:25" x14ac:dyDescent="0.25">
      <c r="N726" s="125"/>
      <c r="O726" s="125"/>
      <c r="P726" s="126"/>
      <c r="Q726" s="62"/>
      <c r="R726" s="62"/>
      <c r="S726" s="127"/>
      <c r="T726" s="11"/>
      <c r="U726" s="124"/>
      <c r="V726" s="11"/>
      <c r="W726" s="124"/>
      <c r="X726" s="128"/>
      <c r="Y726" s="129"/>
    </row>
    <row r="727" spans="14:25" x14ac:dyDescent="0.25">
      <c r="N727" s="125"/>
      <c r="O727" s="125"/>
      <c r="P727" s="126"/>
      <c r="Q727" s="62"/>
      <c r="R727" s="62"/>
      <c r="S727" s="127"/>
      <c r="T727" s="11"/>
      <c r="U727" s="124"/>
      <c r="V727" s="11"/>
      <c r="W727" s="124"/>
      <c r="X727" s="128"/>
      <c r="Y727" s="129"/>
    </row>
    <row r="728" spans="14:25" x14ac:dyDescent="0.25">
      <c r="N728" s="125"/>
      <c r="O728" s="125"/>
      <c r="P728" s="126"/>
      <c r="Q728" s="62"/>
      <c r="R728" s="62"/>
      <c r="S728" s="127"/>
      <c r="T728" s="11"/>
      <c r="U728" s="124"/>
      <c r="V728" s="11"/>
      <c r="W728" s="124"/>
      <c r="X728" s="128"/>
      <c r="Y728" s="129"/>
    </row>
    <row r="729" spans="14:25" x14ac:dyDescent="0.25">
      <c r="N729" s="125"/>
      <c r="O729" s="125"/>
      <c r="P729" s="126"/>
      <c r="Q729" s="62"/>
      <c r="R729" s="62"/>
      <c r="S729" s="127"/>
      <c r="T729" s="11"/>
      <c r="U729" s="124"/>
      <c r="V729" s="11"/>
      <c r="W729" s="124"/>
      <c r="X729" s="128"/>
      <c r="Y729" s="129"/>
    </row>
    <row r="730" spans="14:25" x14ac:dyDescent="0.25">
      <c r="N730" s="125"/>
      <c r="O730" s="125"/>
      <c r="P730" s="126"/>
      <c r="Q730" s="62"/>
      <c r="R730" s="62"/>
      <c r="S730" s="127"/>
      <c r="T730" s="11"/>
      <c r="U730" s="124"/>
      <c r="V730" s="11"/>
      <c r="W730" s="124"/>
      <c r="X730" s="128"/>
      <c r="Y730" s="129"/>
    </row>
    <row r="731" spans="14:25" x14ac:dyDescent="0.25">
      <c r="N731" s="125"/>
      <c r="O731" s="125"/>
      <c r="P731" s="126"/>
      <c r="Q731" s="62"/>
      <c r="R731" s="62"/>
      <c r="S731" s="127"/>
      <c r="T731" s="11"/>
      <c r="U731" s="124"/>
      <c r="V731" s="11"/>
      <c r="W731" s="124"/>
      <c r="X731" s="128"/>
      <c r="Y731" s="129"/>
    </row>
    <row r="732" spans="14:25" x14ac:dyDescent="0.25">
      <c r="N732" s="125"/>
      <c r="O732" s="125"/>
      <c r="P732" s="126"/>
      <c r="Q732" s="62"/>
      <c r="R732" s="62"/>
      <c r="S732" s="127"/>
      <c r="T732" s="11"/>
      <c r="U732" s="124"/>
      <c r="V732" s="11"/>
      <c r="W732" s="124"/>
      <c r="X732" s="128"/>
      <c r="Y732" s="129"/>
    </row>
    <row r="733" spans="14:25" x14ac:dyDescent="0.25">
      <c r="N733" s="125"/>
      <c r="O733" s="125"/>
      <c r="P733" s="126"/>
      <c r="Q733" s="62"/>
      <c r="R733" s="62"/>
      <c r="S733" s="127"/>
      <c r="T733" s="11"/>
      <c r="U733" s="124"/>
      <c r="V733" s="11"/>
      <c r="W733" s="124"/>
      <c r="X733" s="128"/>
      <c r="Y733" s="129"/>
    </row>
    <row r="734" spans="14:25" x14ac:dyDescent="0.25">
      <c r="N734" s="125"/>
      <c r="O734" s="125"/>
      <c r="P734" s="126"/>
      <c r="Q734" s="62"/>
      <c r="R734" s="62"/>
      <c r="S734" s="127"/>
      <c r="T734" s="11"/>
      <c r="U734" s="124"/>
      <c r="V734" s="11"/>
      <c r="W734" s="124"/>
      <c r="X734" s="128"/>
      <c r="Y734" s="129"/>
    </row>
    <row r="735" spans="14:25" x14ac:dyDescent="0.25">
      <c r="N735" s="125"/>
      <c r="O735" s="125"/>
      <c r="P735" s="126"/>
      <c r="Q735" s="62"/>
      <c r="R735" s="62"/>
      <c r="S735" s="127"/>
      <c r="T735" s="11"/>
      <c r="U735" s="124"/>
      <c r="V735" s="11"/>
      <c r="W735" s="124"/>
      <c r="X735" s="128"/>
      <c r="Y735" s="129"/>
    </row>
    <row r="736" spans="14:25" x14ac:dyDescent="0.25">
      <c r="N736" s="125"/>
      <c r="O736" s="125"/>
      <c r="P736" s="126"/>
      <c r="Q736" s="62"/>
      <c r="R736" s="62"/>
      <c r="S736" s="127"/>
      <c r="T736" s="11"/>
      <c r="U736" s="124"/>
      <c r="V736" s="11"/>
      <c r="W736" s="124"/>
      <c r="X736" s="128"/>
      <c r="Y736" s="129"/>
    </row>
    <row r="737" spans="14:25" x14ac:dyDescent="0.25">
      <c r="N737" s="125"/>
      <c r="O737" s="125"/>
      <c r="P737" s="126"/>
      <c r="Q737" s="62"/>
      <c r="R737" s="62"/>
      <c r="S737" s="127"/>
      <c r="T737" s="11"/>
      <c r="U737" s="124"/>
      <c r="V737" s="11"/>
      <c r="W737" s="124"/>
      <c r="X737" s="128"/>
      <c r="Y737" s="129"/>
    </row>
    <row r="738" spans="14:25" x14ac:dyDescent="0.25">
      <c r="N738" s="125"/>
      <c r="O738" s="125"/>
      <c r="P738" s="126"/>
      <c r="Q738" s="62"/>
      <c r="R738" s="62"/>
      <c r="S738" s="127"/>
      <c r="T738" s="11"/>
      <c r="U738" s="124"/>
      <c r="V738" s="11"/>
      <c r="W738" s="124"/>
      <c r="X738" s="128"/>
      <c r="Y738" s="129"/>
    </row>
    <row r="739" spans="14:25" x14ac:dyDescent="0.25">
      <c r="N739" s="125"/>
      <c r="O739" s="125"/>
      <c r="P739" s="126"/>
      <c r="Q739" s="62"/>
      <c r="R739" s="62"/>
      <c r="S739" s="127"/>
      <c r="T739" s="11"/>
      <c r="U739" s="124"/>
      <c r="V739" s="11"/>
      <c r="W739" s="124"/>
      <c r="X739" s="128"/>
      <c r="Y739" s="129"/>
    </row>
    <row r="740" spans="14:25" x14ac:dyDescent="0.25">
      <c r="N740" s="125"/>
      <c r="O740" s="125"/>
      <c r="P740" s="126"/>
      <c r="Q740" s="62"/>
      <c r="R740" s="62"/>
      <c r="S740" s="127"/>
      <c r="T740" s="11"/>
      <c r="U740" s="124"/>
      <c r="V740" s="11"/>
      <c r="W740" s="124"/>
      <c r="X740" s="128"/>
      <c r="Y740" s="129"/>
    </row>
    <row r="741" spans="14:25" x14ac:dyDescent="0.25">
      <c r="N741" s="125"/>
      <c r="O741" s="125"/>
      <c r="P741" s="126"/>
      <c r="Q741" s="62"/>
      <c r="R741" s="62"/>
      <c r="S741" s="127"/>
      <c r="T741" s="11"/>
      <c r="U741" s="124"/>
      <c r="V741" s="11"/>
      <c r="W741" s="124"/>
      <c r="X741" s="128"/>
      <c r="Y741" s="129"/>
    </row>
    <row r="742" spans="14:25" x14ac:dyDescent="0.25">
      <c r="N742" s="125"/>
      <c r="O742" s="125"/>
      <c r="P742" s="126"/>
      <c r="Q742" s="62"/>
      <c r="R742" s="62"/>
      <c r="S742" s="127"/>
      <c r="T742" s="11"/>
      <c r="U742" s="124"/>
      <c r="V742" s="11"/>
      <c r="W742" s="124"/>
      <c r="X742" s="128"/>
      <c r="Y742" s="129"/>
    </row>
    <row r="743" spans="14:25" x14ac:dyDescent="0.25">
      <c r="N743" s="125"/>
      <c r="O743" s="125"/>
      <c r="P743" s="126"/>
      <c r="Q743" s="62"/>
      <c r="R743" s="62"/>
      <c r="S743" s="127"/>
      <c r="T743" s="11"/>
      <c r="U743" s="124"/>
      <c r="V743" s="11"/>
      <c r="W743" s="124"/>
      <c r="X743" s="128"/>
      <c r="Y743" s="129"/>
    </row>
    <row r="744" spans="14:25" x14ac:dyDescent="0.25">
      <c r="N744" s="125"/>
      <c r="O744" s="125"/>
      <c r="P744" s="126"/>
      <c r="Q744" s="62"/>
      <c r="R744" s="62"/>
      <c r="S744" s="127"/>
      <c r="T744" s="11"/>
      <c r="U744" s="124"/>
      <c r="V744" s="11"/>
      <c r="W744" s="124"/>
      <c r="X744" s="128"/>
      <c r="Y744" s="129"/>
    </row>
    <row r="745" spans="14:25" x14ac:dyDescent="0.25">
      <c r="N745" s="125"/>
      <c r="O745" s="125"/>
      <c r="P745" s="126"/>
      <c r="Q745" s="62"/>
      <c r="R745" s="62"/>
      <c r="S745" s="127"/>
      <c r="T745" s="11"/>
      <c r="U745" s="124"/>
      <c r="V745" s="11"/>
      <c r="W745" s="124"/>
      <c r="X745" s="128"/>
      <c r="Y745" s="129"/>
    </row>
    <row r="746" spans="14:25" x14ac:dyDescent="0.25">
      <c r="N746" s="125"/>
      <c r="O746" s="125"/>
      <c r="P746" s="126"/>
      <c r="Q746" s="62"/>
      <c r="R746" s="62"/>
      <c r="S746" s="127"/>
      <c r="T746" s="11"/>
      <c r="U746" s="124"/>
      <c r="V746" s="11"/>
      <c r="W746" s="124"/>
      <c r="X746" s="128"/>
      <c r="Y746" s="129"/>
    </row>
    <row r="747" spans="14:25" x14ac:dyDescent="0.25">
      <c r="N747" s="125"/>
      <c r="O747" s="125"/>
      <c r="P747" s="126"/>
      <c r="Q747" s="62"/>
      <c r="R747" s="62"/>
      <c r="S747" s="127"/>
      <c r="T747" s="11"/>
      <c r="U747" s="124"/>
      <c r="V747" s="11"/>
      <c r="W747" s="124"/>
      <c r="X747" s="128"/>
      <c r="Y747" s="129"/>
    </row>
    <row r="748" spans="14:25" x14ac:dyDescent="0.25">
      <c r="N748" s="125"/>
      <c r="O748" s="125"/>
      <c r="P748" s="126"/>
      <c r="Q748" s="62"/>
      <c r="R748" s="62"/>
      <c r="S748" s="127"/>
      <c r="T748" s="11"/>
      <c r="U748" s="124"/>
      <c r="V748" s="11"/>
      <c r="W748" s="124"/>
      <c r="X748" s="128"/>
      <c r="Y748" s="129"/>
    </row>
    <row r="749" spans="14:25" x14ac:dyDescent="0.25">
      <c r="N749" s="125"/>
      <c r="O749" s="125"/>
      <c r="P749" s="126"/>
      <c r="Q749" s="62"/>
      <c r="R749" s="62"/>
      <c r="S749" s="127"/>
      <c r="T749" s="11"/>
      <c r="U749" s="124"/>
      <c r="V749" s="11"/>
      <c r="W749" s="124"/>
      <c r="X749" s="128"/>
      <c r="Y749" s="129"/>
    </row>
    <row r="750" spans="14:25" x14ac:dyDescent="0.25">
      <c r="N750" s="125"/>
      <c r="O750" s="125"/>
      <c r="P750" s="126"/>
      <c r="Q750" s="62"/>
      <c r="R750" s="62"/>
      <c r="S750" s="127"/>
      <c r="T750" s="11"/>
      <c r="U750" s="124"/>
      <c r="V750" s="11"/>
      <c r="W750" s="124"/>
      <c r="X750" s="128"/>
      <c r="Y750" s="129"/>
    </row>
    <row r="751" spans="14:25" x14ac:dyDescent="0.25">
      <c r="N751" s="125"/>
      <c r="O751" s="125"/>
      <c r="P751" s="126"/>
      <c r="Q751" s="62"/>
      <c r="R751" s="62"/>
      <c r="S751" s="127"/>
      <c r="T751" s="11"/>
      <c r="U751" s="124"/>
      <c r="V751" s="11"/>
      <c r="W751" s="124"/>
      <c r="X751" s="128"/>
      <c r="Y751" s="129"/>
    </row>
    <row r="752" spans="14:25" x14ac:dyDescent="0.25">
      <c r="N752" s="125"/>
      <c r="O752" s="125"/>
      <c r="P752" s="126"/>
      <c r="Q752" s="62"/>
      <c r="R752" s="62"/>
      <c r="S752" s="127"/>
      <c r="T752" s="11"/>
      <c r="U752" s="124"/>
      <c r="V752" s="11"/>
      <c r="W752" s="124"/>
      <c r="X752" s="128"/>
      <c r="Y752" s="129"/>
    </row>
    <row r="753" spans="14:25" x14ac:dyDescent="0.25">
      <c r="N753" s="125"/>
      <c r="O753" s="125"/>
      <c r="P753" s="126"/>
      <c r="Q753" s="62"/>
      <c r="R753" s="62"/>
      <c r="S753" s="127"/>
      <c r="T753" s="11"/>
      <c r="U753" s="124"/>
      <c r="V753" s="11"/>
      <c r="W753" s="124"/>
      <c r="X753" s="128"/>
      <c r="Y753" s="129"/>
    </row>
    <row r="754" spans="14:25" x14ac:dyDescent="0.25">
      <c r="N754" s="125"/>
      <c r="O754" s="125"/>
      <c r="P754" s="126"/>
      <c r="Q754" s="62"/>
      <c r="R754" s="62"/>
      <c r="S754" s="127"/>
      <c r="T754" s="11"/>
      <c r="U754" s="124"/>
      <c r="V754" s="11"/>
      <c r="W754" s="124"/>
      <c r="X754" s="128"/>
      <c r="Y754" s="129"/>
    </row>
    <row r="755" spans="14:25" x14ac:dyDescent="0.25">
      <c r="N755" s="125"/>
      <c r="O755" s="125"/>
      <c r="P755" s="126"/>
      <c r="Q755" s="62"/>
      <c r="R755" s="62"/>
      <c r="S755" s="127"/>
      <c r="T755" s="11"/>
      <c r="U755" s="124"/>
      <c r="V755" s="11"/>
      <c r="W755" s="124"/>
      <c r="X755" s="128"/>
      <c r="Y755" s="129"/>
    </row>
    <row r="756" spans="14:25" x14ac:dyDescent="0.25">
      <c r="N756" s="125"/>
      <c r="O756" s="125"/>
      <c r="P756" s="126"/>
      <c r="Q756" s="62"/>
      <c r="R756" s="62"/>
      <c r="S756" s="127"/>
      <c r="T756" s="11"/>
      <c r="U756" s="124"/>
      <c r="V756" s="11"/>
      <c r="W756" s="124"/>
      <c r="X756" s="128"/>
      <c r="Y756" s="129"/>
    </row>
    <row r="757" spans="14:25" x14ac:dyDescent="0.25">
      <c r="N757" s="125"/>
      <c r="O757" s="125"/>
      <c r="P757" s="126"/>
      <c r="Q757" s="62"/>
      <c r="R757" s="62"/>
      <c r="S757" s="127"/>
      <c r="T757" s="11"/>
      <c r="U757" s="124"/>
      <c r="V757" s="11"/>
      <c r="W757" s="124"/>
      <c r="X757" s="128"/>
      <c r="Y757" s="129"/>
    </row>
    <row r="758" spans="14:25" x14ac:dyDescent="0.25">
      <c r="N758" s="125"/>
      <c r="O758" s="125"/>
      <c r="P758" s="126"/>
      <c r="Q758" s="62"/>
      <c r="R758" s="62"/>
      <c r="S758" s="127"/>
      <c r="T758" s="11"/>
      <c r="U758" s="124"/>
      <c r="V758" s="11"/>
      <c r="W758" s="124"/>
      <c r="X758" s="128"/>
      <c r="Y758" s="129"/>
    </row>
    <row r="759" spans="14:25" x14ac:dyDescent="0.25">
      <c r="N759" s="125"/>
      <c r="O759" s="125"/>
      <c r="P759" s="126"/>
      <c r="Q759" s="62"/>
      <c r="R759" s="62"/>
      <c r="S759" s="127"/>
      <c r="T759" s="11"/>
      <c r="U759" s="124"/>
      <c r="V759" s="11"/>
      <c r="W759" s="124"/>
      <c r="X759" s="128"/>
      <c r="Y759" s="129"/>
    </row>
    <row r="760" spans="14:25" x14ac:dyDescent="0.25">
      <c r="N760" s="125"/>
      <c r="O760" s="125"/>
      <c r="P760" s="126"/>
      <c r="Q760" s="62"/>
      <c r="R760" s="62"/>
      <c r="S760" s="127"/>
      <c r="T760" s="11"/>
      <c r="U760" s="124"/>
      <c r="V760" s="11"/>
      <c r="W760" s="124"/>
      <c r="X760" s="128"/>
      <c r="Y760" s="129"/>
    </row>
    <row r="761" spans="14:25" x14ac:dyDescent="0.25">
      <c r="N761" s="125"/>
      <c r="O761" s="125"/>
      <c r="P761" s="126"/>
      <c r="Q761" s="62"/>
      <c r="R761" s="62"/>
      <c r="S761" s="127"/>
      <c r="T761" s="11"/>
      <c r="U761" s="124"/>
      <c r="V761" s="11"/>
      <c r="W761" s="124"/>
      <c r="X761" s="128"/>
      <c r="Y761" s="129"/>
    </row>
    <row r="762" spans="14:25" x14ac:dyDescent="0.25">
      <c r="N762" s="125"/>
      <c r="O762" s="125"/>
      <c r="P762" s="126"/>
      <c r="Q762" s="62"/>
      <c r="R762" s="62"/>
      <c r="S762" s="127"/>
      <c r="T762" s="11"/>
      <c r="U762" s="124"/>
      <c r="V762" s="11"/>
      <c r="W762" s="124"/>
      <c r="X762" s="128"/>
      <c r="Y762" s="129"/>
    </row>
    <row r="763" spans="14:25" x14ac:dyDescent="0.25">
      <c r="N763" s="125"/>
      <c r="O763" s="125"/>
      <c r="P763" s="126"/>
      <c r="Q763" s="62"/>
      <c r="R763" s="62"/>
      <c r="S763" s="127"/>
      <c r="T763" s="11"/>
      <c r="U763" s="124"/>
      <c r="V763" s="11"/>
      <c r="W763" s="124"/>
      <c r="X763" s="128"/>
      <c r="Y763" s="129"/>
    </row>
    <row r="764" spans="14:25" x14ac:dyDescent="0.25">
      <c r="N764" s="125"/>
      <c r="O764" s="125"/>
      <c r="P764" s="126"/>
      <c r="Q764" s="62"/>
      <c r="R764" s="62"/>
      <c r="S764" s="127"/>
      <c r="T764" s="11"/>
      <c r="U764" s="124"/>
      <c r="V764" s="11"/>
      <c r="W764" s="124"/>
      <c r="X764" s="128"/>
      <c r="Y764" s="129"/>
    </row>
    <row r="765" spans="14:25" x14ac:dyDescent="0.25">
      <c r="N765" s="125"/>
      <c r="O765" s="125"/>
      <c r="P765" s="126"/>
      <c r="Q765" s="62"/>
      <c r="R765" s="62"/>
      <c r="S765" s="127"/>
      <c r="T765" s="11"/>
      <c r="U765" s="124"/>
      <c r="V765" s="11"/>
      <c r="W765" s="124"/>
      <c r="X765" s="128"/>
      <c r="Y765" s="129"/>
    </row>
    <row r="766" spans="14:25" x14ac:dyDescent="0.25">
      <c r="N766" s="125"/>
      <c r="O766" s="125"/>
      <c r="P766" s="126"/>
      <c r="Q766" s="62"/>
      <c r="R766" s="62"/>
      <c r="S766" s="127"/>
      <c r="T766" s="11"/>
      <c r="U766" s="124"/>
      <c r="V766" s="11"/>
      <c r="W766" s="124"/>
      <c r="X766" s="128"/>
      <c r="Y766" s="129"/>
    </row>
    <row r="767" spans="14:25" x14ac:dyDescent="0.25">
      <c r="N767" s="125"/>
      <c r="O767" s="125"/>
      <c r="P767" s="126"/>
      <c r="Q767" s="62"/>
      <c r="R767" s="62"/>
      <c r="S767" s="127"/>
      <c r="T767" s="11"/>
      <c r="U767" s="124"/>
      <c r="V767" s="11"/>
      <c r="W767" s="124"/>
      <c r="X767" s="128"/>
      <c r="Y767" s="129"/>
    </row>
    <row r="768" spans="14:25" x14ac:dyDescent="0.25">
      <c r="N768" s="125"/>
      <c r="O768" s="125"/>
      <c r="P768" s="126"/>
      <c r="Q768" s="62"/>
      <c r="R768" s="62"/>
      <c r="S768" s="127"/>
      <c r="T768" s="11"/>
      <c r="U768" s="124"/>
      <c r="V768" s="11"/>
      <c r="W768" s="124"/>
      <c r="X768" s="128"/>
      <c r="Y768" s="129"/>
    </row>
    <row r="769" spans="14:25" x14ac:dyDescent="0.25">
      <c r="N769" s="125"/>
      <c r="O769" s="125"/>
      <c r="P769" s="126"/>
      <c r="Q769" s="62"/>
      <c r="R769" s="62"/>
      <c r="S769" s="127"/>
      <c r="T769" s="11"/>
      <c r="U769" s="124"/>
      <c r="V769" s="11"/>
      <c r="W769" s="124"/>
      <c r="X769" s="128"/>
      <c r="Y769" s="129"/>
    </row>
    <row r="770" spans="14:25" x14ac:dyDescent="0.25">
      <c r="N770" s="125"/>
      <c r="O770" s="125"/>
      <c r="P770" s="126"/>
      <c r="Q770" s="62"/>
      <c r="R770" s="62"/>
      <c r="S770" s="127"/>
      <c r="T770" s="11"/>
      <c r="U770" s="124"/>
      <c r="V770" s="11"/>
      <c r="W770" s="124"/>
      <c r="X770" s="128"/>
      <c r="Y770" s="129"/>
    </row>
    <row r="771" spans="14:25" x14ac:dyDescent="0.25">
      <c r="N771" s="125"/>
      <c r="O771" s="125"/>
      <c r="P771" s="126"/>
      <c r="Q771" s="62"/>
      <c r="R771" s="62"/>
      <c r="S771" s="127"/>
      <c r="T771" s="11"/>
      <c r="U771" s="124"/>
      <c r="V771" s="11"/>
      <c r="W771" s="124"/>
      <c r="X771" s="128"/>
      <c r="Y771" s="129"/>
    </row>
    <row r="772" spans="14:25" x14ac:dyDescent="0.25">
      <c r="N772" s="125"/>
      <c r="O772" s="125"/>
      <c r="P772" s="126"/>
      <c r="Q772" s="62"/>
      <c r="R772" s="62"/>
      <c r="S772" s="127"/>
      <c r="T772" s="11"/>
      <c r="U772" s="124"/>
      <c r="V772" s="11"/>
      <c r="W772" s="124"/>
      <c r="X772" s="128"/>
      <c r="Y772" s="129"/>
    </row>
    <row r="773" spans="14:25" x14ac:dyDescent="0.25">
      <c r="N773" s="125"/>
      <c r="O773" s="125"/>
      <c r="P773" s="126"/>
      <c r="Q773" s="62"/>
      <c r="R773" s="62"/>
      <c r="S773" s="127"/>
      <c r="T773" s="11"/>
      <c r="U773" s="124"/>
      <c r="V773" s="11"/>
      <c r="W773" s="124"/>
      <c r="X773" s="128"/>
      <c r="Y773" s="129"/>
    </row>
    <row r="774" spans="14:25" x14ac:dyDescent="0.25">
      <c r="N774" s="125"/>
      <c r="O774" s="125"/>
      <c r="P774" s="126"/>
      <c r="Q774" s="62"/>
      <c r="R774" s="62"/>
      <c r="S774" s="127"/>
      <c r="T774" s="11"/>
      <c r="U774" s="124"/>
      <c r="V774" s="11"/>
      <c r="W774" s="124"/>
      <c r="X774" s="128"/>
      <c r="Y774" s="129"/>
    </row>
    <row r="775" spans="14:25" x14ac:dyDescent="0.25">
      <c r="N775" s="125"/>
      <c r="O775" s="125"/>
      <c r="P775" s="126"/>
      <c r="Q775" s="62"/>
      <c r="R775" s="62"/>
      <c r="S775" s="127"/>
      <c r="T775" s="11"/>
      <c r="U775" s="124"/>
      <c r="V775" s="11"/>
      <c r="W775" s="124"/>
      <c r="X775" s="128"/>
      <c r="Y775" s="129"/>
    </row>
    <row r="776" spans="14:25" x14ac:dyDescent="0.25">
      <c r="N776" s="125"/>
      <c r="O776" s="125"/>
      <c r="P776" s="126"/>
      <c r="Q776" s="62"/>
      <c r="R776" s="62"/>
      <c r="S776" s="127"/>
      <c r="T776" s="11"/>
      <c r="U776" s="124"/>
      <c r="V776" s="11"/>
      <c r="W776" s="124"/>
      <c r="X776" s="128"/>
      <c r="Y776" s="129"/>
    </row>
    <row r="777" spans="14:25" x14ac:dyDescent="0.25">
      <c r="N777" s="125"/>
      <c r="O777" s="125"/>
      <c r="P777" s="126"/>
      <c r="Q777" s="62"/>
      <c r="R777" s="62"/>
      <c r="S777" s="127"/>
      <c r="T777" s="11"/>
      <c r="U777" s="124"/>
      <c r="V777" s="11"/>
      <c r="W777" s="124"/>
      <c r="X777" s="128"/>
      <c r="Y777" s="129"/>
    </row>
    <row r="778" spans="14:25" x14ac:dyDescent="0.25">
      <c r="N778" s="125"/>
      <c r="O778" s="125"/>
      <c r="P778" s="126"/>
      <c r="Q778" s="62"/>
      <c r="R778" s="62"/>
      <c r="S778" s="127"/>
      <c r="T778" s="11"/>
      <c r="U778" s="124"/>
      <c r="V778" s="11"/>
      <c r="W778" s="124"/>
      <c r="X778" s="128"/>
      <c r="Y778" s="129"/>
    </row>
    <row r="779" spans="14:25" x14ac:dyDescent="0.25">
      <c r="N779" s="125"/>
      <c r="O779" s="125"/>
      <c r="P779" s="126"/>
      <c r="Q779" s="62"/>
      <c r="R779" s="62"/>
      <c r="S779" s="127"/>
      <c r="T779" s="11"/>
      <c r="U779" s="124"/>
      <c r="V779" s="11"/>
      <c r="W779" s="124"/>
      <c r="X779" s="128"/>
      <c r="Y779" s="129"/>
    </row>
    <row r="780" spans="14:25" x14ac:dyDescent="0.25">
      <c r="N780" s="125"/>
      <c r="O780" s="125"/>
      <c r="P780" s="126"/>
      <c r="Q780" s="62"/>
      <c r="R780" s="62"/>
      <c r="S780" s="127"/>
      <c r="T780" s="11"/>
      <c r="U780" s="124"/>
      <c r="V780" s="11"/>
      <c r="W780" s="124"/>
      <c r="X780" s="128"/>
      <c r="Y780" s="129"/>
    </row>
    <row r="781" spans="14:25" x14ac:dyDescent="0.25">
      <c r="N781" s="125"/>
      <c r="O781" s="125"/>
      <c r="P781" s="126"/>
      <c r="Q781" s="62"/>
      <c r="R781" s="62"/>
      <c r="S781" s="127"/>
      <c r="T781" s="11"/>
      <c r="U781" s="124"/>
      <c r="V781" s="11"/>
      <c r="W781" s="124"/>
      <c r="X781" s="128"/>
      <c r="Y781" s="129"/>
    </row>
    <row r="782" spans="14:25" x14ac:dyDescent="0.25">
      <c r="N782" s="125"/>
      <c r="O782" s="125"/>
      <c r="P782" s="126"/>
      <c r="Q782" s="62"/>
      <c r="R782" s="62"/>
      <c r="S782" s="127"/>
      <c r="T782" s="11"/>
      <c r="U782" s="124"/>
      <c r="V782" s="11"/>
      <c r="W782" s="124"/>
      <c r="X782" s="128"/>
      <c r="Y782" s="129"/>
    </row>
    <row r="783" spans="14:25" x14ac:dyDescent="0.25">
      <c r="N783" s="125"/>
      <c r="O783" s="125"/>
      <c r="P783" s="126"/>
      <c r="Q783" s="62"/>
      <c r="R783" s="62"/>
      <c r="S783" s="127"/>
      <c r="T783" s="11"/>
      <c r="U783" s="124"/>
      <c r="V783" s="11"/>
      <c r="W783" s="124"/>
      <c r="X783" s="128"/>
      <c r="Y783" s="129"/>
    </row>
    <row r="784" spans="14:25" x14ac:dyDescent="0.25">
      <c r="N784" s="125"/>
      <c r="O784" s="125"/>
      <c r="P784" s="126"/>
      <c r="Q784" s="62"/>
      <c r="R784" s="62"/>
      <c r="S784" s="127"/>
      <c r="T784" s="11"/>
      <c r="U784" s="124"/>
      <c r="V784" s="11"/>
      <c r="W784" s="124"/>
      <c r="X784" s="128"/>
      <c r="Y784" s="129"/>
    </row>
    <row r="785" spans="14:25" x14ac:dyDescent="0.25">
      <c r="N785" s="125"/>
      <c r="O785" s="125"/>
      <c r="P785" s="126"/>
      <c r="Q785" s="62"/>
      <c r="R785" s="62"/>
      <c r="S785" s="127"/>
      <c r="T785" s="11"/>
      <c r="U785" s="124"/>
      <c r="V785" s="11"/>
      <c r="W785" s="124"/>
      <c r="X785" s="128"/>
      <c r="Y785" s="129"/>
    </row>
    <row r="786" spans="14:25" x14ac:dyDescent="0.25">
      <c r="N786" s="125"/>
      <c r="O786" s="125"/>
      <c r="P786" s="126"/>
      <c r="Q786" s="62"/>
      <c r="R786" s="62"/>
      <c r="S786" s="127"/>
      <c r="T786" s="11"/>
      <c r="U786" s="124"/>
      <c r="V786" s="11"/>
      <c r="W786" s="124"/>
      <c r="X786" s="128"/>
      <c r="Y786" s="129"/>
    </row>
    <row r="787" spans="14:25" x14ac:dyDescent="0.25">
      <c r="N787" s="125"/>
      <c r="O787" s="125"/>
      <c r="P787" s="126"/>
      <c r="Q787" s="62"/>
      <c r="R787" s="62"/>
      <c r="S787" s="127"/>
      <c r="T787" s="11"/>
      <c r="U787" s="124"/>
      <c r="V787" s="11"/>
      <c r="W787" s="124"/>
      <c r="X787" s="128"/>
      <c r="Y787" s="129"/>
    </row>
    <row r="788" spans="14:25" x14ac:dyDescent="0.25">
      <c r="N788" s="125"/>
      <c r="O788" s="125"/>
      <c r="P788" s="126"/>
      <c r="Q788" s="62"/>
      <c r="R788" s="62"/>
      <c r="S788" s="127"/>
      <c r="T788" s="11"/>
      <c r="U788" s="124"/>
      <c r="V788" s="11"/>
      <c r="W788" s="124"/>
      <c r="X788" s="128"/>
      <c r="Y788" s="129"/>
    </row>
    <row r="789" spans="14:25" x14ac:dyDescent="0.25">
      <c r="N789" s="125"/>
      <c r="O789" s="125"/>
      <c r="P789" s="126"/>
      <c r="Q789" s="62"/>
      <c r="R789" s="62"/>
      <c r="S789" s="127"/>
      <c r="T789" s="11"/>
      <c r="U789" s="124"/>
      <c r="V789" s="11"/>
      <c r="W789" s="124"/>
      <c r="X789" s="128"/>
      <c r="Y789" s="129"/>
    </row>
    <row r="790" spans="14:25" x14ac:dyDescent="0.25">
      <c r="N790" s="125"/>
      <c r="O790" s="125"/>
      <c r="P790" s="126"/>
      <c r="Q790" s="62"/>
      <c r="R790" s="62"/>
      <c r="S790" s="127"/>
      <c r="T790" s="11"/>
      <c r="U790" s="124"/>
      <c r="V790" s="11"/>
      <c r="W790" s="124"/>
      <c r="X790" s="128"/>
      <c r="Y790" s="129"/>
    </row>
    <row r="791" spans="14:25" x14ac:dyDescent="0.25">
      <c r="N791" s="125"/>
      <c r="O791" s="125"/>
      <c r="P791" s="126"/>
      <c r="Q791" s="62"/>
      <c r="R791" s="62"/>
      <c r="S791" s="127"/>
      <c r="T791" s="11"/>
      <c r="U791" s="124"/>
      <c r="V791" s="11"/>
      <c r="W791" s="124"/>
      <c r="X791" s="128"/>
      <c r="Y791" s="129"/>
    </row>
    <row r="792" spans="14:25" x14ac:dyDescent="0.25">
      <c r="N792" s="125"/>
      <c r="O792" s="125"/>
      <c r="P792" s="126"/>
      <c r="Q792" s="62"/>
      <c r="R792" s="62"/>
      <c r="S792" s="127"/>
      <c r="T792" s="11"/>
      <c r="U792" s="124"/>
      <c r="V792" s="11"/>
      <c r="W792" s="124"/>
      <c r="X792" s="128"/>
      <c r="Y792" s="129"/>
    </row>
    <row r="793" spans="14:25" x14ac:dyDescent="0.25">
      <c r="N793" s="125"/>
      <c r="O793" s="125"/>
      <c r="P793" s="126"/>
      <c r="Q793" s="62"/>
      <c r="R793" s="62"/>
      <c r="S793" s="127"/>
      <c r="T793" s="11"/>
      <c r="U793" s="124"/>
      <c r="V793" s="11"/>
      <c r="W793" s="124"/>
      <c r="X793" s="128"/>
      <c r="Y793" s="129"/>
    </row>
    <row r="794" spans="14:25" x14ac:dyDescent="0.25">
      <c r="N794" s="125"/>
      <c r="O794" s="125"/>
      <c r="P794" s="126"/>
      <c r="Q794" s="62"/>
      <c r="R794" s="62"/>
      <c r="S794" s="127"/>
      <c r="T794" s="11"/>
      <c r="U794" s="124"/>
      <c r="V794" s="11"/>
      <c r="W794" s="124"/>
      <c r="X794" s="128"/>
      <c r="Y794" s="129"/>
    </row>
    <row r="795" spans="14:25" x14ac:dyDescent="0.25">
      <c r="N795" s="125"/>
      <c r="O795" s="125"/>
      <c r="P795" s="126"/>
      <c r="Q795" s="62"/>
      <c r="R795" s="62"/>
      <c r="S795" s="127"/>
      <c r="T795" s="11"/>
      <c r="U795" s="124"/>
      <c r="V795" s="11"/>
      <c r="W795" s="124"/>
      <c r="X795" s="128"/>
      <c r="Y795" s="129"/>
    </row>
    <row r="796" spans="14:25" x14ac:dyDescent="0.25">
      <c r="N796" s="125"/>
      <c r="O796" s="125"/>
      <c r="P796" s="126"/>
      <c r="Q796" s="62"/>
      <c r="R796" s="62"/>
      <c r="S796" s="127"/>
      <c r="T796" s="11"/>
      <c r="U796" s="124"/>
      <c r="V796" s="11"/>
      <c r="W796" s="124"/>
      <c r="X796" s="128"/>
      <c r="Y796" s="129"/>
    </row>
    <row r="797" spans="14:25" x14ac:dyDescent="0.25">
      <c r="N797" s="125"/>
      <c r="O797" s="125"/>
      <c r="P797" s="126"/>
      <c r="Q797" s="62"/>
      <c r="R797" s="62"/>
      <c r="S797" s="127"/>
      <c r="T797" s="11"/>
      <c r="U797" s="124"/>
      <c r="V797" s="11"/>
      <c r="W797" s="124"/>
      <c r="X797" s="128"/>
      <c r="Y797" s="129"/>
    </row>
    <row r="798" spans="14:25" x14ac:dyDescent="0.25">
      <c r="N798" s="125"/>
      <c r="O798" s="125"/>
      <c r="P798" s="126"/>
      <c r="Q798" s="62"/>
      <c r="R798" s="62"/>
      <c r="S798" s="127"/>
      <c r="T798" s="11"/>
      <c r="U798" s="124"/>
      <c r="V798" s="11"/>
      <c r="W798" s="124"/>
      <c r="X798" s="128"/>
      <c r="Y798" s="129"/>
    </row>
    <row r="799" spans="14:25" x14ac:dyDescent="0.25">
      <c r="N799" s="125"/>
      <c r="O799" s="125"/>
      <c r="P799" s="126"/>
      <c r="Q799" s="62"/>
      <c r="R799" s="62"/>
      <c r="S799" s="127"/>
      <c r="T799" s="11"/>
      <c r="U799" s="124"/>
      <c r="V799" s="11"/>
      <c r="W799" s="124"/>
      <c r="X799" s="128"/>
      <c r="Y799" s="129"/>
    </row>
    <row r="800" spans="14:25" x14ac:dyDescent="0.25">
      <c r="N800" s="125"/>
      <c r="O800" s="125"/>
      <c r="P800" s="126"/>
      <c r="Q800" s="62"/>
      <c r="R800" s="62"/>
      <c r="S800" s="127"/>
      <c r="T800" s="11"/>
      <c r="U800" s="124"/>
      <c r="V800" s="11"/>
      <c r="W800" s="124"/>
      <c r="X800" s="128"/>
      <c r="Y800" s="129"/>
    </row>
    <row r="801" spans="14:25" x14ac:dyDescent="0.25">
      <c r="N801" s="125"/>
      <c r="O801" s="125"/>
      <c r="P801" s="126"/>
      <c r="Q801" s="62"/>
      <c r="R801" s="62"/>
      <c r="S801" s="127"/>
      <c r="T801" s="11"/>
      <c r="U801" s="124"/>
      <c r="V801" s="11"/>
      <c r="W801" s="124"/>
      <c r="X801" s="128"/>
      <c r="Y801" s="129"/>
    </row>
    <row r="802" spans="14:25" x14ac:dyDescent="0.25">
      <c r="N802" s="125"/>
      <c r="O802" s="125"/>
      <c r="P802" s="126"/>
      <c r="Q802" s="62"/>
      <c r="R802" s="62"/>
      <c r="S802" s="127"/>
      <c r="T802" s="11"/>
      <c r="U802" s="124"/>
      <c r="V802" s="11"/>
      <c r="W802" s="124"/>
      <c r="X802" s="128"/>
      <c r="Y802" s="129"/>
    </row>
    <row r="803" spans="14:25" x14ac:dyDescent="0.25">
      <c r="N803" s="125"/>
      <c r="O803" s="125"/>
      <c r="P803" s="126"/>
      <c r="Q803" s="62"/>
      <c r="R803" s="62"/>
      <c r="S803" s="127"/>
      <c r="T803" s="11"/>
      <c r="U803" s="124"/>
      <c r="V803" s="11"/>
      <c r="W803" s="124"/>
      <c r="X803" s="128"/>
      <c r="Y803" s="129"/>
    </row>
    <row r="804" spans="14:25" x14ac:dyDescent="0.25">
      <c r="N804" s="125"/>
      <c r="O804" s="125"/>
      <c r="P804" s="126"/>
      <c r="Q804" s="62"/>
      <c r="R804" s="62"/>
      <c r="S804" s="127"/>
      <c r="T804" s="11"/>
      <c r="U804" s="124"/>
      <c r="V804" s="11"/>
      <c r="W804" s="124"/>
      <c r="X804" s="128"/>
      <c r="Y804" s="129"/>
    </row>
    <row r="805" spans="14:25" x14ac:dyDescent="0.25">
      <c r="N805" s="125"/>
      <c r="O805" s="125"/>
      <c r="P805" s="126"/>
      <c r="Q805" s="62"/>
      <c r="R805" s="62"/>
      <c r="S805" s="127"/>
      <c r="T805" s="11"/>
      <c r="U805" s="124"/>
      <c r="V805" s="11"/>
      <c r="W805" s="124"/>
      <c r="X805" s="128"/>
      <c r="Y805" s="129"/>
    </row>
    <row r="806" spans="14:25" x14ac:dyDescent="0.25">
      <c r="N806" s="125"/>
      <c r="O806" s="125"/>
      <c r="P806" s="126"/>
      <c r="Q806" s="62"/>
      <c r="R806" s="62"/>
      <c r="S806" s="127"/>
      <c r="T806" s="11"/>
      <c r="U806" s="124"/>
      <c r="V806" s="11"/>
      <c r="W806" s="124"/>
      <c r="X806" s="128"/>
      <c r="Y806" s="129"/>
    </row>
    <row r="807" spans="14:25" x14ac:dyDescent="0.25">
      <c r="N807" s="125"/>
      <c r="O807" s="125"/>
      <c r="P807" s="126"/>
      <c r="Q807" s="62"/>
      <c r="R807" s="62"/>
      <c r="S807" s="127"/>
      <c r="T807" s="11"/>
      <c r="U807" s="124"/>
      <c r="V807" s="11"/>
      <c r="W807" s="124"/>
      <c r="X807" s="128"/>
      <c r="Y807" s="129"/>
    </row>
    <row r="808" spans="14:25" x14ac:dyDescent="0.25">
      <c r="N808" s="125"/>
      <c r="O808" s="125"/>
      <c r="P808" s="126"/>
      <c r="Q808" s="62"/>
      <c r="R808" s="62"/>
      <c r="S808" s="127"/>
      <c r="T808" s="11"/>
      <c r="U808" s="124"/>
      <c r="V808" s="11"/>
      <c r="W808" s="124"/>
      <c r="X808" s="128"/>
      <c r="Y808" s="129"/>
    </row>
    <row r="809" spans="14:25" x14ac:dyDescent="0.25">
      <c r="N809" s="125"/>
      <c r="O809" s="125"/>
      <c r="P809" s="126"/>
      <c r="Q809" s="62"/>
      <c r="R809" s="62"/>
      <c r="S809" s="127"/>
      <c r="T809" s="11"/>
      <c r="U809" s="124"/>
      <c r="V809" s="11"/>
      <c r="W809" s="124"/>
      <c r="X809" s="128"/>
      <c r="Y809" s="129"/>
    </row>
    <row r="810" spans="14:25" x14ac:dyDescent="0.25">
      <c r="N810" s="125"/>
      <c r="O810" s="125"/>
      <c r="P810" s="126"/>
      <c r="Q810" s="62"/>
      <c r="R810" s="62"/>
      <c r="S810" s="127"/>
      <c r="T810" s="11"/>
      <c r="U810" s="124"/>
      <c r="V810" s="11"/>
      <c r="W810" s="124"/>
      <c r="X810" s="128"/>
      <c r="Y810" s="129"/>
    </row>
    <row r="811" spans="14:25" x14ac:dyDescent="0.25">
      <c r="N811" s="125"/>
      <c r="O811" s="125"/>
      <c r="P811" s="126"/>
      <c r="Q811" s="62"/>
      <c r="R811" s="62"/>
      <c r="S811" s="127"/>
      <c r="T811" s="11"/>
      <c r="U811" s="124"/>
      <c r="V811" s="11"/>
      <c r="W811" s="124"/>
      <c r="X811" s="128"/>
      <c r="Y811" s="129"/>
    </row>
    <row r="812" spans="14:25" x14ac:dyDescent="0.25">
      <c r="N812" s="125"/>
      <c r="O812" s="125"/>
      <c r="P812" s="126"/>
      <c r="Q812" s="62"/>
      <c r="R812" s="62"/>
      <c r="S812" s="127"/>
      <c r="T812" s="11"/>
      <c r="U812" s="124"/>
      <c r="V812" s="11"/>
      <c r="W812" s="124"/>
      <c r="X812" s="128"/>
      <c r="Y812" s="129"/>
    </row>
    <row r="813" spans="14:25" x14ac:dyDescent="0.25">
      <c r="N813" s="125"/>
      <c r="O813" s="125"/>
      <c r="P813" s="126"/>
      <c r="Q813" s="62"/>
      <c r="R813" s="62"/>
      <c r="S813" s="127"/>
      <c r="T813" s="11"/>
      <c r="U813" s="124"/>
      <c r="V813" s="11"/>
      <c r="W813" s="124"/>
      <c r="X813" s="128"/>
      <c r="Y813" s="129"/>
    </row>
    <row r="814" spans="14:25" x14ac:dyDescent="0.25">
      <c r="N814" s="125"/>
      <c r="O814" s="125"/>
      <c r="P814" s="126"/>
      <c r="Q814" s="62"/>
      <c r="R814" s="62"/>
      <c r="S814" s="127"/>
      <c r="T814" s="11"/>
      <c r="U814" s="124"/>
      <c r="V814" s="11"/>
      <c r="W814" s="124"/>
      <c r="X814" s="128"/>
      <c r="Y814" s="129"/>
    </row>
    <row r="815" spans="14:25" x14ac:dyDescent="0.25">
      <c r="N815" s="125"/>
      <c r="O815" s="125"/>
      <c r="P815" s="126"/>
      <c r="Q815" s="62"/>
      <c r="R815" s="62"/>
      <c r="S815" s="127"/>
      <c r="T815" s="11"/>
      <c r="U815" s="124"/>
      <c r="V815" s="11"/>
      <c r="W815" s="124"/>
      <c r="X815" s="128"/>
      <c r="Y815" s="129"/>
    </row>
    <row r="816" spans="14:25" x14ac:dyDescent="0.25">
      <c r="N816" s="125"/>
      <c r="O816" s="125"/>
      <c r="P816" s="126"/>
      <c r="Q816" s="62"/>
      <c r="R816" s="62"/>
      <c r="S816" s="127"/>
      <c r="T816" s="11"/>
      <c r="U816" s="124"/>
      <c r="V816" s="11"/>
      <c r="W816" s="124"/>
      <c r="X816" s="128"/>
      <c r="Y816" s="129"/>
    </row>
    <row r="817" spans="14:25" x14ac:dyDescent="0.25">
      <c r="N817" s="125"/>
      <c r="O817" s="125"/>
      <c r="P817" s="126"/>
      <c r="Q817" s="62"/>
      <c r="R817" s="62"/>
      <c r="S817" s="127"/>
      <c r="T817" s="11"/>
      <c r="U817" s="124"/>
      <c r="V817" s="11"/>
      <c r="W817" s="124"/>
      <c r="X817" s="128"/>
      <c r="Y817" s="129"/>
    </row>
    <row r="818" spans="14:25" x14ac:dyDescent="0.25">
      <c r="N818" s="125"/>
      <c r="O818" s="125"/>
      <c r="P818" s="126"/>
      <c r="Q818" s="62"/>
      <c r="R818" s="62"/>
      <c r="S818" s="127"/>
      <c r="T818" s="11"/>
      <c r="U818" s="124"/>
      <c r="V818" s="11"/>
      <c r="W818" s="124"/>
      <c r="X818" s="128"/>
      <c r="Y818" s="129"/>
    </row>
    <row r="819" spans="14:25" x14ac:dyDescent="0.25">
      <c r="N819" s="125"/>
      <c r="O819" s="125"/>
      <c r="P819" s="126"/>
      <c r="Q819" s="62"/>
      <c r="R819" s="62"/>
      <c r="S819" s="127"/>
      <c r="T819" s="11"/>
      <c r="U819" s="124"/>
      <c r="V819" s="11"/>
      <c r="W819" s="124"/>
      <c r="X819" s="128"/>
      <c r="Y819" s="129"/>
    </row>
    <row r="820" spans="14:25" x14ac:dyDescent="0.25">
      <c r="N820" s="125"/>
      <c r="O820" s="125"/>
      <c r="P820" s="126"/>
      <c r="Q820" s="62"/>
      <c r="R820" s="62"/>
      <c r="S820" s="127"/>
      <c r="T820" s="11"/>
      <c r="U820" s="124"/>
      <c r="V820" s="11"/>
      <c r="W820" s="124"/>
      <c r="X820" s="128"/>
      <c r="Y820" s="129"/>
    </row>
    <row r="821" spans="14:25" x14ac:dyDescent="0.25">
      <c r="N821" s="125"/>
      <c r="O821" s="125"/>
      <c r="P821" s="126"/>
      <c r="Q821" s="62"/>
      <c r="R821" s="62"/>
      <c r="S821" s="127"/>
      <c r="T821" s="11"/>
      <c r="U821" s="124"/>
      <c r="V821" s="11"/>
      <c r="W821" s="124"/>
      <c r="X821" s="128"/>
      <c r="Y821" s="129"/>
    </row>
    <row r="822" spans="14:25" x14ac:dyDescent="0.25">
      <c r="N822" s="125"/>
      <c r="O822" s="125"/>
      <c r="P822" s="126"/>
      <c r="Q822" s="62"/>
      <c r="R822" s="62"/>
      <c r="S822" s="127"/>
      <c r="T822" s="11"/>
      <c r="U822" s="124"/>
      <c r="V822" s="11"/>
      <c r="W822" s="124"/>
      <c r="X822" s="128"/>
      <c r="Y822" s="129"/>
    </row>
    <row r="823" spans="14:25" x14ac:dyDescent="0.25">
      <c r="N823" s="125"/>
      <c r="O823" s="125"/>
      <c r="P823" s="126"/>
      <c r="Q823" s="62"/>
      <c r="R823" s="62"/>
      <c r="S823" s="127"/>
      <c r="T823" s="11"/>
      <c r="U823" s="124"/>
      <c r="V823" s="11"/>
      <c r="W823" s="124"/>
      <c r="X823" s="128"/>
      <c r="Y823" s="129"/>
    </row>
    <row r="824" spans="14:25" x14ac:dyDescent="0.25">
      <c r="N824" s="125"/>
      <c r="O824" s="125"/>
      <c r="P824" s="126"/>
      <c r="Q824" s="62"/>
      <c r="R824" s="62"/>
      <c r="S824" s="127"/>
      <c r="T824" s="11"/>
      <c r="U824" s="124"/>
      <c r="V824" s="11"/>
      <c r="W824" s="124"/>
      <c r="X824" s="128"/>
      <c r="Y824" s="129"/>
    </row>
    <row r="825" spans="14:25" x14ac:dyDescent="0.25">
      <c r="N825" s="125"/>
      <c r="O825" s="125"/>
      <c r="P825" s="126"/>
      <c r="Q825" s="62"/>
      <c r="R825" s="62"/>
      <c r="S825" s="127"/>
      <c r="T825" s="11"/>
      <c r="U825" s="124"/>
      <c r="V825" s="11"/>
      <c r="W825" s="124"/>
      <c r="X825" s="128"/>
      <c r="Y825" s="129"/>
    </row>
    <row r="826" spans="14:25" x14ac:dyDescent="0.25">
      <c r="N826" s="125"/>
      <c r="O826" s="125"/>
      <c r="P826" s="126"/>
      <c r="Q826" s="62"/>
      <c r="R826" s="62"/>
      <c r="S826" s="127"/>
      <c r="T826" s="11"/>
      <c r="U826" s="124"/>
      <c r="V826" s="11"/>
      <c r="W826" s="124"/>
      <c r="X826" s="128"/>
      <c r="Y826" s="129"/>
    </row>
    <row r="827" spans="14:25" x14ac:dyDescent="0.25">
      <c r="N827" s="125"/>
      <c r="O827" s="125"/>
      <c r="P827" s="126"/>
      <c r="Q827" s="62"/>
      <c r="R827" s="62"/>
      <c r="S827" s="127"/>
      <c r="T827" s="11"/>
      <c r="U827" s="124"/>
      <c r="V827" s="11"/>
      <c r="W827" s="124"/>
      <c r="X827" s="128"/>
      <c r="Y827" s="129"/>
    </row>
    <row r="828" spans="14:25" x14ac:dyDescent="0.25">
      <c r="N828" s="125"/>
      <c r="O828" s="125"/>
      <c r="P828" s="126"/>
      <c r="Q828" s="62"/>
      <c r="R828" s="62"/>
      <c r="S828" s="127"/>
      <c r="T828" s="11"/>
      <c r="U828" s="124"/>
      <c r="V828" s="11"/>
      <c r="W828" s="124"/>
      <c r="X828" s="128"/>
      <c r="Y828" s="129"/>
    </row>
    <row r="829" spans="14:25" x14ac:dyDescent="0.25">
      <c r="N829" s="125"/>
      <c r="O829" s="125"/>
      <c r="P829" s="126"/>
      <c r="Q829" s="62"/>
      <c r="R829" s="62"/>
      <c r="S829" s="127"/>
      <c r="T829" s="11"/>
      <c r="U829" s="124"/>
      <c r="V829" s="11"/>
      <c r="W829" s="124"/>
      <c r="X829" s="128"/>
      <c r="Y829" s="129"/>
    </row>
    <row r="830" spans="14:25" x14ac:dyDescent="0.25">
      <c r="N830" s="125"/>
      <c r="O830" s="125"/>
      <c r="P830" s="126"/>
      <c r="Q830" s="62"/>
      <c r="R830" s="62"/>
      <c r="S830" s="127"/>
      <c r="T830" s="11"/>
      <c r="U830" s="124"/>
      <c r="V830" s="11"/>
      <c r="W830" s="124"/>
      <c r="X830" s="128"/>
      <c r="Y830" s="129"/>
    </row>
    <row r="831" spans="14:25" x14ac:dyDescent="0.25">
      <c r="N831" s="125"/>
      <c r="O831" s="125"/>
      <c r="P831" s="126"/>
      <c r="Q831" s="62"/>
      <c r="R831" s="62"/>
      <c r="S831" s="127"/>
      <c r="T831" s="11"/>
      <c r="U831" s="124"/>
      <c r="V831" s="11"/>
      <c r="W831" s="124"/>
      <c r="X831" s="128"/>
      <c r="Y831" s="129"/>
    </row>
    <row r="832" spans="14:25" x14ac:dyDescent="0.25">
      <c r="N832" s="125"/>
      <c r="O832" s="125"/>
      <c r="P832" s="126"/>
      <c r="Q832" s="62"/>
      <c r="R832" s="62"/>
      <c r="S832" s="127"/>
      <c r="T832" s="11"/>
      <c r="U832" s="124"/>
      <c r="V832" s="11"/>
      <c r="W832" s="124"/>
      <c r="X832" s="128"/>
      <c r="Y832" s="129"/>
    </row>
    <row r="833" spans="14:25" x14ac:dyDescent="0.25">
      <c r="N833" s="125"/>
      <c r="O833" s="125"/>
      <c r="P833" s="126"/>
      <c r="Q833" s="62"/>
      <c r="R833" s="62"/>
      <c r="S833" s="127"/>
      <c r="T833" s="11"/>
      <c r="U833" s="124"/>
      <c r="V833" s="11"/>
      <c r="W833" s="124"/>
      <c r="X833" s="128"/>
      <c r="Y833" s="129"/>
    </row>
    <row r="834" spans="14:25" x14ac:dyDescent="0.25">
      <c r="N834" s="125"/>
      <c r="O834" s="125"/>
      <c r="P834" s="126"/>
      <c r="Q834" s="62"/>
      <c r="R834" s="62"/>
      <c r="S834" s="127"/>
      <c r="T834" s="11"/>
      <c r="U834" s="124"/>
      <c r="V834" s="11"/>
      <c r="W834" s="124"/>
      <c r="X834" s="128"/>
      <c r="Y834" s="129"/>
    </row>
    <row r="835" spans="14:25" x14ac:dyDescent="0.25">
      <c r="N835" s="125"/>
      <c r="O835" s="125"/>
      <c r="P835" s="126"/>
      <c r="Q835" s="62"/>
      <c r="R835" s="62"/>
      <c r="S835" s="127"/>
      <c r="T835" s="11"/>
      <c r="U835" s="124"/>
      <c r="V835" s="11"/>
      <c r="W835" s="124"/>
      <c r="X835" s="128"/>
      <c r="Y835" s="129"/>
    </row>
    <row r="836" spans="14:25" x14ac:dyDescent="0.25">
      <c r="N836" s="125"/>
      <c r="O836" s="125"/>
      <c r="P836" s="126"/>
      <c r="Q836" s="62"/>
      <c r="R836" s="62"/>
      <c r="S836" s="127"/>
      <c r="T836" s="11"/>
      <c r="U836" s="124"/>
      <c r="V836" s="11"/>
      <c r="W836" s="124"/>
      <c r="X836" s="128"/>
      <c r="Y836" s="129"/>
    </row>
    <row r="837" spans="14:25" x14ac:dyDescent="0.25">
      <c r="N837" s="125"/>
      <c r="O837" s="125"/>
      <c r="P837" s="126"/>
      <c r="Q837" s="62"/>
      <c r="R837" s="62"/>
      <c r="S837" s="127"/>
      <c r="T837" s="11"/>
      <c r="U837" s="124"/>
      <c r="V837" s="11"/>
      <c r="W837" s="124"/>
      <c r="X837" s="128"/>
      <c r="Y837" s="129"/>
    </row>
    <row r="838" spans="14:25" x14ac:dyDescent="0.25">
      <c r="N838" s="125"/>
      <c r="O838" s="125"/>
      <c r="P838" s="126"/>
      <c r="Q838" s="62"/>
      <c r="R838" s="62"/>
      <c r="S838" s="127"/>
      <c r="T838" s="11"/>
      <c r="U838" s="124"/>
      <c r="V838" s="11"/>
      <c r="W838" s="124"/>
      <c r="X838" s="128"/>
      <c r="Y838" s="129"/>
    </row>
    <row r="839" spans="14:25" x14ac:dyDescent="0.25">
      <c r="N839" s="125"/>
      <c r="O839" s="125"/>
      <c r="P839" s="126"/>
      <c r="Q839" s="62"/>
      <c r="R839" s="62"/>
      <c r="S839" s="127"/>
      <c r="T839" s="11"/>
      <c r="U839" s="124"/>
      <c r="V839" s="11"/>
      <c r="W839" s="124"/>
      <c r="X839" s="128"/>
      <c r="Y839" s="129"/>
    </row>
    <row r="840" spans="14:25" x14ac:dyDescent="0.25">
      <c r="N840" s="125"/>
      <c r="O840" s="125"/>
      <c r="P840" s="126"/>
      <c r="Q840" s="62"/>
      <c r="R840" s="62"/>
      <c r="S840" s="127"/>
      <c r="T840" s="11"/>
      <c r="U840" s="124"/>
      <c r="V840" s="11"/>
      <c r="W840" s="124"/>
      <c r="X840" s="128"/>
      <c r="Y840" s="129"/>
    </row>
    <row r="841" spans="14:25" x14ac:dyDescent="0.25">
      <c r="N841" s="125"/>
      <c r="O841" s="125"/>
      <c r="P841" s="126"/>
      <c r="Q841" s="62"/>
      <c r="R841" s="62"/>
      <c r="S841" s="127"/>
      <c r="T841" s="11"/>
      <c r="U841" s="124"/>
      <c r="V841" s="11"/>
      <c r="W841" s="124"/>
      <c r="X841" s="128"/>
      <c r="Y841" s="129"/>
    </row>
    <row r="842" spans="14:25" x14ac:dyDescent="0.25">
      <c r="N842" s="125"/>
      <c r="O842" s="125"/>
      <c r="P842" s="126"/>
      <c r="Q842" s="62"/>
      <c r="R842" s="62"/>
      <c r="S842" s="127"/>
      <c r="T842" s="11"/>
      <c r="U842" s="124"/>
      <c r="V842" s="11"/>
      <c r="W842" s="124"/>
      <c r="X842" s="128"/>
      <c r="Y842" s="129"/>
    </row>
    <row r="843" spans="14:25" x14ac:dyDescent="0.25">
      <c r="N843" s="125"/>
      <c r="O843" s="125"/>
      <c r="P843" s="126"/>
      <c r="Q843" s="62"/>
      <c r="R843" s="62"/>
      <c r="S843" s="127"/>
      <c r="T843" s="11"/>
      <c r="U843" s="124"/>
      <c r="V843" s="11"/>
      <c r="W843" s="124"/>
      <c r="X843" s="128"/>
      <c r="Y843" s="129"/>
    </row>
    <row r="844" spans="14:25" x14ac:dyDescent="0.25">
      <c r="N844" s="125"/>
      <c r="O844" s="125"/>
      <c r="P844" s="126"/>
      <c r="Q844" s="62"/>
      <c r="R844" s="62"/>
      <c r="S844" s="127"/>
      <c r="T844" s="11"/>
      <c r="U844" s="124"/>
      <c r="V844" s="11"/>
      <c r="W844" s="124"/>
      <c r="X844" s="128"/>
      <c r="Y844" s="129"/>
    </row>
    <row r="845" spans="14:25" x14ac:dyDescent="0.25">
      <c r="N845" s="125"/>
      <c r="O845" s="125"/>
      <c r="P845" s="126"/>
      <c r="Q845" s="62"/>
      <c r="R845" s="62"/>
      <c r="S845" s="127"/>
      <c r="T845" s="11"/>
      <c r="U845" s="124"/>
      <c r="V845" s="11"/>
      <c r="W845" s="124"/>
      <c r="X845" s="128"/>
      <c r="Y845" s="129"/>
    </row>
    <row r="846" spans="14:25" x14ac:dyDescent="0.25">
      <c r="N846" s="125"/>
      <c r="O846" s="125"/>
      <c r="P846" s="126"/>
      <c r="Q846" s="62"/>
      <c r="R846" s="62"/>
      <c r="S846" s="127"/>
      <c r="T846" s="11"/>
      <c r="U846" s="124"/>
      <c r="V846" s="11"/>
      <c r="W846" s="124"/>
      <c r="X846" s="128"/>
      <c r="Y846" s="129"/>
    </row>
    <row r="847" spans="14:25" x14ac:dyDescent="0.25">
      <c r="N847" s="125"/>
      <c r="O847" s="125"/>
      <c r="P847" s="126"/>
      <c r="Q847" s="62"/>
      <c r="R847" s="62"/>
      <c r="S847" s="127"/>
      <c r="T847" s="11"/>
      <c r="U847" s="124"/>
      <c r="V847" s="11"/>
      <c r="W847" s="124"/>
      <c r="X847" s="128"/>
      <c r="Y847" s="129"/>
    </row>
    <row r="848" spans="14:25" x14ac:dyDescent="0.25">
      <c r="N848" s="125"/>
      <c r="O848" s="125"/>
      <c r="P848" s="126"/>
      <c r="Q848" s="62"/>
      <c r="R848" s="62"/>
      <c r="S848" s="127"/>
      <c r="T848" s="11"/>
      <c r="U848" s="124"/>
      <c r="V848" s="11"/>
      <c r="W848" s="124"/>
      <c r="X848" s="128"/>
      <c r="Y848" s="129"/>
    </row>
    <row r="849" spans="14:25" x14ac:dyDescent="0.25">
      <c r="N849" s="125"/>
      <c r="O849" s="125"/>
      <c r="P849" s="126"/>
      <c r="Q849" s="62"/>
      <c r="R849" s="62"/>
      <c r="S849" s="127"/>
      <c r="T849" s="11"/>
      <c r="U849" s="124"/>
      <c r="V849" s="11"/>
      <c r="W849" s="124"/>
      <c r="X849" s="128"/>
      <c r="Y849" s="129"/>
    </row>
    <row r="850" spans="14:25" x14ac:dyDescent="0.25">
      <c r="N850" s="125"/>
      <c r="O850" s="125"/>
      <c r="P850" s="126"/>
      <c r="Q850" s="62"/>
      <c r="R850" s="62"/>
      <c r="S850" s="127"/>
      <c r="T850" s="11"/>
      <c r="U850" s="124"/>
      <c r="V850" s="11"/>
      <c r="W850" s="124"/>
      <c r="X850" s="128"/>
      <c r="Y850" s="129"/>
    </row>
    <row r="851" spans="14:25" x14ac:dyDescent="0.25">
      <c r="N851" s="125"/>
      <c r="O851" s="125"/>
      <c r="P851" s="126"/>
      <c r="Q851" s="62"/>
      <c r="R851" s="62"/>
      <c r="S851" s="127"/>
      <c r="T851" s="11"/>
      <c r="U851" s="124"/>
      <c r="V851" s="11"/>
      <c r="W851" s="124"/>
      <c r="X851" s="128"/>
      <c r="Y851" s="129"/>
    </row>
    <row r="852" spans="14:25" x14ac:dyDescent="0.25">
      <c r="N852" s="125"/>
      <c r="O852" s="125"/>
      <c r="P852" s="126"/>
      <c r="Q852" s="62"/>
      <c r="R852" s="62"/>
      <c r="S852" s="127"/>
      <c r="T852" s="11"/>
      <c r="U852" s="124"/>
      <c r="V852" s="11"/>
      <c r="W852" s="124"/>
      <c r="X852" s="128"/>
      <c r="Y852" s="129"/>
    </row>
    <row r="853" spans="14:25" x14ac:dyDescent="0.25">
      <c r="N853" s="125"/>
      <c r="O853" s="125"/>
      <c r="P853" s="126"/>
      <c r="Q853" s="62"/>
      <c r="R853" s="62"/>
      <c r="S853" s="127"/>
      <c r="T853" s="11"/>
      <c r="U853" s="124"/>
      <c r="V853" s="11"/>
      <c r="W853" s="124"/>
      <c r="X853" s="128"/>
      <c r="Y853" s="129"/>
    </row>
    <row r="854" spans="14:25" x14ac:dyDescent="0.25">
      <c r="N854" s="125"/>
      <c r="O854" s="125"/>
      <c r="P854" s="126"/>
      <c r="Q854" s="62"/>
      <c r="R854" s="62"/>
      <c r="S854" s="127"/>
      <c r="T854" s="11"/>
      <c r="U854" s="124"/>
      <c r="V854" s="11"/>
      <c r="W854" s="124"/>
      <c r="X854" s="128"/>
      <c r="Y854" s="129"/>
    </row>
    <row r="855" spans="14:25" x14ac:dyDescent="0.25">
      <c r="N855" s="125"/>
      <c r="O855" s="125"/>
      <c r="P855" s="126"/>
      <c r="Q855" s="62"/>
      <c r="R855" s="62"/>
      <c r="S855" s="127"/>
      <c r="T855" s="11"/>
      <c r="U855" s="124"/>
      <c r="V855" s="11"/>
      <c r="W855" s="124"/>
      <c r="X855" s="128"/>
      <c r="Y855" s="129"/>
    </row>
    <row r="856" spans="14:25" x14ac:dyDescent="0.25">
      <c r="N856" s="125"/>
      <c r="O856" s="125"/>
      <c r="P856" s="126"/>
      <c r="Q856" s="62"/>
      <c r="R856" s="62"/>
      <c r="S856" s="127"/>
      <c r="T856" s="11"/>
      <c r="U856" s="124"/>
      <c r="V856" s="11"/>
      <c r="W856" s="124"/>
      <c r="X856" s="128"/>
      <c r="Y856" s="129"/>
    </row>
    <row r="857" spans="14:25" x14ac:dyDescent="0.25">
      <c r="N857" s="125"/>
      <c r="O857" s="125"/>
      <c r="P857" s="126"/>
      <c r="Q857" s="62"/>
      <c r="R857" s="62"/>
      <c r="S857" s="127"/>
      <c r="T857" s="11"/>
      <c r="U857" s="124"/>
      <c r="V857" s="11"/>
      <c r="W857" s="124"/>
      <c r="X857" s="128"/>
      <c r="Y857" s="129"/>
    </row>
    <row r="858" spans="14:25" x14ac:dyDescent="0.25">
      <c r="N858" s="125"/>
      <c r="O858" s="125"/>
      <c r="P858" s="126"/>
      <c r="Q858" s="62"/>
      <c r="R858" s="62"/>
      <c r="S858" s="127"/>
      <c r="T858" s="11"/>
      <c r="U858" s="124"/>
      <c r="V858" s="11"/>
      <c r="W858" s="124"/>
      <c r="X858" s="128"/>
      <c r="Y858" s="129"/>
    </row>
    <row r="859" spans="14:25" x14ac:dyDescent="0.25">
      <c r="N859" s="125"/>
      <c r="O859" s="125"/>
      <c r="P859" s="126"/>
      <c r="Q859" s="62"/>
      <c r="R859" s="62"/>
      <c r="S859" s="127"/>
      <c r="T859" s="11"/>
      <c r="U859" s="124"/>
      <c r="V859" s="11"/>
      <c r="W859" s="124"/>
      <c r="X859" s="128"/>
      <c r="Y859" s="129"/>
    </row>
    <row r="860" spans="14:25" x14ac:dyDescent="0.25">
      <c r="N860" s="125"/>
      <c r="O860" s="125"/>
      <c r="P860" s="126"/>
      <c r="Q860" s="62"/>
      <c r="R860" s="62"/>
      <c r="S860" s="127"/>
      <c r="T860" s="11"/>
      <c r="U860" s="124"/>
      <c r="V860" s="11"/>
      <c r="W860" s="124"/>
      <c r="X860" s="128"/>
      <c r="Y860" s="129"/>
    </row>
    <row r="861" spans="14:25" x14ac:dyDescent="0.25">
      <c r="N861" s="125"/>
      <c r="O861" s="125"/>
      <c r="P861" s="126"/>
      <c r="Q861" s="62"/>
      <c r="R861" s="62"/>
      <c r="S861" s="127"/>
      <c r="T861" s="11"/>
      <c r="U861" s="124"/>
      <c r="V861" s="11"/>
      <c r="W861" s="124"/>
      <c r="X861" s="128"/>
      <c r="Y861" s="129"/>
    </row>
    <row r="862" spans="14:25" x14ac:dyDescent="0.25">
      <c r="N862" s="125"/>
      <c r="O862" s="125"/>
      <c r="P862" s="126"/>
      <c r="Q862" s="62"/>
      <c r="R862" s="62"/>
      <c r="S862" s="127"/>
      <c r="T862" s="11"/>
      <c r="U862" s="124"/>
      <c r="V862" s="11"/>
      <c r="W862" s="124"/>
      <c r="X862" s="128"/>
      <c r="Y862" s="129"/>
    </row>
    <row r="863" spans="14:25" x14ac:dyDescent="0.25">
      <c r="N863" s="125"/>
      <c r="O863" s="125"/>
      <c r="P863" s="126"/>
      <c r="Q863" s="62"/>
      <c r="R863" s="62"/>
      <c r="S863" s="127"/>
      <c r="T863" s="11"/>
      <c r="U863" s="124"/>
      <c r="V863" s="11"/>
      <c r="W863" s="124"/>
      <c r="X863" s="128"/>
      <c r="Y863" s="129"/>
    </row>
    <row r="864" spans="14:25" x14ac:dyDescent="0.25">
      <c r="N864" s="125"/>
      <c r="O864" s="125"/>
      <c r="P864" s="126"/>
      <c r="Q864" s="62"/>
      <c r="R864" s="62"/>
      <c r="S864" s="127"/>
      <c r="T864" s="11"/>
      <c r="U864" s="124"/>
      <c r="V864" s="11"/>
      <c r="W864" s="124"/>
      <c r="X864" s="128"/>
      <c r="Y864" s="129"/>
    </row>
    <row r="865" spans="14:25" x14ac:dyDescent="0.25">
      <c r="N865" s="125"/>
      <c r="O865" s="125"/>
      <c r="P865" s="126"/>
      <c r="Q865" s="62"/>
      <c r="R865" s="62"/>
      <c r="S865" s="127"/>
      <c r="T865" s="11"/>
      <c r="U865" s="124"/>
      <c r="V865" s="11"/>
      <c r="W865" s="124"/>
      <c r="X865" s="128"/>
      <c r="Y865" s="129"/>
    </row>
    <row r="866" spans="14:25" x14ac:dyDescent="0.25">
      <c r="N866" s="125"/>
      <c r="O866" s="125"/>
      <c r="P866" s="126"/>
      <c r="Q866" s="62"/>
      <c r="R866" s="62"/>
      <c r="S866" s="127"/>
      <c r="T866" s="11"/>
      <c r="U866" s="124"/>
      <c r="V866" s="11"/>
      <c r="W866" s="124"/>
      <c r="X866" s="128"/>
      <c r="Y866" s="129"/>
    </row>
    <row r="867" spans="14:25" x14ac:dyDescent="0.25">
      <c r="N867" s="125"/>
      <c r="O867" s="125"/>
      <c r="P867" s="126"/>
      <c r="Q867" s="62"/>
      <c r="R867" s="62"/>
      <c r="S867" s="127"/>
      <c r="T867" s="11"/>
      <c r="U867" s="124"/>
      <c r="V867" s="11"/>
      <c r="W867" s="124"/>
      <c r="X867" s="128"/>
      <c r="Y867" s="129"/>
    </row>
    <row r="868" spans="14:25" x14ac:dyDescent="0.25">
      <c r="N868" s="125"/>
      <c r="O868" s="125"/>
      <c r="P868" s="126"/>
      <c r="Q868" s="62"/>
      <c r="R868" s="62"/>
      <c r="S868" s="127"/>
      <c r="T868" s="11"/>
      <c r="U868" s="124"/>
      <c r="V868" s="11"/>
      <c r="W868" s="124"/>
      <c r="X868" s="128"/>
      <c r="Y868" s="129"/>
    </row>
    <row r="869" spans="14:25" x14ac:dyDescent="0.25">
      <c r="N869" s="125"/>
      <c r="O869" s="125"/>
      <c r="P869" s="126"/>
      <c r="Q869" s="62"/>
      <c r="R869" s="62"/>
      <c r="S869" s="127"/>
      <c r="T869" s="11"/>
      <c r="U869" s="124"/>
      <c r="V869" s="11"/>
      <c r="W869" s="124"/>
      <c r="X869" s="128"/>
      <c r="Y869" s="129"/>
    </row>
    <row r="870" spans="14:25" x14ac:dyDescent="0.25">
      <c r="N870" s="125"/>
      <c r="O870" s="125"/>
      <c r="P870" s="126"/>
      <c r="Q870" s="62"/>
      <c r="R870" s="62"/>
      <c r="S870" s="127"/>
      <c r="T870" s="11"/>
      <c r="U870" s="124"/>
      <c r="V870" s="11"/>
      <c r="W870" s="124"/>
      <c r="X870" s="128"/>
      <c r="Y870" s="129"/>
    </row>
    <row r="871" spans="14:25" x14ac:dyDescent="0.25">
      <c r="N871" s="125"/>
      <c r="O871" s="125"/>
      <c r="P871" s="126"/>
      <c r="Q871" s="62"/>
      <c r="R871" s="62"/>
      <c r="S871" s="127"/>
      <c r="T871" s="11"/>
      <c r="U871" s="124"/>
      <c r="V871" s="11"/>
      <c r="W871" s="124"/>
      <c r="X871" s="128"/>
      <c r="Y871" s="129"/>
    </row>
    <row r="872" spans="14:25" x14ac:dyDescent="0.25">
      <c r="N872" s="125"/>
      <c r="O872" s="125"/>
      <c r="P872" s="126"/>
      <c r="Q872" s="62"/>
      <c r="R872" s="62"/>
      <c r="S872" s="127"/>
      <c r="T872" s="11"/>
      <c r="U872" s="124"/>
      <c r="V872" s="11"/>
      <c r="W872" s="124"/>
      <c r="X872" s="128"/>
      <c r="Y872" s="129"/>
    </row>
    <row r="873" spans="14:25" x14ac:dyDescent="0.25">
      <c r="N873" s="125"/>
      <c r="O873" s="125"/>
      <c r="P873" s="126"/>
      <c r="Q873" s="62"/>
      <c r="R873" s="62"/>
      <c r="S873" s="127"/>
      <c r="T873" s="11"/>
      <c r="U873" s="124"/>
      <c r="V873" s="11"/>
      <c r="W873" s="124"/>
      <c r="X873" s="128"/>
      <c r="Y873" s="129"/>
    </row>
    <row r="874" spans="14:25" x14ac:dyDescent="0.25">
      <c r="N874" s="125"/>
      <c r="O874" s="125"/>
      <c r="P874" s="126"/>
      <c r="Q874" s="62"/>
      <c r="R874" s="62"/>
      <c r="S874" s="127"/>
      <c r="T874" s="11"/>
      <c r="U874" s="124"/>
      <c r="V874" s="11"/>
      <c r="W874" s="124"/>
      <c r="X874" s="128"/>
      <c r="Y874" s="129"/>
    </row>
    <row r="875" spans="14:25" x14ac:dyDescent="0.25">
      <c r="N875" s="125"/>
      <c r="O875" s="125"/>
      <c r="P875" s="126"/>
      <c r="Q875" s="62"/>
      <c r="R875" s="62"/>
      <c r="S875" s="127"/>
      <c r="T875" s="11"/>
      <c r="U875" s="124"/>
      <c r="V875" s="11"/>
      <c r="W875" s="124"/>
      <c r="X875" s="128"/>
      <c r="Y875" s="129"/>
    </row>
    <row r="876" spans="14:25" x14ac:dyDescent="0.25">
      <c r="N876" s="125"/>
      <c r="O876" s="125"/>
      <c r="P876" s="126"/>
      <c r="Q876" s="62"/>
      <c r="R876" s="62"/>
      <c r="S876" s="127"/>
      <c r="T876" s="11"/>
      <c r="U876" s="124"/>
      <c r="V876" s="11"/>
      <c r="W876" s="124"/>
      <c r="X876" s="128"/>
      <c r="Y876" s="129"/>
    </row>
    <row r="877" spans="14:25" x14ac:dyDescent="0.25">
      <c r="N877" s="125"/>
      <c r="O877" s="125"/>
      <c r="P877" s="126"/>
      <c r="Q877" s="62"/>
      <c r="R877" s="62"/>
      <c r="S877" s="127"/>
      <c r="T877" s="11"/>
      <c r="U877" s="124"/>
      <c r="V877" s="11"/>
      <c r="W877" s="124"/>
      <c r="X877" s="128"/>
      <c r="Y877" s="129"/>
    </row>
    <row r="878" spans="14:25" x14ac:dyDescent="0.25">
      <c r="N878" s="125"/>
      <c r="O878" s="125"/>
      <c r="P878" s="126"/>
      <c r="Q878" s="62"/>
      <c r="R878" s="62"/>
      <c r="S878" s="127"/>
      <c r="T878" s="11"/>
      <c r="U878" s="124"/>
      <c r="V878" s="11"/>
      <c r="W878" s="124"/>
      <c r="X878" s="128"/>
      <c r="Y878" s="129"/>
    </row>
    <row r="879" spans="14:25" x14ac:dyDescent="0.25">
      <c r="N879" s="125"/>
      <c r="O879" s="125"/>
      <c r="P879" s="126"/>
      <c r="Q879" s="62"/>
      <c r="R879" s="62"/>
      <c r="S879" s="127"/>
      <c r="T879" s="11"/>
      <c r="U879" s="124"/>
      <c r="V879" s="11"/>
      <c r="W879" s="124"/>
      <c r="X879" s="128"/>
      <c r="Y879" s="129"/>
    </row>
    <row r="880" spans="14:25" x14ac:dyDescent="0.25">
      <c r="N880" s="125"/>
      <c r="O880" s="125"/>
      <c r="P880" s="126"/>
      <c r="Q880" s="62"/>
      <c r="R880" s="62"/>
      <c r="S880" s="127"/>
      <c r="T880" s="11"/>
      <c r="U880" s="124"/>
      <c r="V880" s="11"/>
      <c r="W880" s="124"/>
      <c r="X880" s="128"/>
      <c r="Y880" s="129"/>
    </row>
    <row r="881" spans="14:25" x14ac:dyDescent="0.25">
      <c r="N881" s="125"/>
      <c r="O881" s="125"/>
      <c r="P881" s="126"/>
      <c r="Q881" s="62"/>
      <c r="R881" s="62"/>
      <c r="S881" s="127"/>
      <c r="T881" s="11"/>
      <c r="U881" s="124"/>
      <c r="V881" s="11"/>
      <c r="W881" s="124"/>
      <c r="X881" s="128"/>
      <c r="Y881" s="129"/>
    </row>
    <row r="882" spans="14:25" x14ac:dyDescent="0.25">
      <c r="N882" s="125"/>
      <c r="O882" s="125"/>
      <c r="P882" s="126"/>
      <c r="Q882" s="62"/>
      <c r="R882" s="62"/>
      <c r="S882" s="127"/>
      <c r="T882" s="11"/>
      <c r="U882" s="124"/>
      <c r="V882" s="11"/>
      <c r="W882" s="124"/>
      <c r="X882" s="128"/>
      <c r="Y882" s="129"/>
    </row>
    <row r="883" spans="14:25" x14ac:dyDescent="0.25">
      <c r="N883" s="125"/>
      <c r="O883" s="125"/>
      <c r="P883" s="126"/>
      <c r="Q883" s="62"/>
      <c r="R883" s="62"/>
      <c r="S883" s="127"/>
      <c r="T883" s="11"/>
      <c r="U883" s="124"/>
      <c r="V883" s="11"/>
      <c r="W883" s="124"/>
      <c r="X883" s="128"/>
      <c r="Y883" s="129"/>
    </row>
    <row r="884" spans="14:25" x14ac:dyDescent="0.25">
      <c r="N884" s="125"/>
      <c r="O884" s="125"/>
      <c r="P884" s="126"/>
      <c r="Q884" s="62"/>
      <c r="R884" s="62"/>
      <c r="S884" s="127"/>
      <c r="T884" s="11"/>
      <c r="U884" s="124"/>
      <c r="V884" s="11"/>
      <c r="W884" s="124"/>
      <c r="X884" s="128"/>
      <c r="Y884" s="129"/>
    </row>
    <row r="885" spans="14:25" x14ac:dyDescent="0.25">
      <c r="N885" s="125"/>
      <c r="O885" s="125"/>
      <c r="P885" s="126"/>
      <c r="Q885" s="62"/>
      <c r="R885" s="62"/>
      <c r="S885" s="127"/>
      <c r="T885" s="11"/>
      <c r="U885" s="124"/>
      <c r="V885" s="11"/>
      <c r="W885" s="124"/>
      <c r="X885" s="128"/>
      <c r="Y885" s="129"/>
    </row>
    <row r="886" spans="14:25" x14ac:dyDescent="0.25">
      <c r="N886" s="125"/>
      <c r="O886" s="125"/>
      <c r="P886" s="126"/>
      <c r="Q886" s="62"/>
      <c r="R886" s="62"/>
      <c r="S886" s="127"/>
      <c r="T886" s="11"/>
      <c r="U886" s="124"/>
      <c r="V886" s="11"/>
      <c r="W886" s="124"/>
      <c r="X886" s="128"/>
      <c r="Y886" s="129"/>
    </row>
    <row r="887" spans="14:25" x14ac:dyDescent="0.25">
      <c r="N887" s="125"/>
      <c r="O887" s="125"/>
      <c r="P887" s="126"/>
      <c r="Q887" s="62"/>
      <c r="R887" s="62"/>
      <c r="S887" s="127"/>
      <c r="T887" s="11"/>
      <c r="U887" s="124"/>
      <c r="V887" s="11"/>
      <c r="W887" s="124"/>
      <c r="X887" s="128"/>
      <c r="Y887" s="129"/>
    </row>
    <row r="888" spans="14:25" x14ac:dyDescent="0.25">
      <c r="N888" s="125"/>
      <c r="O888" s="125"/>
      <c r="P888" s="126"/>
      <c r="Q888" s="62"/>
      <c r="R888" s="62"/>
      <c r="S888" s="127"/>
      <c r="T888" s="11"/>
      <c r="U888" s="124"/>
      <c r="V888" s="11"/>
      <c r="W888" s="124"/>
      <c r="X888" s="128"/>
      <c r="Y888" s="129"/>
    </row>
    <row r="889" spans="14:25" x14ac:dyDescent="0.25">
      <c r="N889" s="125"/>
      <c r="O889" s="125"/>
      <c r="P889" s="126"/>
      <c r="Q889" s="62"/>
      <c r="R889" s="62"/>
      <c r="S889" s="127"/>
      <c r="T889" s="11"/>
      <c r="U889" s="124"/>
      <c r="V889" s="11"/>
      <c r="W889" s="124"/>
      <c r="X889" s="128"/>
      <c r="Y889" s="129"/>
    </row>
    <row r="890" spans="14:25" x14ac:dyDescent="0.25">
      <c r="N890" s="125"/>
      <c r="O890" s="125"/>
      <c r="P890" s="126"/>
      <c r="Q890" s="62"/>
      <c r="R890" s="62"/>
      <c r="S890" s="127"/>
      <c r="T890" s="11"/>
      <c r="U890" s="124"/>
      <c r="V890" s="11"/>
      <c r="W890" s="124"/>
      <c r="X890" s="128"/>
      <c r="Y890" s="129"/>
    </row>
    <row r="891" spans="14:25" x14ac:dyDescent="0.25">
      <c r="N891" s="125"/>
      <c r="O891" s="125"/>
      <c r="P891" s="126"/>
      <c r="Q891" s="62"/>
      <c r="R891" s="62"/>
      <c r="S891" s="127"/>
      <c r="T891" s="11"/>
      <c r="U891" s="124"/>
      <c r="V891" s="11"/>
      <c r="W891" s="124"/>
      <c r="X891" s="128"/>
      <c r="Y891" s="129"/>
    </row>
    <row r="892" spans="14:25" x14ac:dyDescent="0.25">
      <c r="N892" s="125"/>
      <c r="O892" s="125"/>
      <c r="P892" s="126"/>
      <c r="Q892" s="62"/>
      <c r="R892" s="62"/>
      <c r="S892" s="127"/>
      <c r="T892" s="11"/>
      <c r="U892" s="124"/>
      <c r="V892" s="11"/>
      <c r="W892" s="124"/>
      <c r="X892" s="128"/>
      <c r="Y892" s="129"/>
    </row>
    <row r="893" spans="14:25" x14ac:dyDescent="0.25">
      <c r="N893" s="125"/>
      <c r="O893" s="125"/>
      <c r="P893" s="126"/>
      <c r="Q893" s="62"/>
      <c r="R893" s="62"/>
      <c r="S893" s="127"/>
      <c r="T893" s="11"/>
      <c r="U893" s="124"/>
      <c r="V893" s="11"/>
      <c r="W893" s="124"/>
      <c r="X893" s="128"/>
      <c r="Y893" s="129"/>
    </row>
    <row r="894" spans="14:25" x14ac:dyDescent="0.25">
      <c r="N894" s="125"/>
      <c r="O894" s="125"/>
      <c r="P894" s="126"/>
      <c r="Q894" s="62"/>
      <c r="R894" s="62"/>
      <c r="S894" s="127"/>
      <c r="T894" s="11"/>
      <c r="U894" s="124"/>
      <c r="V894" s="11"/>
      <c r="W894" s="124"/>
      <c r="X894" s="128"/>
      <c r="Y894" s="129"/>
    </row>
    <row r="895" spans="14:25" x14ac:dyDescent="0.25">
      <c r="N895" s="125"/>
      <c r="O895" s="125"/>
      <c r="P895" s="126"/>
      <c r="Q895" s="62"/>
      <c r="R895" s="62"/>
      <c r="S895" s="127"/>
      <c r="T895" s="11"/>
      <c r="U895" s="124"/>
      <c r="V895" s="11"/>
      <c r="W895" s="124"/>
      <c r="X895" s="128"/>
      <c r="Y895" s="129"/>
    </row>
    <row r="896" spans="14:25" x14ac:dyDescent="0.25">
      <c r="N896" s="125"/>
      <c r="O896" s="125"/>
      <c r="P896" s="126"/>
      <c r="Q896" s="62"/>
      <c r="R896" s="62"/>
      <c r="S896" s="127"/>
      <c r="T896" s="11"/>
      <c r="U896" s="124"/>
      <c r="V896" s="11"/>
      <c r="W896" s="124"/>
      <c r="X896" s="128"/>
      <c r="Y896" s="129"/>
    </row>
    <row r="897" spans="14:25" x14ac:dyDescent="0.25">
      <c r="N897" s="125"/>
      <c r="O897" s="125"/>
      <c r="P897" s="126"/>
      <c r="Q897" s="62"/>
      <c r="R897" s="62"/>
      <c r="S897" s="127"/>
      <c r="T897" s="11"/>
      <c r="U897" s="124"/>
      <c r="V897" s="11"/>
      <c r="W897" s="124"/>
      <c r="X897" s="128"/>
      <c r="Y897" s="129"/>
    </row>
    <row r="898" spans="14:25" x14ac:dyDescent="0.25">
      <c r="N898" s="125"/>
      <c r="O898" s="125"/>
      <c r="P898" s="126"/>
      <c r="Q898" s="62"/>
      <c r="R898" s="62"/>
      <c r="S898" s="127"/>
      <c r="T898" s="11"/>
      <c r="U898" s="124"/>
      <c r="V898" s="11"/>
      <c r="W898" s="124"/>
      <c r="X898" s="128"/>
      <c r="Y898" s="129"/>
    </row>
    <row r="899" spans="14:25" x14ac:dyDescent="0.25">
      <c r="N899" s="125"/>
      <c r="O899" s="125"/>
      <c r="P899" s="126"/>
      <c r="Q899" s="62"/>
      <c r="R899" s="62"/>
      <c r="S899" s="127"/>
      <c r="T899" s="11"/>
      <c r="U899" s="124"/>
      <c r="V899" s="11"/>
      <c r="W899" s="124"/>
      <c r="X899" s="128"/>
      <c r="Y899" s="129"/>
    </row>
    <row r="900" spans="14:25" x14ac:dyDescent="0.25">
      <c r="N900" s="125"/>
      <c r="O900" s="125"/>
      <c r="P900" s="126"/>
      <c r="Q900" s="62"/>
      <c r="R900" s="62"/>
      <c r="S900" s="127"/>
      <c r="T900" s="11"/>
      <c r="U900" s="124"/>
      <c r="V900" s="11"/>
      <c r="W900" s="124"/>
      <c r="X900" s="128"/>
      <c r="Y900" s="129"/>
    </row>
    <row r="901" spans="14:25" x14ac:dyDescent="0.25">
      <c r="N901" s="125"/>
      <c r="O901" s="125"/>
      <c r="P901" s="126"/>
      <c r="Q901" s="62"/>
      <c r="R901" s="62"/>
      <c r="S901" s="127"/>
      <c r="T901" s="11"/>
      <c r="U901" s="124"/>
      <c r="V901" s="11"/>
      <c r="W901" s="124"/>
      <c r="X901" s="128"/>
      <c r="Y901" s="129"/>
    </row>
    <row r="902" spans="14:25" x14ac:dyDescent="0.25">
      <c r="N902" s="125"/>
      <c r="O902" s="125"/>
      <c r="P902" s="126"/>
      <c r="Q902" s="62"/>
      <c r="R902" s="62"/>
      <c r="S902" s="127"/>
      <c r="T902" s="11"/>
      <c r="U902" s="124"/>
      <c r="V902" s="11"/>
      <c r="W902" s="124"/>
      <c r="X902" s="128"/>
      <c r="Y902" s="129"/>
    </row>
    <row r="903" spans="14:25" x14ac:dyDescent="0.25">
      <c r="N903" s="125"/>
      <c r="O903" s="125"/>
      <c r="P903" s="126"/>
      <c r="Q903" s="62"/>
      <c r="R903" s="62"/>
      <c r="S903" s="127"/>
      <c r="T903" s="11"/>
      <c r="U903" s="124"/>
      <c r="V903" s="11"/>
      <c r="W903" s="124"/>
      <c r="X903" s="128"/>
      <c r="Y903" s="129"/>
    </row>
    <row r="904" spans="14:25" x14ac:dyDescent="0.25">
      <c r="N904" s="125"/>
      <c r="O904" s="125"/>
      <c r="P904" s="126"/>
      <c r="Q904" s="62"/>
      <c r="R904" s="62"/>
      <c r="S904" s="127"/>
      <c r="T904" s="11"/>
      <c r="U904" s="124"/>
      <c r="V904" s="11"/>
      <c r="W904" s="124"/>
      <c r="X904" s="128"/>
      <c r="Y904" s="129"/>
    </row>
    <row r="905" spans="14:25" x14ac:dyDescent="0.25">
      <c r="N905" s="125"/>
      <c r="O905" s="125"/>
      <c r="P905" s="126"/>
      <c r="Q905" s="62"/>
      <c r="R905" s="62"/>
      <c r="S905" s="127"/>
      <c r="T905" s="11"/>
      <c r="U905" s="124"/>
      <c r="V905" s="11"/>
      <c r="W905" s="124"/>
      <c r="X905" s="128"/>
      <c r="Y905" s="129"/>
    </row>
    <row r="906" spans="14:25" x14ac:dyDescent="0.25">
      <c r="N906" s="125"/>
      <c r="O906" s="125"/>
      <c r="P906" s="126"/>
      <c r="Q906" s="62"/>
      <c r="R906" s="62"/>
      <c r="S906" s="127"/>
      <c r="T906" s="11"/>
      <c r="U906" s="124"/>
      <c r="V906" s="11"/>
      <c r="W906" s="124"/>
      <c r="X906" s="128"/>
      <c r="Y906" s="129"/>
    </row>
    <row r="907" spans="14:25" x14ac:dyDescent="0.25">
      <c r="N907" s="125"/>
      <c r="O907" s="125"/>
      <c r="P907" s="126"/>
      <c r="Q907" s="62"/>
      <c r="R907" s="62"/>
      <c r="S907" s="127"/>
      <c r="T907" s="11"/>
      <c r="U907" s="124"/>
      <c r="V907" s="11"/>
      <c r="W907" s="124"/>
      <c r="X907" s="128"/>
      <c r="Y907" s="129"/>
    </row>
    <row r="908" spans="14:25" x14ac:dyDescent="0.25">
      <c r="N908" s="125"/>
      <c r="O908" s="125"/>
      <c r="P908" s="126"/>
      <c r="Q908" s="62"/>
      <c r="R908" s="62"/>
      <c r="S908" s="127"/>
      <c r="T908" s="11"/>
      <c r="U908" s="124"/>
      <c r="V908" s="11"/>
      <c r="W908" s="124"/>
      <c r="X908" s="128"/>
      <c r="Y908" s="129"/>
    </row>
    <row r="909" spans="14:25" x14ac:dyDescent="0.25">
      <c r="N909" s="125"/>
      <c r="O909" s="125"/>
      <c r="P909" s="126"/>
      <c r="Q909" s="62"/>
      <c r="R909" s="62"/>
      <c r="S909" s="127"/>
      <c r="T909" s="11"/>
      <c r="U909" s="124"/>
      <c r="V909" s="11"/>
      <c r="W909" s="124"/>
      <c r="X909" s="128"/>
      <c r="Y909" s="129"/>
    </row>
    <row r="910" spans="14:25" x14ac:dyDescent="0.25">
      <c r="N910" s="125"/>
      <c r="O910" s="125"/>
      <c r="P910" s="126"/>
      <c r="Q910" s="62"/>
      <c r="R910" s="62"/>
      <c r="S910" s="127"/>
      <c r="T910" s="11"/>
      <c r="U910" s="124"/>
      <c r="V910" s="11"/>
      <c r="W910" s="124"/>
      <c r="X910" s="128"/>
      <c r="Y910" s="129"/>
    </row>
    <row r="911" spans="14:25" x14ac:dyDescent="0.25">
      <c r="N911" s="125"/>
      <c r="O911" s="125"/>
      <c r="P911" s="126"/>
      <c r="Q911" s="62"/>
      <c r="R911" s="62"/>
      <c r="S911" s="127"/>
      <c r="T911" s="11"/>
      <c r="U911" s="124"/>
      <c r="V911" s="11"/>
      <c r="W911" s="124"/>
      <c r="X911" s="128"/>
      <c r="Y911" s="129"/>
    </row>
    <row r="912" spans="14:25" x14ac:dyDescent="0.25">
      <c r="N912" s="125"/>
      <c r="O912" s="125"/>
      <c r="P912" s="126"/>
      <c r="Q912" s="62"/>
      <c r="R912" s="62"/>
      <c r="S912" s="127"/>
      <c r="T912" s="11"/>
      <c r="U912" s="124"/>
      <c r="V912" s="11"/>
      <c r="W912" s="124"/>
      <c r="X912" s="128"/>
      <c r="Y912" s="129"/>
    </row>
    <row r="913" spans="14:25" x14ac:dyDescent="0.25">
      <c r="N913" s="125"/>
      <c r="O913" s="125"/>
      <c r="P913" s="126"/>
      <c r="Q913" s="62"/>
      <c r="R913" s="62"/>
      <c r="S913" s="127"/>
      <c r="T913" s="11"/>
      <c r="U913" s="124"/>
      <c r="V913" s="11"/>
      <c r="W913" s="124"/>
      <c r="X913" s="128"/>
      <c r="Y913" s="129"/>
    </row>
    <row r="914" spans="14:25" x14ac:dyDescent="0.25">
      <c r="N914" s="125"/>
      <c r="O914" s="125"/>
      <c r="P914" s="126"/>
      <c r="Q914" s="62"/>
      <c r="R914" s="62"/>
      <c r="S914" s="127"/>
      <c r="T914" s="11"/>
      <c r="U914" s="124"/>
      <c r="V914" s="11"/>
      <c r="W914" s="124"/>
      <c r="X914" s="128"/>
      <c r="Y914" s="129"/>
    </row>
    <row r="915" spans="14:25" x14ac:dyDescent="0.25">
      <c r="N915" s="125"/>
      <c r="O915" s="125"/>
      <c r="P915" s="126"/>
      <c r="Q915" s="62"/>
      <c r="R915" s="62"/>
      <c r="S915" s="127"/>
      <c r="T915" s="11"/>
      <c r="U915" s="124"/>
      <c r="V915" s="11"/>
      <c r="W915" s="124"/>
      <c r="X915" s="128"/>
      <c r="Y915" s="129"/>
    </row>
    <row r="916" spans="14:25" x14ac:dyDescent="0.25">
      <c r="N916" s="125"/>
      <c r="O916" s="125"/>
      <c r="P916" s="126"/>
      <c r="Q916" s="62"/>
      <c r="R916" s="62"/>
      <c r="S916" s="127"/>
      <c r="T916" s="11"/>
      <c r="U916" s="124"/>
      <c r="V916" s="11"/>
      <c r="W916" s="124"/>
      <c r="X916" s="128"/>
      <c r="Y916" s="129"/>
    </row>
    <row r="917" spans="14:25" x14ac:dyDescent="0.25">
      <c r="N917" s="125"/>
      <c r="O917" s="125"/>
      <c r="P917" s="126"/>
      <c r="Q917" s="62"/>
      <c r="R917" s="62"/>
      <c r="S917" s="127"/>
      <c r="T917" s="11"/>
      <c r="U917" s="124"/>
      <c r="V917" s="11"/>
      <c r="W917" s="124"/>
      <c r="X917" s="128"/>
      <c r="Y917" s="129"/>
    </row>
    <row r="918" spans="14:25" x14ac:dyDescent="0.25">
      <c r="N918" s="125"/>
      <c r="O918" s="125"/>
      <c r="P918" s="126"/>
      <c r="Q918" s="62"/>
      <c r="R918" s="62"/>
      <c r="S918" s="127"/>
      <c r="T918" s="11"/>
      <c r="U918" s="124"/>
      <c r="V918" s="11"/>
      <c r="W918" s="124"/>
      <c r="X918" s="128"/>
      <c r="Y918" s="129"/>
    </row>
    <row r="919" spans="14:25" x14ac:dyDescent="0.25">
      <c r="N919" s="125"/>
      <c r="O919" s="125"/>
      <c r="P919" s="126"/>
      <c r="Q919" s="62"/>
      <c r="R919" s="62"/>
      <c r="S919" s="127"/>
      <c r="T919" s="11"/>
      <c r="U919" s="124"/>
      <c r="V919" s="11"/>
      <c r="W919" s="124"/>
      <c r="X919" s="128"/>
      <c r="Y919" s="129"/>
    </row>
    <row r="920" spans="14:25" x14ac:dyDescent="0.25">
      <c r="N920" s="125"/>
      <c r="O920" s="125"/>
      <c r="P920" s="126"/>
      <c r="Q920" s="62"/>
      <c r="R920" s="62"/>
      <c r="S920" s="127"/>
      <c r="T920" s="11"/>
      <c r="U920" s="124"/>
      <c r="V920" s="11"/>
      <c r="W920" s="124"/>
      <c r="X920" s="128"/>
      <c r="Y920" s="129"/>
    </row>
    <row r="921" spans="14:25" x14ac:dyDescent="0.25">
      <c r="N921" s="125"/>
      <c r="O921" s="125"/>
      <c r="P921" s="126"/>
      <c r="Q921" s="62"/>
      <c r="R921" s="62"/>
      <c r="S921" s="127"/>
      <c r="T921" s="11"/>
      <c r="U921" s="124"/>
      <c r="V921" s="11"/>
      <c r="W921" s="124"/>
      <c r="X921" s="128"/>
      <c r="Y921" s="129"/>
    </row>
    <row r="922" spans="14:25" x14ac:dyDescent="0.25">
      <c r="N922" s="125"/>
      <c r="O922" s="125"/>
      <c r="P922" s="126"/>
      <c r="Q922" s="62"/>
      <c r="R922" s="62"/>
      <c r="S922" s="127"/>
      <c r="T922" s="11"/>
      <c r="U922" s="124"/>
      <c r="V922" s="11"/>
      <c r="W922" s="124"/>
      <c r="X922" s="128"/>
      <c r="Y922" s="129"/>
    </row>
    <row r="923" spans="14:25" x14ac:dyDescent="0.25">
      <c r="N923" s="125"/>
      <c r="O923" s="125"/>
      <c r="P923" s="126"/>
      <c r="Q923" s="62"/>
      <c r="R923" s="62"/>
      <c r="S923" s="127"/>
      <c r="T923" s="11"/>
      <c r="U923" s="124"/>
      <c r="V923" s="11"/>
      <c r="W923" s="124"/>
      <c r="X923" s="128"/>
      <c r="Y923" s="129"/>
    </row>
    <row r="924" spans="14:25" x14ac:dyDescent="0.25">
      <c r="N924" s="125"/>
      <c r="O924" s="125"/>
      <c r="P924" s="126"/>
      <c r="Q924" s="62"/>
      <c r="R924" s="62"/>
      <c r="S924" s="127"/>
      <c r="T924" s="11"/>
      <c r="U924" s="124"/>
      <c r="V924" s="11"/>
      <c r="W924" s="124"/>
      <c r="X924" s="128"/>
      <c r="Y924" s="129"/>
    </row>
    <row r="925" spans="14:25" x14ac:dyDescent="0.25">
      <c r="N925" s="125"/>
      <c r="O925" s="125"/>
      <c r="P925" s="126"/>
      <c r="Q925" s="62"/>
      <c r="R925" s="62"/>
      <c r="S925" s="127"/>
      <c r="T925" s="11"/>
      <c r="U925" s="124"/>
      <c r="V925" s="11"/>
      <c r="W925" s="124"/>
      <c r="X925" s="128"/>
      <c r="Y925" s="129"/>
    </row>
    <row r="926" spans="14:25" x14ac:dyDescent="0.25">
      <c r="N926" s="125"/>
      <c r="O926" s="125"/>
      <c r="P926" s="126"/>
      <c r="Q926" s="62"/>
      <c r="R926" s="62"/>
      <c r="S926" s="127"/>
      <c r="T926" s="11"/>
      <c r="U926" s="124"/>
      <c r="V926" s="11"/>
      <c r="W926" s="124"/>
      <c r="X926" s="128"/>
      <c r="Y926" s="129"/>
    </row>
    <row r="927" spans="14:25" x14ac:dyDescent="0.25">
      <c r="N927" s="125"/>
      <c r="O927" s="125"/>
      <c r="P927" s="126"/>
      <c r="Q927" s="62"/>
      <c r="R927" s="62"/>
      <c r="S927" s="127"/>
      <c r="T927" s="11"/>
      <c r="U927" s="124"/>
      <c r="V927" s="11"/>
      <c r="W927" s="124"/>
      <c r="X927" s="128"/>
      <c r="Y927" s="129"/>
    </row>
    <row r="928" spans="14:25" x14ac:dyDescent="0.25">
      <c r="N928" s="125"/>
      <c r="O928" s="125"/>
      <c r="P928" s="126"/>
      <c r="Q928" s="62"/>
      <c r="R928" s="62"/>
      <c r="S928" s="127"/>
      <c r="T928" s="11"/>
      <c r="U928" s="124"/>
      <c r="V928" s="11"/>
      <c r="W928" s="124"/>
      <c r="X928" s="128"/>
      <c r="Y928" s="129"/>
    </row>
    <row r="929" spans="14:25" x14ac:dyDescent="0.25">
      <c r="N929" s="125"/>
      <c r="O929" s="125"/>
      <c r="P929" s="126"/>
      <c r="Q929" s="62"/>
      <c r="R929" s="62"/>
      <c r="S929" s="127"/>
      <c r="T929" s="11"/>
      <c r="U929" s="124"/>
      <c r="V929" s="11"/>
      <c r="W929" s="124"/>
      <c r="X929" s="128"/>
      <c r="Y929" s="129"/>
    </row>
    <row r="930" spans="14:25" x14ac:dyDescent="0.25">
      <c r="N930" s="125"/>
      <c r="O930" s="125"/>
      <c r="P930" s="126"/>
      <c r="Q930" s="62"/>
      <c r="R930" s="62"/>
      <c r="S930" s="127"/>
      <c r="T930" s="11"/>
      <c r="U930" s="124"/>
      <c r="V930" s="11"/>
      <c r="W930" s="124"/>
      <c r="X930" s="128"/>
      <c r="Y930" s="129"/>
    </row>
    <row r="931" spans="14:25" x14ac:dyDescent="0.25">
      <c r="N931" s="125"/>
      <c r="O931" s="125"/>
      <c r="P931" s="126"/>
      <c r="Q931" s="62"/>
      <c r="R931" s="62"/>
      <c r="S931" s="127"/>
      <c r="T931" s="11"/>
      <c r="U931" s="124"/>
      <c r="V931" s="11"/>
      <c r="W931" s="124"/>
      <c r="X931" s="128"/>
      <c r="Y931" s="129"/>
    </row>
    <row r="932" spans="14:25" x14ac:dyDescent="0.25">
      <c r="N932" s="125"/>
      <c r="O932" s="125"/>
      <c r="P932" s="126"/>
      <c r="Q932" s="62"/>
      <c r="R932" s="62"/>
      <c r="S932" s="127"/>
      <c r="T932" s="11"/>
      <c r="U932" s="124"/>
      <c r="V932" s="11"/>
      <c r="W932" s="124"/>
      <c r="X932" s="128"/>
      <c r="Y932" s="129"/>
    </row>
    <row r="933" spans="14:25" x14ac:dyDescent="0.25">
      <c r="N933" s="125"/>
      <c r="O933" s="125"/>
      <c r="P933" s="126"/>
      <c r="Q933" s="62"/>
      <c r="R933" s="62"/>
      <c r="S933" s="127"/>
      <c r="T933" s="11"/>
      <c r="U933" s="124"/>
      <c r="V933" s="11"/>
      <c r="W933" s="124"/>
      <c r="X933" s="128"/>
      <c r="Y933" s="129"/>
    </row>
    <row r="934" spans="14:25" x14ac:dyDescent="0.25">
      <c r="N934" s="125"/>
      <c r="O934" s="125"/>
      <c r="P934" s="126"/>
      <c r="Q934" s="62"/>
      <c r="R934" s="62"/>
      <c r="S934" s="127"/>
      <c r="T934" s="11"/>
      <c r="U934" s="124"/>
      <c r="V934" s="11"/>
      <c r="W934" s="124"/>
      <c r="X934" s="128"/>
      <c r="Y934" s="129"/>
    </row>
    <row r="935" spans="14:25" x14ac:dyDescent="0.25">
      <c r="N935" s="125"/>
      <c r="O935" s="125"/>
      <c r="P935" s="126"/>
      <c r="Q935" s="62"/>
      <c r="R935" s="62"/>
      <c r="S935" s="127"/>
      <c r="T935" s="11"/>
      <c r="U935" s="124"/>
      <c r="V935" s="11"/>
      <c r="W935" s="124"/>
      <c r="X935" s="128"/>
      <c r="Y935" s="129"/>
    </row>
    <row r="936" spans="14:25" x14ac:dyDescent="0.25">
      <c r="N936" s="125"/>
      <c r="O936" s="125"/>
      <c r="P936" s="126"/>
      <c r="Q936" s="62"/>
      <c r="R936" s="62"/>
      <c r="S936" s="127"/>
      <c r="T936" s="11"/>
      <c r="U936" s="124"/>
      <c r="V936" s="11"/>
      <c r="W936" s="124"/>
      <c r="X936" s="128"/>
      <c r="Y936" s="129"/>
    </row>
    <row r="937" spans="14:25" x14ac:dyDescent="0.25">
      <c r="N937" s="125"/>
      <c r="O937" s="125"/>
      <c r="P937" s="126"/>
      <c r="Q937" s="62"/>
      <c r="R937" s="62"/>
      <c r="S937" s="127"/>
      <c r="T937" s="11"/>
      <c r="U937" s="124"/>
      <c r="V937" s="11"/>
      <c r="W937" s="124"/>
      <c r="X937" s="128"/>
      <c r="Y937" s="129"/>
    </row>
    <row r="938" spans="14:25" x14ac:dyDescent="0.25">
      <c r="N938" s="125"/>
      <c r="O938" s="125"/>
      <c r="P938" s="126"/>
      <c r="Q938" s="62"/>
      <c r="R938" s="62"/>
      <c r="S938" s="127"/>
      <c r="T938" s="11"/>
      <c r="U938" s="124"/>
      <c r="V938" s="11"/>
      <c r="W938" s="124"/>
      <c r="X938" s="128"/>
      <c r="Y938" s="129"/>
    </row>
    <row r="939" spans="14:25" x14ac:dyDescent="0.25">
      <c r="N939" s="125"/>
      <c r="O939" s="125"/>
      <c r="P939" s="126"/>
      <c r="Q939" s="62"/>
      <c r="R939" s="62"/>
      <c r="S939" s="127"/>
      <c r="T939" s="11"/>
      <c r="U939" s="124"/>
      <c r="V939" s="11"/>
      <c r="W939" s="124"/>
      <c r="X939" s="128"/>
      <c r="Y939" s="129"/>
    </row>
    <row r="940" spans="14:25" x14ac:dyDescent="0.25">
      <c r="N940" s="125"/>
      <c r="O940" s="125"/>
      <c r="P940" s="126"/>
      <c r="Q940" s="62"/>
      <c r="R940" s="62"/>
      <c r="S940" s="127"/>
      <c r="T940" s="11"/>
      <c r="U940" s="124"/>
      <c r="V940" s="11"/>
      <c r="W940" s="124"/>
      <c r="X940" s="128"/>
      <c r="Y940" s="129"/>
    </row>
    <row r="941" spans="14:25" x14ac:dyDescent="0.25">
      <c r="N941" s="125"/>
      <c r="O941" s="125"/>
      <c r="P941" s="126"/>
      <c r="Q941" s="62"/>
      <c r="R941" s="62"/>
      <c r="S941" s="127"/>
      <c r="T941" s="11"/>
      <c r="U941" s="124"/>
      <c r="V941" s="11"/>
      <c r="W941" s="124"/>
      <c r="X941" s="128"/>
      <c r="Y941" s="129"/>
    </row>
    <row r="942" spans="14:25" x14ac:dyDescent="0.25">
      <c r="N942" s="125"/>
      <c r="O942" s="125"/>
      <c r="P942" s="126"/>
      <c r="Q942" s="62"/>
      <c r="R942" s="62"/>
      <c r="S942" s="127"/>
      <c r="T942" s="11"/>
      <c r="U942" s="124"/>
      <c r="V942" s="11"/>
      <c r="W942" s="124"/>
      <c r="X942" s="128"/>
      <c r="Y942" s="129"/>
    </row>
    <row r="943" spans="14:25" x14ac:dyDescent="0.25">
      <c r="N943" s="125"/>
      <c r="O943" s="125"/>
      <c r="P943" s="126"/>
      <c r="Q943" s="62"/>
      <c r="R943" s="62"/>
      <c r="S943" s="127"/>
      <c r="T943" s="11"/>
      <c r="U943" s="124"/>
      <c r="V943" s="11"/>
      <c r="W943" s="124"/>
      <c r="X943" s="128"/>
      <c r="Y943" s="129"/>
    </row>
    <row r="944" spans="14:25" x14ac:dyDescent="0.25">
      <c r="N944" s="125"/>
      <c r="O944" s="125"/>
      <c r="P944" s="126"/>
      <c r="Q944" s="62"/>
      <c r="R944" s="62"/>
      <c r="S944" s="127"/>
      <c r="T944" s="11"/>
      <c r="U944" s="124"/>
      <c r="V944" s="11"/>
      <c r="W944" s="124"/>
      <c r="X944" s="128"/>
      <c r="Y944" s="129"/>
    </row>
    <row r="945" spans="14:25" x14ac:dyDescent="0.25">
      <c r="N945" s="125"/>
      <c r="O945" s="125"/>
      <c r="P945" s="126"/>
      <c r="Q945" s="62"/>
      <c r="R945" s="62"/>
      <c r="S945" s="127"/>
      <c r="T945" s="11"/>
      <c r="U945" s="124"/>
      <c r="V945" s="11"/>
      <c r="W945" s="124"/>
      <c r="X945" s="128"/>
      <c r="Y945" s="129"/>
    </row>
    <row r="946" spans="14:25" x14ac:dyDescent="0.25">
      <c r="N946" s="125"/>
      <c r="O946" s="125"/>
      <c r="P946" s="126"/>
      <c r="Q946" s="62"/>
      <c r="R946" s="62"/>
      <c r="S946" s="127"/>
      <c r="T946" s="11"/>
      <c r="U946" s="124"/>
      <c r="V946" s="11"/>
      <c r="W946" s="124"/>
      <c r="X946" s="128"/>
      <c r="Y946" s="129"/>
    </row>
    <row r="947" spans="14:25" x14ac:dyDescent="0.25">
      <c r="N947" s="125"/>
      <c r="O947" s="125"/>
      <c r="P947" s="126"/>
      <c r="Q947" s="62"/>
      <c r="R947" s="62"/>
      <c r="S947" s="127"/>
      <c r="T947" s="11"/>
      <c r="U947" s="124"/>
      <c r="V947" s="11"/>
      <c r="W947" s="124"/>
      <c r="X947" s="128"/>
      <c r="Y947" s="129"/>
    </row>
    <row r="948" spans="14:25" x14ac:dyDescent="0.25">
      <c r="N948" s="125"/>
      <c r="O948" s="125"/>
      <c r="P948" s="126"/>
      <c r="Q948" s="62"/>
      <c r="R948" s="62"/>
      <c r="S948" s="127"/>
      <c r="T948" s="11"/>
      <c r="U948" s="124"/>
      <c r="V948" s="11"/>
      <c r="W948" s="124"/>
      <c r="X948" s="128"/>
      <c r="Y948" s="129"/>
    </row>
    <row r="949" spans="14:25" x14ac:dyDescent="0.25">
      <c r="N949" s="125"/>
      <c r="O949" s="125"/>
      <c r="P949" s="126"/>
      <c r="Q949" s="62"/>
      <c r="R949" s="62"/>
      <c r="S949" s="127"/>
      <c r="T949" s="11"/>
      <c r="U949" s="124"/>
      <c r="V949" s="11"/>
      <c r="W949" s="124"/>
      <c r="X949" s="128"/>
      <c r="Y949" s="129"/>
    </row>
    <row r="950" spans="14:25" x14ac:dyDescent="0.25">
      <c r="N950" s="125"/>
      <c r="O950" s="125"/>
      <c r="P950" s="126"/>
      <c r="Q950" s="62"/>
      <c r="R950" s="62"/>
      <c r="S950" s="127"/>
      <c r="T950" s="11"/>
      <c r="U950" s="124"/>
      <c r="V950" s="11"/>
      <c r="W950" s="124"/>
      <c r="X950" s="128"/>
      <c r="Y950" s="129"/>
    </row>
    <row r="951" spans="14:25" x14ac:dyDescent="0.25">
      <c r="N951" s="125"/>
      <c r="O951" s="125"/>
      <c r="P951" s="126"/>
      <c r="Q951" s="62"/>
      <c r="R951" s="62"/>
      <c r="S951" s="127"/>
      <c r="T951" s="11"/>
      <c r="U951" s="124"/>
      <c r="V951" s="11"/>
      <c r="W951" s="124"/>
      <c r="X951" s="128"/>
      <c r="Y951" s="129"/>
    </row>
    <row r="952" spans="14:25" x14ac:dyDescent="0.25">
      <c r="N952" s="125"/>
      <c r="O952" s="125"/>
      <c r="P952" s="126"/>
      <c r="Q952" s="62"/>
      <c r="R952" s="62"/>
      <c r="S952" s="127"/>
      <c r="T952" s="11"/>
      <c r="U952" s="124"/>
      <c r="V952" s="11"/>
      <c r="W952" s="124"/>
      <c r="X952" s="128"/>
      <c r="Y952" s="129"/>
    </row>
    <row r="953" spans="14:25" x14ac:dyDescent="0.25">
      <c r="N953" s="125"/>
      <c r="O953" s="125"/>
      <c r="P953" s="126"/>
      <c r="Q953" s="62"/>
      <c r="R953" s="62"/>
      <c r="S953" s="127"/>
      <c r="T953" s="11"/>
      <c r="U953" s="124"/>
      <c r="V953" s="11"/>
      <c r="W953" s="124"/>
      <c r="X953" s="128"/>
      <c r="Y953" s="129"/>
    </row>
    <row r="954" spans="14:25" x14ac:dyDescent="0.25">
      <c r="N954" s="125"/>
      <c r="O954" s="125"/>
      <c r="P954" s="126"/>
      <c r="Q954" s="62"/>
      <c r="R954" s="62"/>
      <c r="S954" s="127"/>
      <c r="T954" s="11"/>
      <c r="U954" s="124"/>
      <c r="V954" s="11"/>
      <c r="W954" s="124"/>
      <c r="X954" s="128"/>
      <c r="Y954" s="129"/>
    </row>
    <row r="955" spans="14:25" x14ac:dyDescent="0.25">
      <c r="N955" s="125"/>
      <c r="O955" s="125"/>
      <c r="P955" s="126"/>
      <c r="Q955" s="62"/>
      <c r="R955" s="62"/>
      <c r="S955" s="127"/>
      <c r="T955" s="11"/>
      <c r="U955" s="124"/>
      <c r="V955" s="11"/>
      <c r="W955" s="124"/>
      <c r="X955" s="128"/>
      <c r="Y955" s="129"/>
    </row>
    <row r="956" spans="14:25" x14ac:dyDescent="0.25">
      <c r="N956" s="125"/>
      <c r="O956" s="125"/>
      <c r="P956" s="126"/>
      <c r="Q956" s="62"/>
      <c r="R956" s="62"/>
      <c r="S956" s="127"/>
      <c r="T956" s="11"/>
      <c r="U956" s="124"/>
      <c r="V956" s="11"/>
      <c r="W956" s="124"/>
      <c r="X956" s="128"/>
      <c r="Y956" s="129"/>
    </row>
    <row r="957" spans="14:25" x14ac:dyDescent="0.25">
      <c r="N957" s="125"/>
      <c r="O957" s="125"/>
      <c r="P957" s="126"/>
      <c r="Q957" s="62"/>
      <c r="R957" s="62"/>
      <c r="S957" s="127"/>
      <c r="T957" s="11"/>
      <c r="U957" s="124"/>
      <c r="V957" s="11"/>
      <c r="W957" s="124"/>
      <c r="X957" s="128"/>
      <c r="Y957" s="129"/>
    </row>
    <row r="958" spans="14:25" x14ac:dyDescent="0.25">
      <c r="N958" s="125"/>
      <c r="O958" s="125"/>
      <c r="P958" s="126"/>
      <c r="Q958" s="62"/>
      <c r="R958" s="62"/>
      <c r="S958" s="127"/>
      <c r="T958" s="11"/>
      <c r="U958" s="124"/>
      <c r="V958" s="11"/>
      <c r="W958" s="124"/>
      <c r="X958" s="128"/>
      <c r="Y958" s="129"/>
    </row>
    <row r="959" spans="14:25" x14ac:dyDescent="0.25">
      <c r="N959" s="125"/>
      <c r="O959" s="125"/>
      <c r="P959" s="126"/>
      <c r="Q959" s="62"/>
      <c r="R959" s="62"/>
      <c r="S959" s="127"/>
      <c r="T959" s="11"/>
      <c r="U959" s="124"/>
      <c r="V959" s="11"/>
      <c r="W959" s="124"/>
      <c r="X959" s="128"/>
      <c r="Y959" s="129"/>
    </row>
    <row r="960" spans="14:25" x14ac:dyDescent="0.25">
      <c r="N960" s="125"/>
      <c r="O960" s="125"/>
      <c r="P960" s="126"/>
      <c r="Q960" s="62"/>
      <c r="R960" s="62"/>
      <c r="S960" s="127"/>
      <c r="T960" s="11"/>
      <c r="U960" s="124"/>
      <c r="V960" s="11"/>
      <c r="W960" s="124"/>
      <c r="X960" s="128"/>
      <c r="Y960" s="129"/>
    </row>
    <row r="961" spans="14:25" x14ac:dyDescent="0.25">
      <c r="N961" s="125"/>
      <c r="O961" s="125"/>
      <c r="P961" s="126"/>
      <c r="Q961" s="62"/>
      <c r="R961" s="62"/>
      <c r="S961" s="127"/>
      <c r="T961" s="11"/>
      <c r="U961" s="124"/>
      <c r="V961" s="11"/>
      <c r="W961" s="124"/>
      <c r="X961" s="128"/>
      <c r="Y961" s="129"/>
    </row>
    <row r="962" spans="14:25" x14ac:dyDescent="0.25">
      <c r="N962" s="125"/>
      <c r="O962" s="125"/>
      <c r="P962" s="126"/>
      <c r="Q962" s="62"/>
      <c r="R962" s="62"/>
      <c r="S962" s="127"/>
      <c r="T962" s="11"/>
      <c r="U962" s="124"/>
      <c r="V962" s="11"/>
      <c r="W962" s="124"/>
      <c r="X962" s="128"/>
      <c r="Y962" s="129"/>
    </row>
    <row r="963" spans="14:25" x14ac:dyDescent="0.25">
      <c r="N963" s="125"/>
      <c r="O963" s="125"/>
      <c r="P963" s="126"/>
      <c r="Q963" s="62"/>
      <c r="R963" s="62"/>
      <c r="S963" s="127"/>
      <c r="T963" s="11"/>
      <c r="U963" s="124"/>
      <c r="V963" s="11"/>
      <c r="W963" s="124"/>
      <c r="X963" s="128"/>
      <c r="Y963" s="129"/>
    </row>
    <row r="964" spans="14:25" x14ac:dyDescent="0.25">
      <c r="N964" s="125"/>
      <c r="O964" s="125"/>
      <c r="P964" s="126"/>
      <c r="Q964" s="62"/>
      <c r="R964" s="62"/>
      <c r="S964" s="127"/>
      <c r="T964" s="11"/>
      <c r="U964" s="124"/>
      <c r="V964" s="11"/>
      <c r="W964" s="124"/>
      <c r="X964" s="128"/>
      <c r="Y964" s="129"/>
    </row>
    <row r="965" spans="14:25" x14ac:dyDescent="0.25">
      <c r="N965" s="125"/>
      <c r="O965" s="125"/>
      <c r="P965" s="126"/>
      <c r="Q965" s="62"/>
      <c r="R965" s="62"/>
      <c r="S965" s="127"/>
      <c r="T965" s="11"/>
      <c r="U965" s="124"/>
      <c r="V965" s="11"/>
      <c r="W965" s="124"/>
      <c r="X965" s="128"/>
      <c r="Y965" s="129"/>
    </row>
    <row r="966" spans="14:25" x14ac:dyDescent="0.25">
      <c r="N966" s="125"/>
      <c r="O966" s="125"/>
      <c r="P966" s="126"/>
      <c r="Q966" s="62"/>
      <c r="R966" s="62"/>
      <c r="S966" s="127"/>
      <c r="T966" s="11"/>
      <c r="U966" s="124"/>
      <c r="V966" s="11"/>
      <c r="W966" s="124"/>
      <c r="X966" s="128"/>
      <c r="Y966" s="129"/>
    </row>
    <row r="967" spans="14:25" x14ac:dyDescent="0.25">
      <c r="N967" s="125"/>
      <c r="O967" s="125"/>
      <c r="P967" s="126"/>
      <c r="Q967" s="62"/>
      <c r="R967" s="62"/>
      <c r="S967" s="127"/>
      <c r="T967" s="11"/>
      <c r="U967" s="124"/>
      <c r="V967" s="11"/>
      <c r="W967" s="124"/>
      <c r="X967" s="128"/>
      <c r="Y967" s="129"/>
    </row>
    <row r="968" spans="14:25" x14ac:dyDescent="0.25">
      <c r="N968" s="125"/>
      <c r="O968" s="125"/>
      <c r="P968" s="126"/>
      <c r="Q968" s="62"/>
      <c r="R968" s="62"/>
      <c r="S968" s="127"/>
      <c r="T968" s="11"/>
      <c r="U968" s="124"/>
      <c r="V968" s="11"/>
      <c r="W968" s="124"/>
      <c r="X968" s="128"/>
      <c r="Y968" s="129"/>
    </row>
    <row r="969" spans="14:25" x14ac:dyDescent="0.25">
      <c r="N969" s="125"/>
      <c r="O969" s="125"/>
      <c r="P969" s="126"/>
      <c r="Q969" s="62"/>
      <c r="R969" s="62"/>
      <c r="S969" s="127"/>
      <c r="T969" s="11"/>
      <c r="U969" s="124"/>
      <c r="V969" s="11"/>
      <c r="W969" s="124"/>
      <c r="X969" s="128"/>
      <c r="Y969" s="129"/>
    </row>
    <row r="970" spans="14:25" x14ac:dyDescent="0.25">
      <c r="N970" s="125"/>
      <c r="O970" s="125"/>
      <c r="P970" s="126"/>
      <c r="Q970" s="62"/>
      <c r="R970" s="62"/>
      <c r="S970" s="127"/>
      <c r="T970" s="11"/>
      <c r="U970" s="124"/>
      <c r="V970" s="11"/>
      <c r="W970" s="124"/>
      <c r="X970" s="128"/>
      <c r="Y970" s="129"/>
    </row>
    <row r="971" spans="14:25" x14ac:dyDescent="0.25">
      <c r="N971" s="125"/>
      <c r="O971" s="125"/>
      <c r="P971" s="126"/>
      <c r="Q971" s="62"/>
      <c r="R971" s="62"/>
      <c r="S971" s="127"/>
      <c r="T971" s="11"/>
      <c r="U971" s="124"/>
      <c r="V971" s="11"/>
      <c r="W971" s="124"/>
      <c r="X971" s="128"/>
      <c r="Y971" s="129"/>
    </row>
    <row r="972" spans="14:25" x14ac:dyDescent="0.25">
      <c r="N972" s="125"/>
      <c r="O972" s="125"/>
      <c r="P972" s="126"/>
      <c r="Q972" s="62"/>
      <c r="R972" s="62"/>
      <c r="S972" s="127"/>
      <c r="T972" s="11"/>
      <c r="U972" s="124"/>
      <c r="V972" s="11"/>
      <c r="W972" s="124"/>
      <c r="X972" s="128"/>
      <c r="Y972" s="129"/>
    </row>
    <row r="973" spans="14:25" x14ac:dyDescent="0.25">
      <c r="N973" s="125"/>
      <c r="O973" s="125"/>
      <c r="P973" s="126"/>
      <c r="Q973" s="62"/>
      <c r="R973" s="62"/>
      <c r="S973" s="127"/>
      <c r="T973" s="11"/>
      <c r="U973" s="124"/>
      <c r="V973" s="11"/>
      <c r="W973" s="124"/>
      <c r="X973" s="128"/>
      <c r="Y973" s="129"/>
    </row>
    <row r="974" spans="14:25" x14ac:dyDescent="0.25">
      <c r="N974" s="125"/>
      <c r="O974" s="125"/>
      <c r="P974" s="126"/>
      <c r="Q974" s="62"/>
      <c r="R974" s="62"/>
      <c r="S974" s="127"/>
      <c r="T974" s="11"/>
      <c r="U974" s="124"/>
      <c r="V974" s="11"/>
      <c r="W974" s="124"/>
      <c r="X974" s="128"/>
      <c r="Y974" s="129"/>
    </row>
    <row r="975" spans="14:25" x14ac:dyDescent="0.25">
      <c r="N975" s="125"/>
      <c r="O975" s="125"/>
      <c r="P975" s="126"/>
      <c r="Q975" s="62"/>
      <c r="R975" s="62"/>
      <c r="S975" s="127"/>
      <c r="T975" s="11"/>
      <c r="U975" s="124"/>
      <c r="V975" s="11"/>
      <c r="W975" s="124"/>
      <c r="X975" s="128"/>
      <c r="Y975" s="129"/>
    </row>
    <row r="976" spans="14:25" x14ac:dyDescent="0.25">
      <c r="N976" s="125"/>
      <c r="O976" s="125"/>
      <c r="P976" s="126"/>
      <c r="Q976" s="62"/>
      <c r="R976" s="62"/>
      <c r="S976" s="127"/>
      <c r="T976" s="11"/>
      <c r="U976" s="124"/>
      <c r="V976" s="11"/>
      <c r="W976" s="124"/>
      <c r="X976" s="128"/>
      <c r="Y976" s="129"/>
    </row>
    <row r="977" spans="14:25" x14ac:dyDescent="0.25">
      <c r="N977" s="125"/>
      <c r="O977" s="125"/>
      <c r="P977" s="126"/>
      <c r="Q977" s="62"/>
      <c r="R977" s="62"/>
      <c r="S977" s="127"/>
      <c r="T977" s="11"/>
      <c r="U977" s="124"/>
      <c r="V977" s="11"/>
      <c r="W977" s="124"/>
      <c r="X977" s="128"/>
      <c r="Y977" s="129"/>
    </row>
    <row r="978" spans="14:25" x14ac:dyDescent="0.25">
      <c r="N978" s="125"/>
      <c r="O978" s="125"/>
      <c r="P978" s="126"/>
      <c r="Q978" s="62"/>
      <c r="R978" s="62"/>
      <c r="S978" s="127"/>
      <c r="T978" s="11"/>
      <c r="U978" s="124"/>
      <c r="V978" s="11"/>
      <c r="W978" s="124"/>
      <c r="X978" s="128"/>
      <c r="Y978" s="129"/>
    </row>
    <row r="979" spans="14:25" x14ac:dyDescent="0.25">
      <c r="N979" s="125"/>
      <c r="O979" s="125"/>
      <c r="P979" s="126"/>
      <c r="Q979" s="62"/>
      <c r="R979" s="62"/>
      <c r="S979" s="127"/>
      <c r="T979" s="11"/>
      <c r="U979" s="124"/>
      <c r="V979" s="11"/>
      <c r="W979" s="124"/>
      <c r="X979" s="128"/>
      <c r="Y979" s="129"/>
    </row>
    <row r="980" spans="14:25" x14ac:dyDescent="0.25">
      <c r="N980" s="125"/>
      <c r="O980" s="125"/>
      <c r="P980" s="126"/>
      <c r="Q980" s="62"/>
      <c r="R980" s="62"/>
      <c r="S980" s="127"/>
      <c r="T980" s="11"/>
      <c r="U980" s="124"/>
      <c r="V980" s="11"/>
      <c r="W980" s="124"/>
      <c r="X980" s="128"/>
      <c r="Y980" s="129"/>
    </row>
    <row r="981" spans="14:25" x14ac:dyDescent="0.25">
      <c r="N981" s="125"/>
      <c r="O981" s="125"/>
      <c r="P981" s="126"/>
      <c r="Q981" s="62"/>
      <c r="R981" s="62"/>
      <c r="S981" s="127"/>
      <c r="T981" s="11"/>
      <c r="U981" s="124"/>
      <c r="V981" s="11"/>
      <c r="W981" s="124"/>
      <c r="X981" s="128"/>
      <c r="Y981" s="129"/>
    </row>
    <row r="982" spans="14:25" x14ac:dyDescent="0.25">
      <c r="N982" s="125"/>
      <c r="O982" s="125"/>
      <c r="P982" s="126"/>
      <c r="Q982" s="62"/>
      <c r="R982" s="62"/>
      <c r="S982" s="127"/>
      <c r="T982" s="11"/>
      <c r="U982" s="124"/>
      <c r="V982" s="11"/>
      <c r="W982" s="124"/>
      <c r="X982" s="128"/>
      <c r="Y982" s="129"/>
    </row>
    <row r="983" spans="14:25" x14ac:dyDescent="0.25">
      <c r="N983" s="125"/>
      <c r="O983" s="125"/>
      <c r="P983" s="126"/>
      <c r="Q983" s="62"/>
      <c r="R983" s="62"/>
      <c r="S983" s="127"/>
      <c r="T983" s="11"/>
      <c r="U983" s="124"/>
      <c r="V983" s="11"/>
      <c r="W983" s="124"/>
      <c r="X983" s="128"/>
      <c r="Y983" s="129"/>
    </row>
    <row r="984" spans="14:25" x14ac:dyDescent="0.25">
      <c r="N984" s="125"/>
      <c r="O984" s="125"/>
      <c r="P984" s="126"/>
      <c r="Q984" s="62"/>
      <c r="R984" s="62"/>
      <c r="S984" s="127"/>
      <c r="T984" s="11"/>
      <c r="U984" s="124"/>
      <c r="V984" s="11"/>
      <c r="W984" s="124"/>
      <c r="X984" s="128"/>
      <c r="Y984" s="129"/>
    </row>
    <row r="985" spans="14:25" x14ac:dyDescent="0.25">
      <c r="N985" s="125"/>
      <c r="O985" s="125"/>
      <c r="P985" s="126"/>
      <c r="Q985" s="62"/>
      <c r="R985" s="62"/>
      <c r="S985" s="127"/>
      <c r="T985" s="11"/>
      <c r="U985" s="124"/>
      <c r="V985" s="11"/>
      <c r="W985" s="124"/>
      <c r="X985" s="128"/>
      <c r="Y985" s="129"/>
    </row>
    <row r="986" spans="14:25" x14ac:dyDescent="0.25">
      <c r="N986" s="125"/>
      <c r="O986" s="125"/>
      <c r="P986" s="126"/>
      <c r="Q986" s="62"/>
      <c r="R986" s="62"/>
      <c r="S986" s="127"/>
      <c r="T986" s="11"/>
      <c r="U986" s="124"/>
      <c r="V986" s="11"/>
      <c r="W986" s="124"/>
      <c r="X986" s="128"/>
      <c r="Y986" s="129"/>
    </row>
    <row r="987" spans="14:25" x14ac:dyDescent="0.25">
      <c r="N987" s="125"/>
      <c r="O987" s="125"/>
      <c r="P987" s="126"/>
      <c r="Q987" s="62"/>
      <c r="R987" s="62"/>
      <c r="S987" s="127"/>
      <c r="T987" s="11"/>
      <c r="U987" s="124"/>
      <c r="V987" s="11"/>
      <c r="W987" s="124"/>
      <c r="X987" s="128"/>
      <c r="Y987" s="129"/>
    </row>
    <row r="988" spans="14:25" x14ac:dyDescent="0.25">
      <c r="N988" s="125"/>
      <c r="O988" s="125"/>
      <c r="P988" s="126"/>
      <c r="Q988" s="62"/>
      <c r="R988" s="62"/>
      <c r="S988" s="127"/>
      <c r="T988" s="11"/>
      <c r="U988" s="124"/>
      <c r="V988" s="11"/>
      <c r="W988" s="124"/>
      <c r="X988" s="128"/>
      <c r="Y988" s="129"/>
    </row>
    <row r="989" spans="14:25" x14ac:dyDescent="0.25">
      <c r="N989" s="125"/>
      <c r="O989" s="125"/>
      <c r="P989" s="126"/>
      <c r="Q989" s="62"/>
      <c r="R989" s="62"/>
      <c r="S989" s="127"/>
      <c r="T989" s="11"/>
      <c r="U989" s="124"/>
      <c r="V989" s="11"/>
      <c r="W989" s="124"/>
      <c r="X989" s="128"/>
      <c r="Y989" s="129"/>
    </row>
    <row r="990" spans="14:25" x14ac:dyDescent="0.25">
      <c r="N990" s="125"/>
      <c r="O990" s="125"/>
      <c r="P990" s="126"/>
      <c r="Q990" s="62"/>
      <c r="R990" s="62"/>
      <c r="S990" s="127"/>
      <c r="T990" s="11"/>
      <c r="U990" s="124"/>
      <c r="V990" s="11"/>
      <c r="W990" s="124"/>
      <c r="X990" s="128"/>
      <c r="Y990" s="129"/>
    </row>
    <row r="991" spans="14:25" x14ac:dyDescent="0.25">
      <c r="N991" s="125"/>
      <c r="O991" s="125"/>
      <c r="P991" s="126"/>
      <c r="Q991" s="62"/>
      <c r="R991" s="62"/>
      <c r="S991" s="127"/>
      <c r="T991" s="11"/>
      <c r="U991" s="124"/>
      <c r="V991" s="11"/>
      <c r="W991" s="124"/>
      <c r="X991" s="128"/>
      <c r="Y991" s="129"/>
    </row>
    <row r="992" spans="14:25" x14ac:dyDescent="0.25">
      <c r="N992" s="125"/>
      <c r="O992" s="125"/>
      <c r="P992" s="126"/>
      <c r="Q992" s="62"/>
      <c r="R992" s="62"/>
      <c r="S992" s="127"/>
      <c r="T992" s="11"/>
      <c r="U992" s="124"/>
      <c r="V992" s="11"/>
      <c r="W992" s="124"/>
      <c r="X992" s="128"/>
      <c r="Y992" s="129"/>
    </row>
    <row r="993" spans="14:25" x14ac:dyDescent="0.25">
      <c r="N993" s="125"/>
      <c r="O993" s="125"/>
      <c r="P993" s="126"/>
      <c r="Q993" s="62"/>
      <c r="R993" s="62"/>
      <c r="S993" s="127"/>
      <c r="T993" s="11"/>
      <c r="U993" s="124"/>
      <c r="V993" s="11"/>
      <c r="W993" s="124"/>
      <c r="X993" s="128"/>
      <c r="Y993" s="129"/>
    </row>
    <row r="994" spans="14:25" x14ac:dyDescent="0.25">
      <c r="N994" s="125"/>
      <c r="O994" s="125"/>
      <c r="P994" s="126"/>
      <c r="Q994" s="62"/>
      <c r="R994" s="62"/>
      <c r="S994" s="127"/>
      <c r="T994" s="11"/>
      <c r="U994" s="124"/>
      <c r="V994" s="11"/>
      <c r="W994" s="124"/>
      <c r="X994" s="128"/>
      <c r="Y994" s="129"/>
    </row>
    <row r="995" spans="14:25" x14ac:dyDescent="0.25">
      <c r="N995" s="125"/>
      <c r="O995" s="125"/>
      <c r="P995" s="126"/>
      <c r="Q995" s="62"/>
      <c r="R995" s="62"/>
      <c r="S995" s="127"/>
      <c r="T995" s="11"/>
      <c r="U995" s="124"/>
      <c r="V995" s="11"/>
      <c r="W995" s="124"/>
      <c r="X995" s="128"/>
      <c r="Y995" s="129"/>
    </row>
    <row r="996" spans="14:25" x14ac:dyDescent="0.25">
      <c r="N996" s="125"/>
      <c r="O996" s="125"/>
      <c r="P996" s="126"/>
      <c r="Q996" s="62"/>
      <c r="R996" s="62"/>
      <c r="S996" s="127"/>
      <c r="T996" s="11"/>
      <c r="U996" s="124"/>
      <c r="V996" s="11"/>
      <c r="W996" s="124"/>
      <c r="X996" s="128"/>
      <c r="Y996" s="129"/>
    </row>
    <row r="997" spans="14:25" x14ac:dyDescent="0.25">
      <c r="N997" s="125"/>
      <c r="O997" s="125"/>
      <c r="P997" s="126"/>
      <c r="Q997" s="62"/>
      <c r="R997" s="62"/>
      <c r="S997" s="127"/>
      <c r="T997" s="11"/>
      <c r="U997" s="124"/>
      <c r="V997" s="11"/>
      <c r="W997" s="124"/>
      <c r="X997" s="128"/>
      <c r="Y997" s="129"/>
    </row>
    <row r="998" spans="14:25" x14ac:dyDescent="0.25">
      <c r="N998" s="125"/>
      <c r="O998" s="125"/>
      <c r="P998" s="126"/>
      <c r="Q998" s="62"/>
      <c r="R998" s="62"/>
      <c r="S998" s="127"/>
      <c r="T998" s="11"/>
      <c r="U998" s="124"/>
      <c r="V998" s="11"/>
      <c r="W998" s="124"/>
      <c r="X998" s="128"/>
      <c r="Y998" s="129"/>
    </row>
    <row r="999" spans="14:25" x14ac:dyDescent="0.25">
      <c r="N999" s="125"/>
      <c r="O999" s="125"/>
      <c r="P999" s="126"/>
      <c r="Q999" s="62"/>
      <c r="R999" s="62"/>
      <c r="S999" s="127"/>
      <c r="T999" s="11"/>
      <c r="U999" s="124"/>
      <c r="V999" s="11"/>
      <c r="W999" s="124"/>
      <c r="X999" s="128"/>
      <c r="Y999" s="129"/>
    </row>
    <row r="1000" spans="14:25" x14ac:dyDescent="0.25">
      <c r="N1000" s="125"/>
      <c r="O1000" s="125"/>
      <c r="P1000" s="126"/>
      <c r="Q1000" s="62"/>
      <c r="R1000" s="62"/>
      <c r="S1000" s="127"/>
      <c r="T1000" s="11"/>
      <c r="U1000" s="124"/>
      <c r="V1000" s="11"/>
      <c r="W1000" s="124"/>
      <c r="X1000" s="128"/>
      <c r="Y1000" s="129"/>
    </row>
    <row r="1001" spans="14:25" x14ac:dyDescent="0.25">
      <c r="N1001" s="125"/>
      <c r="O1001" s="125"/>
      <c r="P1001" s="126"/>
      <c r="Q1001" s="62"/>
      <c r="R1001" s="62"/>
      <c r="S1001" s="127"/>
      <c r="T1001" s="11"/>
      <c r="U1001" s="124"/>
      <c r="V1001" s="11"/>
      <c r="W1001" s="124"/>
      <c r="X1001" s="128"/>
      <c r="Y1001" s="129"/>
    </row>
    <row r="1002" spans="14:25" x14ac:dyDescent="0.25">
      <c r="N1002" s="125"/>
      <c r="O1002" s="125"/>
      <c r="P1002" s="126"/>
      <c r="Q1002" s="62"/>
      <c r="R1002" s="62"/>
      <c r="S1002" s="127"/>
      <c r="T1002" s="11"/>
      <c r="U1002" s="124"/>
      <c r="V1002" s="11"/>
      <c r="W1002" s="124"/>
      <c r="X1002" s="128"/>
      <c r="Y1002" s="129"/>
    </row>
    <row r="1003" spans="14:25" x14ac:dyDescent="0.25">
      <c r="N1003" s="125"/>
      <c r="O1003" s="125"/>
      <c r="P1003" s="126"/>
      <c r="Q1003" s="62"/>
      <c r="R1003" s="62"/>
      <c r="S1003" s="127"/>
      <c r="T1003" s="11"/>
      <c r="U1003" s="124"/>
      <c r="V1003" s="11"/>
      <c r="W1003" s="124"/>
      <c r="X1003" s="128"/>
      <c r="Y1003" s="129"/>
    </row>
    <row r="1004" spans="14:25" x14ac:dyDescent="0.25">
      <c r="N1004" s="125"/>
      <c r="O1004" s="125"/>
      <c r="P1004" s="126"/>
      <c r="Q1004" s="62"/>
      <c r="R1004" s="62"/>
      <c r="S1004" s="127"/>
      <c r="T1004" s="11"/>
      <c r="U1004" s="124"/>
      <c r="V1004" s="11"/>
      <c r="W1004" s="124"/>
      <c r="X1004" s="128"/>
      <c r="Y1004" s="129"/>
    </row>
    <row r="1005" spans="14:25" x14ac:dyDescent="0.25">
      <c r="N1005" s="125"/>
      <c r="O1005" s="125"/>
      <c r="P1005" s="126"/>
      <c r="Q1005" s="62"/>
      <c r="R1005" s="62"/>
      <c r="S1005" s="127"/>
      <c r="T1005" s="11"/>
      <c r="U1005" s="124"/>
      <c r="V1005" s="11"/>
      <c r="W1005" s="124"/>
      <c r="X1005" s="128"/>
      <c r="Y1005" s="129"/>
    </row>
    <row r="1006" spans="14:25" x14ac:dyDescent="0.25">
      <c r="N1006" s="125"/>
      <c r="O1006" s="125"/>
      <c r="P1006" s="126"/>
      <c r="Q1006" s="62"/>
      <c r="R1006" s="62"/>
      <c r="S1006" s="127"/>
      <c r="T1006" s="11"/>
      <c r="U1006" s="124"/>
      <c r="V1006" s="11"/>
      <c r="W1006" s="124"/>
      <c r="X1006" s="128"/>
      <c r="Y1006" s="129"/>
    </row>
    <row r="1007" spans="14:25" x14ac:dyDescent="0.25">
      <c r="N1007" s="125"/>
      <c r="O1007" s="125"/>
      <c r="P1007" s="126"/>
      <c r="Q1007" s="62"/>
      <c r="R1007" s="62"/>
      <c r="S1007" s="127"/>
      <c r="T1007" s="11"/>
      <c r="U1007" s="124"/>
      <c r="V1007" s="11"/>
      <c r="W1007" s="124"/>
      <c r="X1007" s="128"/>
      <c r="Y1007" s="129"/>
    </row>
    <row r="1008" spans="14:25" x14ac:dyDescent="0.25">
      <c r="N1008" s="125"/>
      <c r="O1008" s="125"/>
      <c r="P1008" s="126"/>
      <c r="Q1008" s="62"/>
      <c r="R1008" s="62"/>
      <c r="S1008" s="127"/>
      <c r="T1008" s="11"/>
      <c r="U1008" s="124"/>
      <c r="V1008" s="11"/>
      <c r="W1008" s="124"/>
      <c r="X1008" s="128"/>
      <c r="Y1008" s="129"/>
    </row>
    <row r="1009" spans="14:25" x14ac:dyDescent="0.25">
      <c r="N1009" s="125"/>
      <c r="O1009" s="125"/>
      <c r="P1009" s="126"/>
      <c r="Q1009" s="62"/>
      <c r="R1009" s="62"/>
      <c r="S1009" s="127"/>
      <c r="T1009" s="11"/>
      <c r="U1009" s="124"/>
      <c r="V1009" s="11"/>
      <c r="W1009" s="124"/>
      <c r="X1009" s="128"/>
      <c r="Y1009" s="129"/>
    </row>
    <row r="1010" spans="14:25" x14ac:dyDescent="0.25">
      <c r="N1010" s="125"/>
      <c r="O1010" s="125"/>
      <c r="P1010" s="126"/>
      <c r="Q1010" s="62"/>
      <c r="R1010" s="62"/>
      <c r="S1010" s="127"/>
      <c r="T1010" s="11"/>
      <c r="U1010" s="124"/>
      <c r="V1010" s="11"/>
      <c r="W1010" s="124"/>
      <c r="X1010" s="128"/>
      <c r="Y1010" s="129"/>
    </row>
    <row r="1011" spans="14:25" x14ac:dyDescent="0.25">
      <c r="N1011" s="125"/>
      <c r="O1011" s="125"/>
      <c r="P1011" s="126"/>
      <c r="Q1011" s="62"/>
      <c r="R1011" s="62"/>
      <c r="S1011" s="127"/>
      <c r="T1011" s="11"/>
      <c r="U1011" s="124"/>
      <c r="V1011" s="11"/>
      <c r="W1011" s="124"/>
      <c r="X1011" s="128"/>
      <c r="Y1011" s="129"/>
    </row>
    <row r="1012" spans="14:25" x14ac:dyDescent="0.25">
      <c r="N1012" s="125"/>
      <c r="O1012" s="125"/>
      <c r="P1012" s="126"/>
      <c r="Q1012" s="62"/>
      <c r="R1012" s="62"/>
      <c r="S1012" s="127"/>
      <c r="T1012" s="11"/>
      <c r="U1012" s="124"/>
      <c r="V1012" s="11"/>
      <c r="W1012" s="124"/>
      <c r="X1012" s="128"/>
      <c r="Y1012" s="129"/>
    </row>
    <row r="1013" spans="14:25" x14ac:dyDescent="0.25">
      <c r="N1013" s="125"/>
      <c r="O1013" s="125"/>
      <c r="P1013" s="126"/>
      <c r="Q1013" s="62"/>
      <c r="R1013" s="62"/>
      <c r="S1013" s="127"/>
      <c r="T1013" s="11"/>
      <c r="U1013" s="124"/>
      <c r="V1013" s="11"/>
      <c r="W1013" s="124"/>
      <c r="X1013" s="128"/>
      <c r="Y1013" s="129"/>
    </row>
    <row r="1014" spans="14:25" x14ac:dyDescent="0.25">
      <c r="N1014" s="125"/>
      <c r="O1014" s="125"/>
      <c r="P1014" s="126"/>
      <c r="Q1014" s="62"/>
      <c r="R1014" s="62"/>
      <c r="S1014" s="127"/>
      <c r="T1014" s="11"/>
      <c r="U1014" s="124"/>
      <c r="V1014" s="11"/>
      <c r="W1014" s="124"/>
      <c r="X1014" s="128"/>
      <c r="Y1014" s="129"/>
    </row>
    <row r="1015" spans="14:25" x14ac:dyDescent="0.25">
      <c r="N1015" s="125"/>
      <c r="O1015" s="125"/>
      <c r="P1015" s="126"/>
      <c r="Q1015" s="62"/>
      <c r="R1015" s="62"/>
      <c r="S1015" s="127"/>
      <c r="T1015" s="11"/>
      <c r="U1015" s="124"/>
      <c r="V1015" s="11"/>
      <c r="W1015" s="124"/>
      <c r="X1015" s="128"/>
      <c r="Y1015" s="129"/>
    </row>
    <row r="1016" spans="14:25" x14ac:dyDescent="0.25">
      <c r="N1016" s="125"/>
      <c r="O1016" s="125"/>
      <c r="P1016" s="126"/>
      <c r="Q1016" s="62"/>
      <c r="R1016" s="62"/>
      <c r="S1016" s="127"/>
      <c r="T1016" s="11"/>
      <c r="U1016" s="124"/>
      <c r="V1016" s="11"/>
      <c r="W1016" s="124"/>
      <c r="X1016" s="128"/>
      <c r="Y1016" s="129"/>
    </row>
    <row r="1017" spans="14:25" x14ac:dyDescent="0.25">
      <c r="N1017" s="125"/>
      <c r="O1017" s="125"/>
      <c r="P1017" s="126"/>
      <c r="Q1017" s="62"/>
      <c r="R1017" s="62"/>
      <c r="S1017" s="127"/>
      <c r="T1017" s="11"/>
      <c r="U1017" s="124"/>
      <c r="V1017" s="11"/>
      <c r="W1017" s="124"/>
      <c r="X1017" s="128"/>
      <c r="Y1017" s="129"/>
    </row>
    <row r="1018" spans="14:25" x14ac:dyDescent="0.25">
      <c r="N1018" s="125"/>
      <c r="O1018" s="125"/>
      <c r="P1018" s="126"/>
      <c r="Q1018" s="62"/>
      <c r="R1018" s="62"/>
      <c r="S1018" s="127"/>
      <c r="T1018" s="11"/>
      <c r="U1018" s="124"/>
      <c r="V1018" s="11"/>
      <c r="W1018" s="124"/>
      <c r="X1018" s="128"/>
      <c r="Y1018" s="129"/>
    </row>
    <row r="1019" spans="14:25" x14ac:dyDescent="0.25">
      <c r="N1019" s="125"/>
      <c r="O1019" s="125"/>
      <c r="P1019" s="126"/>
      <c r="Q1019" s="62"/>
      <c r="R1019" s="62"/>
      <c r="S1019" s="127"/>
      <c r="T1019" s="11"/>
      <c r="U1019" s="124"/>
      <c r="V1019" s="11"/>
      <c r="W1019" s="124"/>
      <c r="X1019" s="128"/>
      <c r="Y1019" s="129"/>
    </row>
    <row r="1020" spans="14:25" x14ac:dyDescent="0.25">
      <c r="N1020" s="125"/>
      <c r="O1020" s="125"/>
      <c r="P1020" s="126"/>
      <c r="Q1020" s="62"/>
      <c r="R1020" s="62"/>
      <c r="S1020" s="127"/>
      <c r="T1020" s="11"/>
      <c r="U1020" s="124"/>
      <c r="V1020" s="11"/>
      <c r="W1020" s="124"/>
      <c r="X1020" s="128"/>
      <c r="Y1020" s="129"/>
    </row>
    <row r="1021" spans="14:25" x14ac:dyDescent="0.25">
      <c r="N1021" s="125"/>
      <c r="O1021" s="125"/>
      <c r="P1021" s="126"/>
      <c r="Q1021" s="62"/>
      <c r="R1021" s="62"/>
      <c r="S1021" s="127"/>
      <c r="T1021" s="11"/>
      <c r="U1021" s="124"/>
      <c r="V1021" s="11"/>
      <c r="W1021" s="124"/>
      <c r="X1021" s="128"/>
      <c r="Y1021" s="129"/>
    </row>
    <row r="1022" spans="14:25" x14ac:dyDescent="0.25">
      <c r="N1022" s="125"/>
      <c r="O1022" s="125"/>
      <c r="P1022" s="126"/>
      <c r="Q1022" s="62"/>
      <c r="R1022" s="62"/>
      <c r="S1022" s="127"/>
      <c r="T1022" s="11"/>
      <c r="U1022" s="124"/>
      <c r="V1022" s="11"/>
      <c r="W1022" s="124"/>
      <c r="X1022" s="128"/>
      <c r="Y1022" s="129"/>
    </row>
    <row r="1023" spans="14:25" x14ac:dyDescent="0.25">
      <c r="N1023" s="125"/>
      <c r="O1023" s="125"/>
      <c r="P1023" s="126"/>
      <c r="Q1023" s="62"/>
      <c r="R1023" s="62"/>
      <c r="S1023" s="127"/>
      <c r="T1023" s="11"/>
      <c r="U1023" s="124"/>
      <c r="V1023" s="11"/>
      <c r="W1023" s="124"/>
      <c r="X1023" s="128"/>
      <c r="Y1023" s="129"/>
    </row>
    <row r="1024" spans="14:25" x14ac:dyDescent="0.25">
      <c r="N1024" s="125"/>
      <c r="O1024" s="125"/>
      <c r="P1024" s="126"/>
      <c r="Q1024" s="62"/>
      <c r="R1024" s="62"/>
      <c r="S1024" s="127"/>
      <c r="T1024" s="11"/>
      <c r="U1024" s="124"/>
      <c r="V1024" s="11"/>
      <c r="W1024" s="124"/>
      <c r="X1024" s="128"/>
      <c r="Y1024" s="129"/>
    </row>
    <row r="1025" spans="14:25" x14ac:dyDescent="0.25">
      <c r="N1025" s="125"/>
      <c r="O1025" s="125"/>
      <c r="P1025" s="126"/>
      <c r="Q1025" s="62"/>
      <c r="R1025" s="62"/>
      <c r="S1025" s="127"/>
      <c r="T1025" s="11"/>
      <c r="U1025" s="124"/>
      <c r="V1025" s="11"/>
      <c r="W1025" s="124"/>
      <c r="X1025" s="128"/>
      <c r="Y1025" s="129"/>
    </row>
    <row r="1026" spans="14:25" x14ac:dyDescent="0.25">
      <c r="N1026" s="125"/>
      <c r="O1026" s="125"/>
      <c r="P1026" s="126"/>
      <c r="Q1026" s="62"/>
      <c r="R1026" s="62"/>
      <c r="S1026" s="127"/>
      <c r="T1026" s="11"/>
      <c r="U1026" s="124"/>
      <c r="V1026" s="11"/>
      <c r="W1026" s="124"/>
      <c r="X1026" s="128"/>
      <c r="Y1026" s="129"/>
    </row>
    <row r="1027" spans="14:25" x14ac:dyDescent="0.25">
      <c r="N1027" s="125"/>
      <c r="O1027" s="125"/>
      <c r="P1027" s="126"/>
      <c r="Q1027" s="62"/>
      <c r="R1027" s="62"/>
      <c r="S1027" s="127"/>
      <c r="T1027" s="11"/>
      <c r="U1027" s="124"/>
      <c r="V1027" s="11"/>
      <c r="W1027" s="124"/>
      <c r="X1027" s="128"/>
      <c r="Y1027" s="129"/>
    </row>
    <row r="1028" spans="14:25" x14ac:dyDescent="0.25">
      <c r="N1028" s="125"/>
      <c r="O1028" s="125"/>
      <c r="P1028" s="126"/>
      <c r="Q1028" s="62"/>
      <c r="R1028" s="62"/>
      <c r="S1028" s="127"/>
      <c r="T1028" s="11"/>
      <c r="U1028" s="124"/>
      <c r="V1028" s="11"/>
      <c r="W1028" s="124"/>
      <c r="X1028" s="128"/>
      <c r="Y1028" s="129"/>
    </row>
    <row r="1029" spans="14:25" x14ac:dyDescent="0.25">
      <c r="N1029" s="125"/>
      <c r="O1029" s="125"/>
      <c r="P1029" s="126"/>
      <c r="Q1029" s="62"/>
      <c r="R1029" s="62"/>
      <c r="S1029" s="127"/>
      <c r="T1029" s="11"/>
      <c r="U1029" s="124"/>
      <c r="V1029" s="11"/>
      <c r="W1029" s="124"/>
      <c r="X1029" s="128"/>
      <c r="Y1029" s="129"/>
    </row>
    <row r="1030" spans="14:25" x14ac:dyDescent="0.25">
      <c r="N1030" s="125"/>
      <c r="O1030" s="125"/>
      <c r="P1030" s="126"/>
      <c r="Q1030" s="62"/>
      <c r="R1030" s="62"/>
      <c r="S1030" s="127"/>
      <c r="T1030" s="11"/>
      <c r="U1030" s="124"/>
      <c r="V1030" s="11"/>
      <c r="W1030" s="124"/>
      <c r="X1030" s="128"/>
      <c r="Y1030" s="129"/>
    </row>
    <row r="1031" spans="14:25" x14ac:dyDescent="0.25">
      <c r="N1031" s="125"/>
      <c r="O1031" s="125"/>
      <c r="P1031" s="126"/>
      <c r="Q1031" s="62"/>
      <c r="R1031" s="62"/>
      <c r="S1031" s="127"/>
      <c r="T1031" s="11"/>
      <c r="U1031" s="124"/>
      <c r="V1031" s="11"/>
      <c r="W1031" s="124"/>
      <c r="X1031" s="128"/>
      <c r="Y1031" s="129"/>
    </row>
    <row r="1032" spans="14:25" x14ac:dyDescent="0.25">
      <c r="N1032" s="125"/>
      <c r="O1032" s="125"/>
      <c r="P1032" s="126"/>
      <c r="Q1032" s="62"/>
      <c r="R1032" s="62"/>
      <c r="S1032" s="127"/>
      <c r="T1032" s="11"/>
      <c r="U1032" s="124"/>
      <c r="V1032" s="11"/>
      <c r="W1032" s="124"/>
      <c r="X1032" s="128"/>
      <c r="Y1032" s="129"/>
    </row>
    <row r="1033" spans="14:25" x14ac:dyDescent="0.25">
      <c r="N1033" s="125"/>
      <c r="O1033" s="125"/>
      <c r="P1033" s="126"/>
      <c r="Q1033" s="62"/>
      <c r="R1033" s="62"/>
      <c r="S1033" s="127"/>
      <c r="T1033" s="11"/>
      <c r="U1033" s="124"/>
      <c r="V1033" s="11"/>
      <c r="W1033" s="124"/>
      <c r="X1033" s="128"/>
      <c r="Y1033" s="129"/>
    </row>
    <row r="1034" spans="14:25" x14ac:dyDescent="0.25">
      <c r="N1034" s="125"/>
      <c r="O1034" s="125"/>
      <c r="P1034" s="126"/>
      <c r="Q1034" s="62"/>
      <c r="R1034" s="62"/>
      <c r="S1034" s="127"/>
      <c r="T1034" s="11"/>
      <c r="U1034" s="124"/>
      <c r="V1034" s="11"/>
      <c r="W1034" s="124"/>
      <c r="X1034" s="128"/>
      <c r="Y1034" s="129"/>
    </row>
    <row r="1035" spans="14:25" x14ac:dyDescent="0.25">
      <c r="N1035" s="125"/>
      <c r="O1035" s="125"/>
      <c r="P1035" s="126"/>
      <c r="Q1035" s="62"/>
      <c r="R1035" s="62"/>
      <c r="S1035" s="127"/>
      <c r="T1035" s="11"/>
      <c r="U1035" s="124"/>
      <c r="V1035" s="11"/>
      <c r="W1035" s="124"/>
      <c r="X1035" s="128"/>
      <c r="Y1035" s="129"/>
    </row>
    <row r="1036" spans="14:25" x14ac:dyDescent="0.25">
      <c r="N1036" s="125"/>
      <c r="O1036" s="125"/>
      <c r="P1036" s="126"/>
      <c r="Q1036" s="62"/>
      <c r="R1036" s="62"/>
      <c r="S1036" s="127"/>
      <c r="T1036" s="11"/>
      <c r="U1036" s="124"/>
      <c r="V1036" s="11"/>
      <c r="W1036" s="124"/>
      <c r="X1036" s="128"/>
      <c r="Y1036" s="129"/>
    </row>
    <row r="1037" spans="14:25" x14ac:dyDescent="0.25">
      <c r="N1037" s="125"/>
      <c r="O1037" s="125"/>
      <c r="P1037" s="126"/>
      <c r="Q1037" s="62"/>
      <c r="R1037" s="62"/>
      <c r="S1037" s="127"/>
      <c r="T1037" s="11"/>
      <c r="U1037" s="124"/>
      <c r="V1037" s="11"/>
      <c r="W1037" s="124"/>
      <c r="X1037" s="128"/>
      <c r="Y1037" s="129"/>
    </row>
    <row r="1038" spans="14:25" x14ac:dyDescent="0.25">
      <c r="N1038" s="125"/>
      <c r="O1038" s="125"/>
      <c r="P1038" s="126"/>
      <c r="Q1038" s="62"/>
      <c r="R1038" s="62"/>
      <c r="S1038" s="127"/>
      <c r="T1038" s="11"/>
      <c r="U1038" s="124"/>
      <c r="V1038" s="11"/>
      <c r="W1038" s="124"/>
      <c r="X1038" s="128"/>
      <c r="Y1038" s="129"/>
    </row>
    <row r="1039" spans="14:25" x14ac:dyDescent="0.25">
      <c r="N1039" s="125"/>
      <c r="O1039" s="125"/>
      <c r="P1039" s="126"/>
      <c r="Q1039" s="62"/>
      <c r="R1039" s="62"/>
      <c r="S1039" s="127"/>
      <c r="T1039" s="11"/>
      <c r="U1039" s="124"/>
      <c r="V1039" s="11"/>
      <c r="W1039" s="124"/>
      <c r="X1039" s="128"/>
      <c r="Y1039" s="129"/>
    </row>
    <row r="1040" spans="14:25" x14ac:dyDescent="0.25">
      <c r="N1040" s="125"/>
      <c r="O1040" s="125"/>
      <c r="P1040" s="126"/>
      <c r="Q1040" s="62"/>
      <c r="R1040" s="62"/>
      <c r="S1040" s="127"/>
      <c r="T1040" s="11"/>
      <c r="U1040" s="124"/>
      <c r="V1040" s="11"/>
      <c r="W1040" s="124"/>
      <c r="X1040" s="128"/>
      <c r="Y1040" s="129"/>
    </row>
    <row r="1041" spans="14:25" x14ac:dyDescent="0.25">
      <c r="N1041" s="125"/>
      <c r="O1041" s="125"/>
      <c r="P1041" s="126"/>
      <c r="Q1041" s="62"/>
      <c r="R1041" s="62"/>
      <c r="S1041" s="127"/>
      <c r="T1041" s="11"/>
      <c r="U1041" s="124"/>
      <c r="V1041" s="11"/>
      <c r="W1041" s="124"/>
      <c r="X1041" s="128"/>
      <c r="Y1041" s="129"/>
    </row>
    <row r="1042" spans="14:25" x14ac:dyDescent="0.25">
      <c r="N1042" s="125"/>
      <c r="O1042" s="125"/>
      <c r="P1042" s="126"/>
      <c r="Q1042" s="62"/>
      <c r="R1042" s="62"/>
      <c r="S1042" s="127"/>
      <c r="T1042" s="11"/>
      <c r="U1042" s="124"/>
      <c r="V1042" s="11"/>
      <c r="W1042" s="124"/>
      <c r="X1042" s="128"/>
      <c r="Y1042" s="129"/>
    </row>
    <row r="1043" spans="14:25" x14ac:dyDescent="0.25">
      <c r="N1043" s="125"/>
      <c r="O1043" s="125"/>
      <c r="P1043" s="126"/>
      <c r="Q1043" s="62"/>
      <c r="R1043" s="62"/>
      <c r="S1043" s="127"/>
      <c r="T1043" s="11"/>
      <c r="U1043" s="124"/>
      <c r="V1043" s="11"/>
      <c r="W1043" s="124"/>
      <c r="X1043" s="128"/>
      <c r="Y1043" s="129"/>
    </row>
    <row r="1044" spans="14:25" x14ac:dyDescent="0.25">
      <c r="N1044" s="125"/>
      <c r="O1044" s="125"/>
      <c r="P1044" s="126"/>
      <c r="Q1044" s="62"/>
      <c r="R1044" s="62"/>
      <c r="S1044" s="127"/>
      <c r="T1044" s="11"/>
      <c r="U1044" s="124"/>
      <c r="V1044" s="11"/>
      <c r="W1044" s="124"/>
      <c r="X1044" s="128"/>
      <c r="Y1044" s="129"/>
    </row>
    <row r="1045" spans="14:25" x14ac:dyDescent="0.25">
      <c r="N1045" s="125"/>
      <c r="O1045" s="125"/>
      <c r="P1045" s="126"/>
      <c r="Q1045" s="62"/>
      <c r="R1045" s="62"/>
      <c r="S1045" s="127"/>
      <c r="T1045" s="11"/>
      <c r="U1045" s="124"/>
      <c r="V1045" s="11"/>
      <c r="W1045" s="124"/>
      <c r="X1045" s="128"/>
      <c r="Y1045" s="129"/>
    </row>
    <row r="1046" spans="14:25" x14ac:dyDescent="0.25">
      <c r="N1046" s="125"/>
      <c r="O1046" s="125"/>
      <c r="P1046" s="126"/>
      <c r="Q1046" s="62"/>
      <c r="R1046" s="62"/>
      <c r="S1046" s="127"/>
      <c r="T1046" s="11"/>
      <c r="U1046" s="124"/>
      <c r="V1046" s="11"/>
      <c r="W1046" s="124"/>
      <c r="X1046" s="128"/>
      <c r="Y1046" s="129"/>
    </row>
    <row r="1047" spans="14:25" x14ac:dyDescent="0.25">
      <c r="N1047" s="125"/>
      <c r="O1047" s="125"/>
      <c r="P1047" s="126"/>
      <c r="Q1047" s="62"/>
      <c r="R1047" s="62"/>
      <c r="S1047" s="127"/>
      <c r="T1047" s="11"/>
      <c r="U1047" s="124"/>
      <c r="V1047" s="11"/>
      <c r="W1047" s="124"/>
      <c r="X1047" s="128"/>
      <c r="Y1047" s="129"/>
    </row>
    <row r="1048" spans="14:25" x14ac:dyDescent="0.25">
      <c r="N1048" s="125"/>
      <c r="O1048" s="125"/>
      <c r="P1048" s="126"/>
      <c r="Q1048" s="62"/>
      <c r="R1048" s="62"/>
      <c r="S1048" s="127"/>
      <c r="T1048" s="11"/>
      <c r="U1048" s="124"/>
      <c r="V1048" s="11"/>
      <c r="W1048" s="124"/>
      <c r="X1048" s="128"/>
      <c r="Y1048" s="129"/>
    </row>
    <row r="1049" spans="14:25" x14ac:dyDescent="0.25">
      <c r="N1049" s="125"/>
      <c r="O1049" s="125"/>
      <c r="P1049" s="126"/>
      <c r="Q1049" s="62"/>
      <c r="R1049" s="62"/>
      <c r="S1049" s="127"/>
      <c r="T1049" s="11"/>
      <c r="U1049" s="124"/>
      <c r="V1049" s="11"/>
      <c r="W1049" s="124"/>
      <c r="X1049" s="128"/>
      <c r="Y1049" s="129"/>
    </row>
    <row r="1050" spans="14:25" x14ac:dyDescent="0.25">
      <c r="N1050" s="125"/>
      <c r="O1050" s="125"/>
      <c r="P1050" s="126"/>
      <c r="Q1050" s="62"/>
      <c r="R1050" s="62"/>
      <c r="S1050" s="127"/>
      <c r="T1050" s="11"/>
      <c r="U1050" s="124"/>
      <c r="V1050" s="11"/>
      <c r="W1050" s="124"/>
      <c r="X1050" s="128"/>
      <c r="Y1050" s="129"/>
    </row>
    <row r="1051" spans="14:25" x14ac:dyDescent="0.25">
      <c r="N1051" s="125"/>
      <c r="O1051" s="125"/>
      <c r="P1051" s="126"/>
      <c r="Q1051" s="62"/>
      <c r="R1051" s="62"/>
      <c r="S1051" s="127"/>
      <c r="T1051" s="11"/>
      <c r="U1051" s="124"/>
      <c r="V1051" s="11"/>
      <c r="W1051" s="124"/>
      <c r="X1051" s="128"/>
      <c r="Y1051" s="129"/>
    </row>
    <row r="1052" spans="14:25" x14ac:dyDescent="0.25">
      <c r="N1052" s="125"/>
      <c r="O1052" s="125"/>
      <c r="P1052" s="126"/>
      <c r="Q1052" s="62"/>
      <c r="R1052" s="62"/>
      <c r="S1052" s="127"/>
      <c r="T1052" s="11"/>
      <c r="U1052" s="124"/>
      <c r="V1052" s="11"/>
      <c r="W1052" s="124"/>
      <c r="X1052" s="128"/>
      <c r="Y1052" s="129"/>
    </row>
    <row r="1053" spans="14:25" x14ac:dyDescent="0.25">
      <c r="N1053" s="125"/>
      <c r="O1053" s="125"/>
      <c r="P1053" s="126"/>
      <c r="Q1053" s="62"/>
      <c r="R1053" s="62"/>
      <c r="S1053" s="127"/>
      <c r="T1053" s="11"/>
      <c r="U1053" s="124"/>
      <c r="V1053" s="11"/>
      <c r="W1053" s="124"/>
      <c r="X1053" s="128"/>
      <c r="Y1053" s="129"/>
    </row>
    <row r="1054" spans="14:25" x14ac:dyDescent="0.25">
      <c r="N1054" s="125"/>
      <c r="O1054" s="125"/>
      <c r="P1054" s="126"/>
      <c r="Q1054" s="62"/>
      <c r="R1054" s="62"/>
      <c r="S1054" s="127"/>
      <c r="T1054" s="11"/>
      <c r="U1054" s="124"/>
      <c r="V1054" s="11"/>
      <c r="W1054" s="124"/>
      <c r="X1054" s="128"/>
      <c r="Y1054" s="129"/>
    </row>
    <row r="1055" spans="14:25" x14ac:dyDescent="0.25">
      <c r="N1055" s="125"/>
      <c r="O1055" s="125"/>
      <c r="P1055" s="126"/>
      <c r="Q1055" s="62"/>
      <c r="R1055" s="62"/>
      <c r="S1055" s="127"/>
      <c r="T1055" s="11"/>
      <c r="U1055" s="124"/>
      <c r="V1055" s="11"/>
      <c r="W1055" s="124"/>
      <c r="X1055" s="128"/>
      <c r="Y1055" s="129"/>
    </row>
    <row r="1056" spans="14:25" x14ac:dyDescent="0.25">
      <c r="N1056" s="125"/>
      <c r="O1056" s="125"/>
      <c r="P1056" s="126"/>
      <c r="Q1056" s="62"/>
      <c r="R1056" s="62"/>
      <c r="S1056" s="127"/>
      <c r="T1056" s="11"/>
      <c r="U1056" s="124"/>
      <c r="V1056" s="11"/>
      <c r="W1056" s="124"/>
      <c r="X1056" s="128"/>
      <c r="Y1056" s="129"/>
    </row>
    <row r="1057" spans="14:25" x14ac:dyDescent="0.25">
      <c r="N1057" s="125"/>
      <c r="O1057" s="125"/>
      <c r="P1057" s="126"/>
      <c r="Q1057" s="62"/>
      <c r="R1057" s="62"/>
      <c r="S1057" s="127"/>
      <c r="T1057" s="11"/>
      <c r="U1057" s="124"/>
      <c r="V1057" s="11"/>
      <c r="W1057" s="124"/>
      <c r="X1057" s="128"/>
      <c r="Y1057" s="129"/>
    </row>
    <row r="1058" spans="14:25" x14ac:dyDescent="0.25">
      <c r="N1058" s="125"/>
      <c r="O1058" s="125"/>
      <c r="P1058" s="126"/>
      <c r="Q1058" s="62"/>
      <c r="R1058" s="62"/>
      <c r="S1058" s="127"/>
      <c r="T1058" s="11"/>
      <c r="U1058" s="124"/>
      <c r="V1058" s="11"/>
      <c r="W1058" s="124"/>
      <c r="X1058" s="128"/>
      <c r="Y1058" s="129"/>
    </row>
    <row r="1059" spans="14:25" x14ac:dyDescent="0.25">
      <c r="N1059" s="125"/>
      <c r="O1059" s="125"/>
      <c r="P1059" s="126"/>
      <c r="Q1059" s="62"/>
      <c r="R1059" s="62"/>
      <c r="S1059" s="127"/>
      <c r="T1059" s="11"/>
      <c r="U1059" s="124"/>
      <c r="V1059" s="11"/>
      <c r="W1059" s="124"/>
      <c r="X1059" s="128"/>
      <c r="Y1059" s="129"/>
    </row>
    <row r="1060" spans="14:25" x14ac:dyDescent="0.25">
      <c r="N1060" s="125"/>
      <c r="O1060" s="125"/>
      <c r="P1060" s="126"/>
      <c r="Q1060" s="62"/>
      <c r="R1060" s="62"/>
      <c r="S1060" s="127"/>
      <c r="T1060" s="11"/>
      <c r="U1060" s="124"/>
      <c r="V1060" s="11"/>
      <c r="W1060" s="124"/>
      <c r="X1060" s="128"/>
      <c r="Y1060" s="129"/>
    </row>
    <row r="1061" spans="14:25" x14ac:dyDescent="0.25">
      <c r="N1061" s="125"/>
      <c r="O1061" s="125"/>
      <c r="P1061" s="126"/>
      <c r="Q1061" s="62"/>
      <c r="R1061" s="62"/>
      <c r="S1061" s="127"/>
      <c r="T1061" s="11"/>
      <c r="U1061" s="124"/>
      <c r="V1061" s="11"/>
      <c r="W1061" s="124"/>
      <c r="X1061" s="128"/>
      <c r="Y1061" s="129"/>
    </row>
    <row r="1062" spans="14:25" x14ac:dyDescent="0.25">
      <c r="N1062" s="125"/>
      <c r="O1062" s="125"/>
      <c r="P1062" s="126"/>
      <c r="Q1062" s="62"/>
      <c r="R1062" s="62"/>
      <c r="S1062" s="127"/>
      <c r="T1062" s="11"/>
      <c r="U1062" s="124"/>
      <c r="V1062" s="11"/>
      <c r="W1062" s="124"/>
      <c r="X1062" s="128"/>
      <c r="Y1062" s="129"/>
    </row>
    <row r="1063" spans="14:25" x14ac:dyDescent="0.25">
      <c r="N1063" s="125"/>
      <c r="O1063" s="125"/>
      <c r="P1063" s="126"/>
      <c r="Q1063" s="62"/>
      <c r="R1063" s="62"/>
      <c r="S1063" s="127"/>
      <c r="T1063" s="11"/>
      <c r="U1063" s="124"/>
      <c r="V1063" s="11"/>
      <c r="W1063" s="124"/>
      <c r="X1063" s="128"/>
      <c r="Y1063" s="129"/>
    </row>
    <row r="1064" spans="14:25" x14ac:dyDescent="0.25">
      <c r="N1064" s="125"/>
      <c r="O1064" s="125"/>
      <c r="P1064" s="126"/>
      <c r="Q1064" s="62"/>
      <c r="R1064" s="62"/>
      <c r="S1064" s="127"/>
      <c r="T1064" s="11"/>
      <c r="U1064" s="124"/>
      <c r="V1064" s="11"/>
      <c r="W1064" s="124"/>
      <c r="X1064" s="128"/>
      <c r="Y1064" s="129"/>
    </row>
    <row r="1065" spans="14:25" x14ac:dyDescent="0.25">
      <c r="N1065" s="125"/>
      <c r="O1065" s="125"/>
      <c r="P1065" s="126"/>
      <c r="Q1065" s="62"/>
      <c r="R1065" s="62"/>
      <c r="S1065" s="127"/>
      <c r="T1065" s="11"/>
      <c r="U1065" s="124"/>
      <c r="V1065" s="11"/>
      <c r="W1065" s="124"/>
      <c r="X1065" s="128"/>
      <c r="Y1065" s="129"/>
    </row>
    <row r="1066" spans="14:25" x14ac:dyDescent="0.25">
      <c r="N1066" s="125"/>
      <c r="O1066" s="125"/>
      <c r="P1066" s="126"/>
      <c r="Q1066" s="62"/>
      <c r="R1066" s="62"/>
      <c r="S1066" s="127"/>
      <c r="T1066" s="11"/>
      <c r="U1066" s="124"/>
      <c r="V1066" s="11"/>
      <c r="W1066" s="124"/>
      <c r="X1066" s="128"/>
      <c r="Y1066" s="129"/>
    </row>
    <row r="1067" spans="14:25" x14ac:dyDescent="0.25">
      <c r="N1067" s="125"/>
      <c r="O1067" s="125"/>
      <c r="P1067" s="126"/>
      <c r="Q1067" s="62"/>
      <c r="R1067" s="62"/>
      <c r="S1067" s="127"/>
      <c r="T1067" s="11"/>
      <c r="U1067" s="124"/>
      <c r="V1067" s="11"/>
      <c r="W1067" s="124"/>
      <c r="X1067" s="128"/>
      <c r="Y1067" s="129"/>
    </row>
    <row r="1068" spans="14:25" x14ac:dyDescent="0.25">
      <c r="N1068" s="125"/>
      <c r="O1068" s="125"/>
      <c r="P1068" s="126"/>
      <c r="Q1068" s="62"/>
      <c r="R1068" s="62"/>
      <c r="S1068" s="127"/>
      <c r="T1068" s="11"/>
      <c r="U1068" s="124"/>
      <c r="V1068" s="11"/>
      <c r="W1068" s="124"/>
      <c r="X1068" s="128"/>
      <c r="Y1068" s="129"/>
    </row>
    <row r="1069" spans="14:25" x14ac:dyDescent="0.25">
      <c r="N1069" s="125"/>
      <c r="O1069" s="125"/>
      <c r="P1069" s="126"/>
      <c r="Q1069" s="62"/>
      <c r="R1069" s="62"/>
      <c r="S1069" s="127"/>
      <c r="T1069" s="11"/>
      <c r="U1069" s="124"/>
      <c r="V1069" s="11"/>
      <c r="W1069" s="124"/>
      <c r="X1069" s="128"/>
      <c r="Y1069" s="129"/>
    </row>
    <row r="1070" spans="14:25" x14ac:dyDescent="0.25">
      <c r="N1070" s="125"/>
      <c r="O1070" s="125"/>
      <c r="P1070" s="126"/>
      <c r="Q1070" s="62"/>
      <c r="R1070" s="62"/>
      <c r="S1070" s="127"/>
      <c r="T1070" s="11"/>
      <c r="U1070" s="124"/>
      <c r="V1070" s="11"/>
      <c r="W1070" s="124"/>
      <c r="X1070" s="128"/>
      <c r="Y1070" s="129"/>
    </row>
    <row r="1071" spans="14:25" x14ac:dyDescent="0.25">
      <c r="N1071" s="125"/>
      <c r="O1071" s="125"/>
      <c r="P1071" s="126"/>
      <c r="Q1071" s="62"/>
      <c r="R1071" s="62"/>
      <c r="S1071" s="127"/>
      <c r="T1071" s="11"/>
      <c r="U1071" s="124"/>
      <c r="V1071" s="11"/>
      <c r="W1071" s="124"/>
      <c r="X1071" s="128"/>
      <c r="Y1071" s="129"/>
    </row>
    <row r="1072" spans="14:25" x14ac:dyDescent="0.25">
      <c r="N1072" s="125"/>
      <c r="O1072" s="125"/>
      <c r="P1072" s="126"/>
      <c r="Q1072" s="62"/>
      <c r="R1072" s="62"/>
      <c r="S1072" s="127"/>
      <c r="T1072" s="11"/>
      <c r="U1072" s="124"/>
      <c r="V1072" s="11"/>
      <c r="W1072" s="124"/>
      <c r="X1072" s="128"/>
      <c r="Y1072" s="129"/>
    </row>
    <row r="1073" spans="14:25" x14ac:dyDescent="0.25">
      <c r="N1073" s="125"/>
      <c r="O1073" s="125"/>
      <c r="P1073" s="126"/>
      <c r="Q1073" s="62"/>
      <c r="R1073" s="62"/>
      <c r="S1073" s="127"/>
      <c r="T1073" s="11"/>
      <c r="U1073" s="124"/>
      <c r="V1073" s="11"/>
      <c r="W1073" s="124"/>
      <c r="X1073" s="128"/>
      <c r="Y1073" s="129"/>
    </row>
    <row r="1074" spans="14:25" x14ac:dyDescent="0.25">
      <c r="N1074" s="125"/>
      <c r="O1074" s="125"/>
      <c r="P1074" s="126"/>
      <c r="Q1074" s="62"/>
      <c r="R1074" s="62"/>
      <c r="S1074" s="127"/>
      <c r="T1074" s="11"/>
      <c r="U1074" s="124"/>
      <c r="V1074" s="11"/>
      <c r="W1074" s="124"/>
      <c r="X1074" s="128"/>
      <c r="Y1074" s="129"/>
    </row>
    <row r="1075" spans="14:25" x14ac:dyDescent="0.25">
      <c r="N1075" s="125"/>
      <c r="O1075" s="125"/>
      <c r="P1075" s="126"/>
      <c r="Q1075" s="62"/>
      <c r="R1075" s="62"/>
      <c r="S1075" s="127"/>
      <c r="T1075" s="11"/>
      <c r="U1075" s="124"/>
      <c r="V1075" s="11"/>
      <c r="W1075" s="124"/>
      <c r="X1075" s="128"/>
      <c r="Y1075" s="129"/>
    </row>
    <row r="1076" spans="14:25" x14ac:dyDescent="0.25">
      <c r="N1076" s="125"/>
      <c r="O1076" s="125"/>
      <c r="P1076" s="126"/>
      <c r="Q1076" s="62"/>
      <c r="R1076" s="62"/>
      <c r="S1076" s="127"/>
      <c r="T1076" s="11"/>
      <c r="U1076" s="124"/>
      <c r="V1076" s="11"/>
      <c r="W1076" s="124"/>
      <c r="X1076" s="128"/>
      <c r="Y1076" s="129"/>
    </row>
    <row r="1077" spans="14:25" x14ac:dyDescent="0.25">
      <c r="N1077" s="125"/>
      <c r="O1077" s="125"/>
      <c r="P1077" s="126"/>
      <c r="Q1077" s="62"/>
      <c r="R1077" s="62"/>
      <c r="S1077" s="127"/>
      <c r="T1077" s="11"/>
      <c r="U1077" s="124"/>
      <c r="V1077" s="11"/>
      <c r="W1077" s="124"/>
      <c r="X1077" s="128"/>
      <c r="Y1077" s="129"/>
    </row>
    <row r="1078" spans="14:25" x14ac:dyDescent="0.25">
      <c r="N1078" s="125"/>
      <c r="O1078" s="125"/>
      <c r="P1078" s="126"/>
      <c r="Q1078" s="62"/>
      <c r="R1078" s="62"/>
      <c r="S1078" s="127"/>
      <c r="T1078" s="11"/>
      <c r="U1078" s="124"/>
      <c r="V1078" s="11"/>
      <c r="W1078" s="124"/>
      <c r="X1078" s="128"/>
      <c r="Y1078" s="129"/>
    </row>
    <row r="1079" spans="14:25" x14ac:dyDescent="0.25">
      <c r="N1079" s="125"/>
      <c r="O1079" s="125"/>
      <c r="P1079" s="126"/>
      <c r="Q1079" s="62"/>
      <c r="R1079" s="62"/>
      <c r="S1079" s="127"/>
      <c r="T1079" s="11"/>
      <c r="U1079" s="124"/>
      <c r="V1079" s="11"/>
      <c r="W1079" s="124"/>
      <c r="X1079" s="128"/>
      <c r="Y1079" s="129"/>
    </row>
    <row r="1080" spans="14:25" x14ac:dyDescent="0.25">
      <c r="N1080" s="125"/>
      <c r="O1080" s="125"/>
      <c r="P1080" s="126"/>
      <c r="Q1080" s="62"/>
      <c r="R1080" s="62"/>
      <c r="S1080" s="127"/>
      <c r="T1080" s="11"/>
      <c r="U1080" s="124"/>
      <c r="V1080" s="11"/>
      <c r="W1080" s="124"/>
      <c r="X1080" s="128"/>
      <c r="Y1080" s="129"/>
    </row>
    <row r="1081" spans="14:25" x14ac:dyDescent="0.25">
      <c r="N1081" s="125"/>
      <c r="O1081" s="125"/>
      <c r="P1081" s="126"/>
      <c r="Q1081" s="62"/>
      <c r="R1081" s="62"/>
      <c r="S1081" s="127"/>
      <c r="T1081" s="11"/>
      <c r="U1081" s="124"/>
      <c r="V1081" s="11"/>
      <c r="W1081" s="124"/>
      <c r="X1081" s="128"/>
      <c r="Y1081" s="129"/>
    </row>
    <row r="1082" spans="14:25" x14ac:dyDescent="0.25">
      <c r="N1082" s="125"/>
      <c r="O1082" s="125"/>
      <c r="P1082" s="126"/>
      <c r="Q1082" s="62"/>
      <c r="R1082" s="62"/>
      <c r="S1082" s="127"/>
      <c r="T1082" s="11"/>
      <c r="U1082" s="124"/>
      <c r="V1082" s="11"/>
      <c r="W1082" s="124"/>
      <c r="X1082" s="128"/>
      <c r="Y1082" s="129"/>
    </row>
    <row r="1083" spans="14:25" x14ac:dyDescent="0.25">
      <c r="N1083" s="125"/>
      <c r="O1083" s="125"/>
      <c r="P1083" s="126"/>
      <c r="Q1083" s="62"/>
      <c r="R1083" s="62"/>
      <c r="S1083" s="127"/>
      <c r="T1083" s="11"/>
      <c r="U1083" s="124"/>
      <c r="V1083" s="11"/>
      <c r="W1083" s="124"/>
      <c r="X1083" s="128"/>
      <c r="Y1083" s="129"/>
    </row>
    <row r="1084" spans="14:25" x14ac:dyDescent="0.25">
      <c r="N1084" s="125"/>
      <c r="O1084" s="125"/>
      <c r="P1084" s="126"/>
      <c r="Q1084" s="62"/>
      <c r="R1084" s="62"/>
      <c r="S1084" s="127"/>
      <c r="T1084" s="11"/>
      <c r="U1084" s="124"/>
      <c r="V1084" s="11"/>
      <c r="W1084" s="124"/>
      <c r="X1084" s="128"/>
      <c r="Y1084" s="129"/>
    </row>
    <row r="1085" spans="14:25" x14ac:dyDescent="0.25">
      <c r="N1085" s="125"/>
      <c r="O1085" s="125"/>
      <c r="P1085" s="126"/>
      <c r="Q1085" s="62"/>
      <c r="R1085" s="62"/>
      <c r="S1085" s="127"/>
      <c r="T1085" s="11"/>
      <c r="U1085" s="124"/>
      <c r="V1085" s="11"/>
      <c r="W1085" s="124"/>
      <c r="X1085" s="128"/>
      <c r="Y1085" s="129"/>
    </row>
    <row r="1086" spans="14:25" x14ac:dyDescent="0.25">
      <c r="N1086" s="125"/>
      <c r="O1086" s="125"/>
      <c r="P1086" s="126"/>
      <c r="Q1086" s="62"/>
      <c r="R1086" s="62"/>
      <c r="S1086" s="127"/>
      <c r="T1086" s="11"/>
      <c r="U1086" s="124"/>
      <c r="V1086" s="11"/>
      <c r="W1086" s="124"/>
      <c r="X1086" s="128"/>
      <c r="Y1086" s="129"/>
    </row>
    <row r="1087" spans="14:25" x14ac:dyDescent="0.25">
      <c r="N1087" s="125"/>
      <c r="O1087" s="125"/>
      <c r="P1087" s="126"/>
      <c r="Q1087" s="62"/>
      <c r="R1087" s="62"/>
      <c r="S1087" s="127"/>
      <c r="T1087" s="11"/>
      <c r="U1087" s="124"/>
      <c r="V1087" s="11"/>
      <c r="W1087" s="124"/>
      <c r="X1087" s="128"/>
      <c r="Y1087" s="129"/>
    </row>
    <row r="1088" spans="14:25" x14ac:dyDescent="0.25">
      <c r="N1088" s="125"/>
      <c r="O1088" s="125"/>
      <c r="P1088" s="126"/>
      <c r="Q1088" s="62"/>
      <c r="R1088" s="62"/>
      <c r="S1088" s="127"/>
      <c r="T1088" s="11"/>
      <c r="U1088" s="124"/>
      <c r="V1088" s="11"/>
      <c r="W1088" s="124"/>
      <c r="X1088" s="128"/>
      <c r="Y1088" s="129"/>
    </row>
    <row r="1089" spans="14:25" x14ac:dyDescent="0.25">
      <c r="N1089" s="125"/>
      <c r="O1089" s="125"/>
      <c r="P1089" s="126"/>
      <c r="Q1089" s="62"/>
      <c r="R1089" s="62"/>
      <c r="S1089" s="127"/>
      <c r="T1089" s="11"/>
      <c r="U1089" s="124"/>
      <c r="V1089" s="11"/>
      <c r="W1089" s="124"/>
      <c r="X1089" s="128"/>
      <c r="Y1089" s="129"/>
    </row>
    <row r="1090" spans="14:25" x14ac:dyDescent="0.25">
      <c r="N1090" s="125"/>
      <c r="O1090" s="125"/>
      <c r="P1090" s="126"/>
      <c r="Q1090" s="62"/>
      <c r="R1090" s="62"/>
      <c r="S1090" s="127"/>
      <c r="T1090" s="11"/>
      <c r="U1090" s="124"/>
      <c r="V1090" s="11"/>
      <c r="W1090" s="124"/>
      <c r="X1090" s="128"/>
      <c r="Y1090" s="129"/>
    </row>
    <row r="1091" spans="14:25" x14ac:dyDescent="0.25">
      <c r="N1091" s="125"/>
      <c r="O1091" s="125"/>
      <c r="P1091" s="126"/>
      <c r="Q1091" s="62"/>
      <c r="R1091" s="62"/>
      <c r="S1091" s="127"/>
      <c r="T1091" s="11"/>
      <c r="U1091" s="124"/>
      <c r="V1091" s="11"/>
      <c r="W1091" s="124"/>
      <c r="X1091" s="128"/>
      <c r="Y1091" s="129"/>
    </row>
    <row r="1092" spans="14:25" x14ac:dyDescent="0.25">
      <c r="N1092" s="125"/>
      <c r="O1092" s="125"/>
      <c r="P1092" s="126"/>
      <c r="Q1092" s="62"/>
      <c r="R1092" s="62"/>
      <c r="S1092" s="127"/>
      <c r="T1092" s="11"/>
      <c r="U1092" s="124"/>
      <c r="V1092" s="11"/>
      <c r="W1092" s="124"/>
      <c r="X1092" s="128"/>
      <c r="Y1092" s="129"/>
    </row>
    <row r="1093" spans="14:25" x14ac:dyDescent="0.25">
      <c r="N1093" s="125"/>
      <c r="O1093" s="125"/>
      <c r="P1093" s="126"/>
      <c r="Q1093" s="62"/>
      <c r="R1093" s="62"/>
      <c r="S1093" s="127"/>
      <c r="T1093" s="11"/>
      <c r="U1093" s="124"/>
      <c r="V1093" s="11"/>
      <c r="W1093" s="124"/>
      <c r="X1093" s="128"/>
      <c r="Y1093" s="129"/>
    </row>
    <row r="1094" spans="14:25" x14ac:dyDescent="0.25">
      <c r="N1094" s="125"/>
      <c r="O1094" s="125"/>
      <c r="P1094" s="126"/>
      <c r="Q1094" s="62"/>
      <c r="R1094" s="62"/>
      <c r="S1094" s="127"/>
      <c r="T1094" s="11"/>
      <c r="U1094" s="124"/>
      <c r="V1094" s="11"/>
      <c r="W1094" s="124"/>
      <c r="X1094" s="128"/>
      <c r="Y1094" s="129"/>
    </row>
    <row r="1095" spans="14:25" x14ac:dyDescent="0.25">
      <c r="N1095" s="125"/>
      <c r="O1095" s="125"/>
      <c r="P1095" s="126"/>
      <c r="Q1095" s="62"/>
      <c r="R1095" s="62"/>
      <c r="S1095" s="127"/>
      <c r="T1095" s="11"/>
      <c r="U1095" s="124"/>
      <c r="V1095" s="11"/>
      <c r="W1095" s="124"/>
      <c r="X1095" s="128"/>
      <c r="Y1095" s="129"/>
    </row>
    <row r="1096" spans="14:25" x14ac:dyDescent="0.25">
      <c r="N1096" s="125"/>
      <c r="O1096" s="125"/>
      <c r="P1096" s="126"/>
      <c r="Q1096" s="62"/>
      <c r="R1096" s="62"/>
      <c r="S1096" s="127"/>
      <c r="T1096" s="11"/>
      <c r="U1096" s="124"/>
      <c r="V1096" s="11"/>
      <c r="W1096" s="124"/>
      <c r="X1096" s="128"/>
      <c r="Y1096" s="129"/>
    </row>
    <row r="1097" spans="14:25" x14ac:dyDescent="0.25">
      <c r="N1097" s="125"/>
      <c r="O1097" s="125"/>
      <c r="P1097" s="126"/>
      <c r="Q1097" s="62"/>
      <c r="R1097" s="62"/>
      <c r="S1097" s="127"/>
      <c r="T1097" s="11"/>
      <c r="U1097" s="124"/>
      <c r="V1097" s="11"/>
      <c r="W1097" s="124"/>
      <c r="X1097" s="128"/>
      <c r="Y1097" s="129"/>
    </row>
    <row r="1098" spans="14:25" x14ac:dyDescent="0.25">
      <c r="N1098" s="125"/>
      <c r="O1098" s="125"/>
      <c r="P1098" s="126"/>
      <c r="Q1098" s="62"/>
      <c r="R1098" s="62"/>
      <c r="S1098" s="127"/>
      <c r="T1098" s="11"/>
      <c r="U1098" s="124"/>
      <c r="V1098" s="11"/>
      <c r="W1098" s="124"/>
      <c r="X1098" s="128"/>
      <c r="Y1098" s="129"/>
    </row>
    <row r="1099" spans="14:25" x14ac:dyDescent="0.25">
      <c r="N1099" s="125"/>
      <c r="O1099" s="125"/>
      <c r="P1099" s="126"/>
      <c r="Q1099" s="62"/>
      <c r="R1099" s="62"/>
      <c r="S1099" s="127"/>
      <c r="T1099" s="11"/>
      <c r="U1099" s="124"/>
      <c r="V1099" s="11"/>
      <c r="W1099" s="124"/>
      <c r="X1099" s="128"/>
      <c r="Y1099" s="129"/>
    </row>
    <row r="1100" spans="14:25" x14ac:dyDescent="0.25">
      <c r="N1100" s="125"/>
      <c r="O1100" s="125"/>
      <c r="P1100" s="126"/>
      <c r="Q1100" s="62"/>
      <c r="R1100" s="62"/>
      <c r="S1100" s="127"/>
      <c r="T1100" s="11"/>
      <c r="U1100" s="124"/>
      <c r="V1100" s="11"/>
      <c r="W1100" s="124"/>
      <c r="X1100" s="128"/>
      <c r="Y1100" s="129"/>
    </row>
    <row r="1101" spans="14:25" x14ac:dyDescent="0.25">
      <c r="N1101" s="125"/>
      <c r="O1101" s="125"/>
      <c r="P1101" s="126"/>
      <c r="Q1101" s="62"/>
      <c r="R1101" s="62"/>
      <c r="S1101" s="127"/>
      <c r="T1101" s="11"/>
      <c r="U1101" s="124"/>
      <c r="V1101" s="11"/>
      <c r="W1101" s="124"/>
      <c r="X1101" s="128"/>
      <c r="Y1101" s="129"/>
    </row>
    <row r="1102" spans="14:25" x14ac:dyDescent="0.25">
      <c r="N1102" s="125"/>
      <c r="O1102" s="125"/>
      <c r="P1102" s="126"/>
      <c r="Q1102" s="62"/>
      <c r="R1102" s="62"/>
      <c r="S1102" s="127"/>
      <c r="T1102" s="11"/>
      <c r="U1102" s="124"/>
      <c r="V1102" s="11"/>
      <c r="W1102" s="124"/>
      <c r="X1102" s="128"/>
      <c r="Y1102" s="129"/>
    </row>
    <row r="1103" spans="14:25" x14ac:dyDescent="0.25">
      <c r="N1103" s="125"/>
      <c r="O1103" s="125"/>
      <c r="P1103" s="126"/>
      <c r="Q1103" s="62"/>
      <c r="R1103" s="62"/>
      <c r="S1103" s="127"/>
      <c r="T1103" s="11"/>
      <c r="U1103" s="124"/>
      <c r="V1103" s="11"/>
      <c r="W1103" s="124"/>
      <c r="X1103" s="128"/>
      <c r="Y1103" s="129"/>
    </row>
    <row r="1104" spans="14:25" x14ac:dyDescent="0.25">
      <c r="N1104" s="125"/>
      <c r="O1104" s="125"/>
      <c r="P1104" s="126"/>
      <c r="Q1104" s="62"/>
      <c r="R1104" s="62"/>
      <c r="S1104" s="127"/>
      <c r="T1104" s="11"/>
      <c r="U1104" s="124"/>
      <c r="V1104" s="11"/>
      <c r="W1104" s="124"/>
      <c r="X1104" s="128"/>
      <c r="Y1104" s="129"/>
    </row>
    <row r="1105" spans="14:25" x14ac:dyDescent="0.25">
      <c r="N1105" s="125"/>
      <c r="O1105" s="125"/>
      <c r="P1105" s="126"/>
      <c r="Q1105" s="62"/>
      <c r="R1105" s="62"/>
      <c r="S1105" s="127"/>
      <c r="T1105" s="11"/>
      <c r="U1105" s="124"/>
      <c r="V1105" s="11"/>
      <c r="W1105" s="124"/>
      <c r="X1105" s="128"/>
      <c r="Y1105" s="129"/>
    </row>
    <row r="1106" spans="14:25" x14ac:dyDescent="0.25">
      <c r="N1106" s="125"/>
      <c r="O1106" s="125"/>
      <c r="P1106" s="126"/>
      <c r="Q1106" s="62"/>
      <c r="R1106" s="62"/>
      <c r="S1106" s="127"/>
      <c r="T1106" s="11"/>
      <c r="U1106" s="124"/>
      <c r="V1106" s="11"/>
      <c r="W1106" s="124"/>
      <c r="X1106" s="128"/>
      <c r="Y1106" s="129"/>
    </row>
    <row r="1107" spans="14:25" x14ac:dyDescent="0.25">
      <c r="N1107" s="125"/>
      <c r="O1107" s="125"/>
      <c r="P1107" s="126"/>
      <c r="Q1107" s="62"/>
      <c r="R1107" s="62"/>
      <c r="S1107" s="127"/>
      <c r="T1107" s="11"/>
      <c r="U1107" s="124"/>
      <c r="V1107" s="11"/>
      <c r="W1107" s="124"/>
      <c r="X1107" s="128"/>
      <c r="Y1107" s="129"/>
    </row>
    <row r="1108" spans="14:25" x14ac:dyDescent="0.25">
      <c r="N1108" s="125"/>
      <c r="O1108" s="125"/>
      <c r="P1108" s="126"/>
      <c r="Q1108" s="62"/>
      <c r="R1108" s="62"/>
      <c r="S1108" s="127"/>
      <c r="T1108" s="11"/>
      <c r="U1108" s="124"/>
      <c r="V1108" s="11"/>
      <c r="W1108" s="124"/>
      <c r="X1108" s="128"/>
      <c r="Y1108" s="129"/>
    </row>
    <row r="1109" spans="14:25" x14ac:dyDescent="0.25">
      <c r="N1109" s="125"/>
      <c r="O1109" s="125"/>
      <c r="P1109" s="126"/>
      <c r="Q1109" s="62"/>
      <c r="R1109" s="62"/>
      <c r="S1109" s="127"/>
      <c r="T1109" s="11"/>
      <c r="U1109" s="124"/>
      <c r="V1109" s="11"/>
      <c r="W1109" s="124"/>
      <c r="X1109" s="128"/>
      <c r="Y1109" s="129"/>
    </row>
    <row r="1110" spans="14:25" x14ac:dyDescent="0.25">
      <c r="N1110" s="125"/>
      <c r="O1110" s="125"/>
      <c r="P1110" s="126"/>
      <c r="Q1110" s="62"/>
      <c r="R1110" s="62"/>
      <c r="S1110" s="127"/>
      <c r="T1110" s="11"/>
      <c r="U1110" s="124"/>
      <c r="V1110" s="11"/>
      <c r="W1110" s="124"/>
      <c r="X1110" s="128"/>
      <c r="Y1110" s="129"/>
    </row>
    <row r="1111" spans="14:25" x14ac:dyDescent="0.25">
      <c r="N1111" s="125"/>
      <c r="O1111" s="125"/>
      <c r="P1111" s="126"/>
      <c r="Q1111" s="62"/>
      <c r="R1111" s="62"/>
      <c r="S1111" s="127"/>
      <c r="T1111" s="11"/>
      <c r="U1111" s="124"/>
      <c r="V1111" s="11"/>
      <c r="W1111" s="124"/>
      <c r="X1111" s="128"/>
      <c r="Y1111" s="129"/>
    </row>
    <row r="1112" spans="14:25" x14ac:dyDescent="0.25">
      <c r="N1112" s="125"/>
      <c r="O1112" s="125"/>
      <c r="P1112" s="126"/>
      <c r="Q1112" s="62"/>
      <c r="R1112" s="62"/>
      <c r="S1112" s="127"/>
      <c r="T1112" s="11"/>
      <c r="U1112" s="124"/>
      <c r="V1112" s="11"/>
      <c r="W1112" s="124"/>
      <c r="X1112" s="128"/>
      <c r="Y1112" s="129"/>
    </row>
    <row r="1113" spans="14:25" x14ac:dyDescent="0.25">
      <c r="N1113" s="125"/>
      <c r="O1113" s="125"/>
      <c r="P1113" s="126"/>
      <c r="Q1113" s="62"/>
      <c r="R1113" s="62"/>
      <c r="S1113" s="127"/>
      <c r="T1113" s="11"/>
      <c r="U1113" s="124"/>
      <c r="V1113" s="11"/>
      <c r="W1113" s="124"/>
      <c r="X1113" s="128"/>
      <c r="Y1113" s="129"/>
    </row>
    <row r="1114" spans="14:25" x14ac:dyDescent="0.25">
      <c r="N1114" s="125"/>
      <c r="O1114" s="125"/>
      <c r="P1114" s="126"/>
      <c r="Q1114" s="62"/>
      <c r="R1114" s="62"/>
      <c r="S1114" s="127"/>
      <c r="T1114" s="11"/>
      <c r="U1114" s="124"/>
      <c r="V1114" s="11"/>
      <c r="W1114" s="124"/>
      <c r="X1114" s="128"/>
      <c r="Y1114" s="129"/>
    </row>
    <row r="1115" spans="14:25" x14ac:dyDescent="0.25">
      <c r="N1115" s="125"/>
      <c r="O1115" s="125"/>
      <c r="P1115" s="126"/>
      <c r="Q1115" s="62"/>
      <c r="R1115" s="62"/>
      <c r="S1115" s="127"/>
      <c r="T1115" s="11"/>
      <c r="U1115" s="124"/>
      <c r="V1115" s="11"/>
      <c r="W1115" s="124"/>
      <c r="X1115" s="128"/>
      <c r="Y1115" s="129"/>
    </row>
    <row r="1116" spans="14:25" x14ac:dyDescent="0.25">
      <c r="N1116" s="125"/>
      <c r="O1116" s="125"/>
      <c r="P1116" s="126"/>
      <c r="Q1116" s="62"/>
      <c r="R1116" s="62"/>
      <c r="S1116" s="127"/>
      <c r="T1116" s="11"/>
      <c r="U1116" s="124"/>
      <c r="V1116" s="11"/>
      <c r="W1116" s="124"/>
      <c r="X1116" s="128"/>
      <c r="Y1116" s="129"/>
    </row>
    <row r="1117" spans="14:25" x14ac:dyDescent="0.25">
      <c r="N1117" s="125"/>
      <c r="O1117" s="125"/>
      <c r="P1117" s="126"/>
      <c r="Q1117" s="62"/>
      <c r="R1117" s="62"/>
      <c r="S1117" s="127"/>
      <c r="T1117" s="11"/>
      <c r="U1117" s="124"/>
      <c r="V1117" s="11"/>
      <c r="W1117" s="124"/>
      <c r="X1117" s="128"/>
      <c r="Y1117" s="129"/>
    </row>
    <row r="1118" spans="14:25" x14ac:dyDescent="0.25">
      <c r="N1118" s="125"/>
      <c r="O1118" s="125"/>
      <c r="P1118" s="126"/>
      <c r="Q1118" s="62"/>
      <c r="R1118" s="62"/>
      <c r="S1118" s="127"/>
      <c r="T1118" s="11"/>
      <c r="U1118" s="124"/>
      <c r="V1118" s="11"/>
      <c r="W1118" s="124"/>
      <c r="X1118" s="128"/>
      <c r="Y1118" s="129"/>
    </row>
    <row r="1119" spans="14:25" x14ac:dyDescent="0.25">
      <c r="N1119" s="125"/>
      <c r="O1119" s="125"/>
      <c r="P1119" s="126"/>
      <c r="Q1119" s="62"/>
      <c r="R1119" s="62"/>
      <c r="S1119" s="127"/>
      <c r="T1119" s="11"/>
      <c r="U1119" s="124"/>
      <c r="V1119" s="11"/>
      <c r="W1119" s="124"/>
      <c r="X1119" s="128"/>
      <c r="Y1119" s="129"/>
    </row>
    <row r="1120" spans="14:25" x14ac:dyDescent="0.25">
      <c r="N1120" s="125"/>
      <c r="O1120" s="125"/>
      <c r="P1120" s="126"/>
      <c r="Q1120" s="62"/>
      <c r="R1120" s="62"/>
      <c r="S1120" s="127"/>
      <c r="T1120" s="11"/>
      <c r="U1120" s="124"/>
      <c r="V1120" s="11"/>
      <c r="W1120" s="124"/>
      <c r="X1120" s="128"/>
      <c r="Y1120" s="129"/>
    </row>
    <row r="1121" spans="14:25" x14ac:dyDescent="0.25">
      <c r="N1121" s="125"/>
      <c r="O1121" s="125"/>
      <c r="P1121" s="126"/>
      <c r="Q1121" s="62"/>
      <c r="R1121" s="62"/>
      <c r="S1121" s="127"/>
      <c r="T1121" s="11"/>
      <c r="U1121" s="124"/>
      <c r="V1121" s="11"/>
      <c r="W1121" s="124"/>
      <c r="X1121" s="128"/>
      <c r="Y1121" s="129"/>
    </row>
    <row r="1122" spans="14:25" x14ac:dyDescent="0.25">
      <c r="N1122" s="125"/>
      <c r="O1122" s="125"/>
      <c r="P1122" s="126"/>
      <c r="Q1122" s="62"/>
      <c r="R1122" s="62"/>
      <c r="S1122" s="127"/>
      <c r="T1122" s="11"/>
      <c r="U1122" s="124"/>
      <c r="V1122" s="11"/>
      <c r="W1122" s="124"/>
      <c r="X1122" s="128"/>
      <c r="Y1122" s="129"/>
    </row>
    <row r="1123" spans="14:25" x14ac:dyDescent="0.25">
      <c r="N1123" s="125"/>
      <c r="O1123" s="125"/>
      <c r="P1123" s="126"/>
      <c r="Q1123" s="62"/>
      <c r="R1123" s="62"/>
      <c r="S1123" s="127"/>
      <c r="T1123" s="11"/>
      <c r="U1123" s="124"/>
      <c r="V1123" s="11"/>
      <c r="W1123" s="124"/>
      <c r="X1123" s="128"/>
      <c r="Y1123" s="129"/>
    </row>
    <row r="1124" spans="14:25" x14ac:dyDescent="0.25">
      <c r="N1124" s="125"/>
      <c r="O1124" s="125"/>
      <c r="P1124" s="126"/>
      <c r="Q1124" s="62"/>
      <c r="R1124" s="62"/>
      <c r="S1124" s="127"/>
      <c r="T1124" s="11"/>
      <c r="U1124" s="124"/>
      <c r="V1124" s="11"/>
      <c r="W1124" s="124"/>
      <c r="X1124" s="128"/>
      <c r="Y1124" s="129"/>
    </row>
    <row r="1125" spans="14:25" x14ac:dyDescent="0.25">
      <c r="N1125" s="125"/>
      <c r="O1125" s="125"/>
      <c r="P1125" s="126"/>
      <c r="Q1125" s="62"/>
      <c r="R1125" s="62"/>
      <c r="S1125" s="127"/>
      <c r="T1125" s="11"/>
      <c r="U1125" s="124"/>
      <c r="V1125" s="11"/>
      <c r="W1125" s="124"/>
      <c r="X1125" s="128"/>
      <c r="Y1125" s="129"/>
    </row>
    <row r="1126" spans="14:25" x14ac:dyDescent="0.25">
      <c r="N1126" s="125"/>
      <c r="O1126" s="125"/>
      <c r="P1126" s="126"/>
      <c r="Q1126" s="62"/>
      <c r="R1126" s="62"/>
      <c r="S1126" s="127"/>
      <c r="T1126" s="11"/>
      <c r="U1126" s="124"/>
      <c r="V1126" s="11"/>
      <c r="W1126" s="124"/>
      <c r="X1126" s="128"/>
      <c r="Y1126" s="129"/>
    </row>
    <row r="1127" spans="14:25" x14ac:dyDescent="0.25">
      <c r="N1127" s="125"/>
      <c r="O1127" s="125"/>
      <c r="P1127" s="126"/>
      <c r="Q1127" s="62"/>
      <c r="R1127" s="62"/>
      <c r="S1127" s="127"/>
      <c r="T1127" s="11"/>
      <c r="U1127" s="124"/>
      <c r="V1127" s="11"/>
      <c r="W1127" s="124"/>
      <c r="X1127" s="128"/>
      <c r="Y1127" s="129"/>
    </row>
    <row r="1128" spans="14:25" x14ac:dyDescent="0.25">
      <c r="N1128" s="125"/>
      <c r="O1128" s="125"/>
      <c r="P1128" s="126"/>
      <c r="Q1128" s="62"/>
      <c r="R1128" s="62"/>
      <c r="S1128" s="127"/>
      <c r="T1128" s="11"/>
      <c r="U1128" s="124"/>
      <c r="V1128" s="11"/>
      <c r="W1128" s="124"/>
      <c r="X1128" s="128"/>
      <c r="Y1128" s="129"/>
    </row>
    <row r="1129" spans="14:25" x14ac:dyDescent="0.25">
      <c r="N1129" s="125"/>
      <c r="O1129" s="125"/>
      <c r="P1129" s="126"/>
      <c r="Q1129" s="62"/>
      <c r="R1129" s="62"/>
      <c r="S1129" s="127"/>
      <c r="T1129" s="11"/>
      <c r="U1129" s="124"/>
      <c r="V1129" s="11"/>
      <c r="W1129" s="124"/>
      <c r="X1129" s="128"/>
      <c r="Y1129" s="129"/>
    </row>
    <row r="1130" spans="14:25" x14ac:dyDescent="0.25">
      <c r="N1130" s="125"/>
      <c r="O1130" s="125"/>
      <c r="P1130" s="126"/>
      <c r="Q1130" s="62"/>
      <c r="R1130" s="62"/>
      <c r="S1130" s="127"/>
      <c r="T1130" s="11"/>
      <c r="U1130" s="124"/>
      <c r="V1130" s="11"/>
      <c r="W1130" s="124"/>
      <c r="X1130" s="128"/>
      <c r="Y1130" s="129"/>
    </row>
    <row r="1131" spans="14:25" x14ac:dyDescent="0.25">
      <c r="N1131" s="125"/>
      <c r="O1131" s="125"/>
      <c r="P1131" s="126"/>
      <c r="Q1131" s="62"/>
      <c r="R1131" s="62"/>
      <c r="S1131" s="127"/>
      <c r="T1131" s="11"/>
      <c r="U1131" s="124"/>
      <c r="V1131" s="11"/>
      <c r="W1131" s="124"/>
      <c r="X1131" s="128"/>
      <c r="Y1131" s="129"/>
    </row>
    <row r="1132" spans="14:25" x14ac:dyDescent="0.25">
      <c r="N1132" s="125"/>
      <c r="O1132" s="125"/>
      <c r="P1132" s="126"/>
      <c r="Q1132" s="62"/>
      <c r="R1132" s="62"/>
      <c r="S1132" s="127"/>
      <c r="T1132" s="11"/>
      <c r="U1132" s="124"/>
      <c r="V1132" s="11"/>
      <c r="W1132" s="124"/>
      <c r="X1132" s="128"/>
      <c r="Y1132" s="129"/>
    </row>
    <row r="1133" spans="14:25" x14ac:dyDescent="0.25">
      <c r="N1133" s="125"/>
      <c r="O1133" s="125"/>
      <c r="P1133" s="126"/>
      <c r="Q1133" s="62"/>
      <c r="R1133" s="62"/>
      <c r="S1133" s="127"/>
      <c r="T1133" s="11"/>
      <c r="U1133" s="124"/>
      <c r="V1133" s="11"/>
      <c r="W1133" s="124"/>
      <c r="X1133" s="128"/>
      <c r="Y1133" s="129"/>
    </row>
    <row r="1134" spans="14:25" x14ac:dyDescent="0.25">
      <c r="N1134" s="125"/>
      <c r="O1134" s="125"/>
      <c r="P1134" s="126"/>
      <c r="Q1134" s="62"/>
      <c r="R1134" s="62"/>
      <c r="S1134" s="127"/>
      <c r="T1134" s="11"/>
      <c r="U1134" s="124"/>
      <c r="V1134" s="11"/>
      <c r="W1134" s="124"/>
      <c r="X1134" s="128"/>
      <c r="Y1134" s="129"/>
    </row>
    <row r="1135" spans="14:25" x14ac:dyDescent="0.25">
      <c r="N1135" s="125"/>
      <c r="O1135" s="125"/>
      <c r="P1135" s="126"/>
      <c r="Q1135" s="62"/>
      <c r="R1135" s="62"/>
      <c r="S1135" s="127"/>
      <c r="T1135" s="11"/>
      <c r="U1135" s="124"/>
      <c r="V1135" s="11"/>
      <c r="W1135" s="124"/>
      <c r="X1135" s="128"/>
      <c r="Y1135" s="129"/>
    </row>
    <row r="1136" spans="14:25" x14ac:dyDescent="0.25">
      <c r="N1136" s="125"/>
      <c r="O1136" s="125"/>
      <c r="P1136" s="126"/>
      <c r="Q1136" s="62"/>
      <c r="R1136" s="62"/>
      <c r="S1136" s="127"/>
      <c r="T1136" s="11"/>
      <c r="U1136" s="124"/>
      <c r="V1136" s="11"/>
      <c r="W1136" s="124"/>
      <c r="X1136" s="128"/>
      <c r="Y1136" s="129"/>
    </row>
    <row r="1137" spans="14:25" x14ac:dyDescent="0.25">
      <c r="N1137" s="125"/>
      <c r="O1137" s="125"/>
      <c r="P1137" s="126"/>
      <c r="Q1137" s="62"/>
      <c r="R1137" s="62"/>
      <c r="S1137" s="127"/>
      <c r="T1137" s="11"/>
      <c r="U1137" s="124"/>
      <c r="V1137" s="11"/>
      <c r="W1137" s="124"/>
      <c r="X1137" s="128"/>
      <c r="Y1137" s="129"/>
    </row>
    <row r="1138" spans="14:25" x14ac:dyDescent="0.25">
      <c r="N1138" s="125"/>
      <c r="O1138" s="125"/>
      <c r="P1138" s="126"/>
      <c r="Q1138" s="62"/>
      <c r="R1138" s="62"/>
      <c r="S1138" s="127"/>
      <c r="T1138" s="11"/>
      <c r="U1138" s="124"/>
      <c r="V1138" s="11"/>
      <c r="W1138" s="124"/>
      <c r="X1138" s="128"/>
      <c r="Y1138" s="129"/>
    </row>
    <row r="1139" spans="14:25" x14ac:dyDescent="0.25">
      <c r="N1139" s="125"/>
      <c r="O1139" s="125"/>
      <c r="P1139" s="126"/>
      <c r="Q1139" s="62"/>
      <c r="R1139" s="62"/>
      <c r="S1139" s="127"/>
      <c r="T1139" s="11"/>
      <c r="U1139" s="124"/>
      <c r="V1139" s="11"/>
      <c r="W1139" s="124"/>
      <c r="X1139" s="128"/>
      <c r="Y1139" s="129"/>
    </row>
    <row r="1140" spans="14:25" x14ac:dyDescent="0.25">
      <c r="N1140" s="125"/>
      <c r="O1140" s="125"/>
      <c r="P1140" s="126"/>
      <c r="Q1140" s="62"/>
      <c r="R1140" s="62"/>
      <c r="S1140" s="127"/>
      <c r="T1140" s="11"/>
      <c r="U1140" s="124"/>
      <c r="V1140" s="11"/>
      <c r="W1140" s="124"/>
      <c r="X1140" s="128"/>
      <c r="Y1140" s="129"/>
    </row>
    <row r="1141" spans="14:25" x14ac:dyDescent="0.25">
      <c r="N1141" s="125"/>
      <c r="O1141" s="125"/>
      <c r="P1141" s="126"/>
      <c r="Q1141" s="62"/>
      <c r="R1141" s="62"/>
      <c r="S1141" s="127"/>
      <c r="T1141" s="11"/>
      <c r="U1141" s="124"/>
      <c r="V1141" s="11"/>
      <c r="W1141" s="124"/>
      <c r="X1141" s="128"/>
      <c r="Y1141" s="129"/>
    </row>
    <row r="1142" spans="14:25" x14ac:dyDescent="0.25">
      <c r="N1142" s="125"/>
      <c r="O1142" s="125"/>
      <c r="P1142" s="126"/>
      <c r="Q1142" s="62"/>
      <c r="R1142" s="62"/>
      <c r="S1142" s="127"/>
      <c r="T1142" s="11"/>
      <c r="U1142" s="124"/>
      <c r="V1142" s="11"/>
      <c r="W1142" s="124"/>
      <c r="X1142" s="128"/>
      <c r="Y1142" s="129"/>
    </row>
    <row r="1143" spans="14:25" x14ac:dyDescent="0.25">
      <c r="N1143" s="125"/>
      <c r="O1143" s="125"/>
      <c r="P1143" s="126"/>
      <c r="Q1143" s="62"/>
      <c r="R1143" s="62"/>
      <c r="S1143" s="127"/>
      <c r="T1143" s="11"/>
      <c r="U1143" s="124"/>
      <c r="V1143" s="11"/>
      <c r="W1143" s="124"/>
      <c r="X1143" s="128"/>
      <c r="Y1143" s="129"/>
    </row>
    <row r="1144" spans="14:25" x14ac:dyDescent="0.25">
      <c r="N1144" s="125"/>
      <c r="O1144" s="125"/>
      <c r="P1144" s="126"/>
      <c r="Q1144" s="62"/>
      <c r="R1144" s="62"/>
      <c r="S1144" s="127"/>
      <c r="T1144" s="11"/>
      <c r="U1144" s="124"/>
      <c r="V1144" s="11"/>
      <c r="W1144" s="124"/>
      <c r="X1144" s="128"/>
      <c r="Y1144" s="129"/>
    </row>
    <row r="1145" spans="14:25" x14ac:dyDescent="0.25">
      <c r="N1145" s="125"/>
      <c r="O1145" s="125"/>
      <c r="P1145" s="126"/>
      <c r="Q1145" s="62"/>
      <c r="R1145" s="62"/>
      <c r="S1145" s="127"/>
      <c r="T1145" s="11"/>
      <c r="U1145" s="124"/>
      <c r="V1145" s="11"/>
      <c r="W1145" s="124"/>
      <c r="X1145" s="128"/>
      <c r="Y1145" s="129"/>
    </row>
    <row r="1146" spans="14:25" x14ac:dyDescent="0.25">
      <c r="N1146" s="125"/>
      <c r="O1146" s="125"/>
      <c r="P1146" s="126"/>
      <c r="Q1146" s="62"/>
      <c r="R1146" s="62"/>
      <c r="S1146" s="127"/>
      <c r="T1146" s="11"/>
      <c r="U1146" s="124"/>
      <c r="V1146" s="11"/>
      <c r="W1146" s="124"/>
      <c r="X1146" s="128"/>
      <c r="Y1146" s="129"/>
    </row>
    <row r="1147" spans="14:25" x14ac:dyDescent="0.25">
      <c r="N1147" s="125"/>
      <c r="O1147" s="125"/>
      <c r="P1147" s="126"/>
      <c r="Q1147" s="62"/>
      <c r="R1147" s="62"/>
      <c r="S1147" s="127"/>
      <c r="T1147" s="11"/>
      <c r="U1147" s="124"/>
      <c r="V1147" s="11"/>
      <c r="W1147" s="124"/>
      <c r="X1147" s="128"/>
      <c r="Y1147" s="129"/>
    </row>
    <row r="1148" spans="14:25" x14ac:dyDescent="0.25">
      <c r="N1148" s="125"/>
      <c r="O1148" s="125"/>
      <c r="P1148" s="126"/>
      <c r="Q1148" s="62"/>
      <c r="R1148" s="62"/>
      <c r="S1148" s="127"/>
      <c r="T1148" s="11"/>
      <c r="U1148" s="124"/>
      <c r="V1148" s="11"/>
      <c r="W1148" s="124"/>
      <c r="X1148" s="128"/>
      <c r="Y1148" s="129"/>
    </row>
    <row r="1149" spans="14:25" x14ac:dyDescent="0.25">
      <c r="N1149" s="125"/>
      <c r="O1149" s="125"/>
      <c r="P1149" s="126"/>
      <c r="Q1149" s="62"/>
      <c r="R1149" s="62"/>
      <c r="S1149" s="127"/>
      <c r="T1149" s="11"/>
      <c r="U1149" s="124"/>
      <c r="V1149" s="11"/>
      <c r="W1149" s="124"/>
      <c r="X1149" s="128"/>
      <c r="Y1149" s="129"/>
    </row>
    <row r="1150" spans="14:25" x14ac:dyDescent="0.25">
      <c r="N1150" s="125"/>
      <c r="O1150" s="125"/>
      <c r="P1150" s="126"/>
      <c r="Q1150" s="62"/>
      <c r="R1150" s="62"/>
      <c r="S1150" s="127"/>
      <c r="T1150" s="11"/>
      <c r="U1150" s="124"/>
      <c r="V1150" s="11"/>
      <c r="W1150" s="124"/>
      <c r="X1150" s="128"/>
      <c r="Y1150" s="129"/>
    </row>
    <row r="1151" spans="14:25" x14ac:dyDescent="0.25">
      <c r="N1151" s="125"/>
      <c r="O1151" s="125"/>
      <c r="P1151" s="126"/>
      <c r="Q1151" s="62"/>
      <c r="R1151" s="62"/>
      <c r="S1151" s="127"/>
      <c r="T1151" s="11"/>
      <c r="U1151" s="124"/>
      <c r="V1151" s="11"/>
      <c r="W1151" s="124"/>
      <c r="X1151" s="128"/>
      <c r="Y1151" s="129"/>
    </row>
    <row r="1152" spans="14:25" x14ac:dyDescent="0.25">
      <c r="N1152" s="125"/>
      <c r="O1152" s="125"/>
      <c r="P1152" s="126"/>
      <c r="Q1152" s="62"/>
      <c r="R1152" s="62"/>
      <c r="S1152" s="127"/>
      <c r="T1152" s="11"/>
      <c r="U1152" s="124"/>
      <c r="V1152" s="11"/>
      <c r="W1152" s="124"/>
      <c r="X1152" s="128"/>
      <c r="Y1152" s="129"/>
    </row>
    <row r="1153" spans="14:25" x14ac:dyDescent="0.25">
      <c r="N1153" s="125"/>
      <c r="O1153" s="125"/>
      <c r="P1153" s="126"/>
      <c r="Q1153" s="62"/>
      <c r="R1153" s="62"/>
      <c r="S1153" s="127"/>
      <c r="T1153" s="11"/>
      <c r="U1153" s="124"/>
      <c r="V1153" s="11"/>
      <c r="W1153" s="124"/>
      <c r="X1153" s="128"/>
      <c r="Y1153" s="129"/>
    </row>
    <row r="1154" spans="14:25" x14ac:dyDescent="0.25">
      <c r="N1154" s="125"/>
      <c r="O1154" s="125"/>
      <c r="P1154" s="126"/>
      <c r="Q1154" s="62"/>
      <c r="R1154" s="62"/>
      <c r="S1154" s="127"/>
      <c r="T1154" s="11"/>
      <c r="U1154" s="124"/>
      <c r="V1154" s="11"/>
      <c r="W1154" s="124"/>
      <c r="X1154" s="128"/>
      <c r="Y1154" s="129"/>
    </row>
    <row r="1155" spans="14:25" x14ac:dyDescent="0.25">
      <c r="N1155" s="125"/>
      <c r="O1155" s="125"/>
      <c r="P1155" s="126"/>
      <c r="Q1155" s="62"/>
      <c r="R1155" s="62"/>
      <c r="S1155" s="127"/>
      <c r="T1155" s="11"/>
      <c r="U1155" s="124"/>
      <c r="V1155" s="11"/>
      <c r="W1155" s="124"/>
      <c r="X1155" s="128"/>
      <c r="Y1155" s="129"/>
    </row>
    <row r="1156" spans="14:25" x14ac:dyDescent="0.25">
      <c r="N1156" s="125"/>
      <c r="O1156" s="125"/>
      <c r="P1156" s="126"/>
      <c r="Q1156" s="62"/>
      <c r="R1156" s="62"/>
      <c r="S1156" s="127"/>
      <c r="T1156" s="11"/>
      <c r="U1156" s="124"/>
      <c r="V1156" s="11"/>
      <c r="W1156" s="124"/>
      <c r="X1156" s="128"/>
      <c r="Y1156" s="129"/>
    </row>
    <row r="1157" spans="14:25" x14ac:dyDescent="0.25">
      <c r="N1157" s="125"/>
      <c r="O1157" s="125"/>
      <c r="P1157" s="126"/>
      <c r="Q1157" s="62"/>
      <c r="R1157" s="62"/>
      <c r="S1157" s="127"/>
      <c r="T1157" s="11"/>
      <c r="U1157" s="124"/>
      <c r="V1157" s="11"/>
      <c r="W1157" s="124"/>
      <c r="X1157" s="128"/>
      <c r="Y1157" s="129"/>
    </row>
    <row r="1158" spans="14:25" x14ac:dyDescent="0.25">
      <c r="N1158" s="125"/>
      <c r="O1158" s="125"/>
      <c r="P1158" s="126"/>
      <c r="Q1158" s="62"/>
      <c r="R1158" s="62"/>
      <c r="S1158" s="127"/>
      <c r="T1158" s="11"/>
      <c r="U1158" s="124"/>
      <c r="V1158" s="11"/>
      <c r="W1158" s="124"/>
      <c r="X1158" s="128"/>
      <c r="Y1158" s="129"/>
    </row>
    <row r="1159" spans="14:25" x14ac:dyDescent="0.25">
      <c r="N1159" s="125"/>
      <c r="O1159" s="125"/>
      <c r="P1159" s="126"/>
      <c r="Q1159" s="62"/>
      <c r="R1159" s="62"/>
      <c r="S1159" s="127"/>
      <c r="T1159" s="11"/>
      <c r="U1159" s="124"/>
      <c r="V1159" s="11"/>
      <c r="W1159" s="124"/>
      <c r="X1159" s="128"/>
      <c r="Y1159" s="129"/>
    </row>
    <row r="1160" spans="14:25" x14ac:dyDescent="0.25">
      <c r="N1160" s="125"/>
      <c r="O1160" s="125"/>
      <c r="P1160" s="126"/>
      <c r="Q1160" s="62"/>
      <c r="R1160" s="62"/>
      <c r="S1160" s="127"/>
      <c r="T1160" s="11"/>
      <c r="U1160" s="124"/>
      <c r="V1160" s="11"/>
      <c r="W1160" s="124"/>
      <c r="X1160" s="128"/>
      <c r="Y1160" s="129"/>
    </row>
    <row r="1161" spans="14:25" x14ac:dyDescent="0.25">
      <c r="N1161" s="125"/>
      <c r="O1161" s="125"/>
      <c r="P1161" s="126"/>
      <c r="Q1161" s="62"/>
      <c r="R1161" s="62"/>
      <c r="S1161" s="127"/>
      <c r="T1161" s="11"/>
      <c r="U1161" s="124"/>
      <c r="V1161" s="11"/>
      <c r="W1161" s="124"/>
      <c r="X1161" s="128"/>
      <c r="Y1161" s="129"/>
    </row>
    <row r="1162" spans="14:25" x14ac:dyDescent="0.25">
      <c r="N1162" s="125"/>
      <c r="O1162" s="125"/>
      <c r="P1162" s="126"/>
      <c r="Q1162" s="62"/>
      <c r="R1162" s="62"/>
      <c r="S1162" s="127"/>
      <c r="T1162" s="11"/>
      <c r="U1162" s="124"/>
      <c r="V1162" s="11"/>
      <c r="W1162" s="124"/>
      <c r="X1162" s="128"/>
      <c r="Y1162" s="129"/>
    </row>
    <row r="1163" spans="14:25" x14ac:dyDescent="0.25">
      <c r="N1163" s="125"/>
      <c r="O1163" s="125"/>
      <c r="P1163" s="126"/>
      <c r="Q1163" s="62"/>
      <c r="R1163" s="62"/>
      <c r="S1163" s="127"/>
      <c r="T1163" s="11"/>
      <c r="U1163" s="124"/>
      <c r="V1163" s="11"/>
      <c r="W1163" s="124"/>
      <c r="X1163" s="128"/>
      <c r="Y1163" s="129"/>
    </row>
    <row r="1164" spans="14:25" x14ac:dyDescent="0.25">
      <c r="N1164" s="125"/>
      <c r="O1164" s="125"/>
      <c r="P1164" s="126"/>
      <c r="Q1164" s="62"/>
      <c r="R1164" s="62"/>
      <c r="S1164" s="127"/>
      <c r="T1164" s="11"/>
      <c r="U1164" s="124"/>
      <c r="V1164" s="11"/>
      <c r="W1164" s="124"/>
      <c r="X1164" s="128"/>
      <c r="Y1164" s="129"/>
    </row>
    <row r="1165" spans="14:25" x14ac:dyDescent="0.25">
      <c r="N1165" s="125"/>
      <c r="O1165" s="125"/>
      <c r="P1165" s="126"/>
      <c r="Q1165" s="62"/>
      <c r="R1165" s="62"/>
      <c r="S1165" s="127"/>
      <c r="T1165" s="11"/>
      <c r="U1165" s="124"/>
      <c r="V1165" s="11"/>
      <c r="W1165" s="124"/>
      <c r="X1165" s="128"/>
      <c r="Y1165" s="129"/>
    </row>
    <row r="1166" spans="14:25" x14ac:dyDescent="0.25">
      <c r="N1166" s="125"/>
      <c r="O1166" s="125"/>
      <c r="P1166" s="126"/>
      <c r="Q1166" s="62"/>
      <c r="R1166" s="62"/>
      <c r="S1166" s="127"/>
      <c r="T1166" s="11"/>
      <c r="U1166" s="124"/>
      <c r="V1166" s="11"/>
      <c r="W1166" s="124"/>
      <c r="X1166" s="128"/>
      <c r="Y1166" s="129"/>
    </row>
    <row r="1167" spans="14:25" x14ac:dyDescent="0.25">
      <c r="N1167" s="125"/>
      <c r="O1167" s="125"/>
      <c r="P1167" s="126"/>
      <c r="Q1167" s="62"/>
      <c r="R1167" s="62"/>
      <c r="S1167" s="127"/>
      <c r="T1167" s="11"/>
      <c r="U1167" s="124"/>
      <c r="V1167" s="11"/>
      <c r="W1167" s="124"/>
      <c r="X1167" s="128"/>
      <c r="Y1167" s="129"/>
    </row>
    <row r="1168" spans="14:25" x14ac:dyDescent="0.25">
      <c r="N1168" s="125"/>
      <c r="O1168" s="125"/>
      <c r="P1168" s="126"/>
      <c r="Q1168" s="62"/>
      <c r="R1168" s="62"/>
      <c r="S1168" s="127"/>
      <c r="T1168" s="11"/>
      <c r="U1168" s="124"/>
      <c r="V1168" s="11"/>
      <c r="W1168" s="124"/>
      <c r="X1168" s="128"/>
      <c r="Y1168" s="129"/>
    </row>
    <row r="1169" spans="14:25" x14ac:dyDescent="0.25">
      <c r="N1169" s="125"/>
      <c r="O1169" s="125"/>
      <c r="P1169" s="126"/>
      <c r="Q1169" s="62"/>
      <c r="R1169" s="62"/>
      <c r="S1169" s="127"/>
      <c r="T1169" s="11"/>
      <c r="U1169" s="124"/>
      <c r="V1169" s="11"/>
      <c r="W1169" s="124"/>
      <c r="X1169" s="128"/>
      <c r="Y1169" s="129"/>
    </row>
    <row r="1170" spans="14:25" x14ac:dyDescent="0.25">
      <c r="N1170" s="125"/>
      <c r="O1170" s="125"/>
      <c r="P1170" s="126"/>
      <c r="Q1170" s="62"/>
      <c r="R1170" s="62"/>
      <c r="S1170" s="127"/>
      <c r="T1170" s="11"/>
      <c r="U1170" s="124"/>
      <c r="V1170" s="11"/>
      <c r="W1170" s="124"/>
      <c r="X1170" s="128"/>
      <c r="Y1170" s="129"/>
    </row>
    <row r="1171" spans="14:25" x14ac:dyDescent="0.25">
      <c r="N1171" s="125"/>
      <c r="O1171" s="125"/>
      <c r="P1171" s="126"/>
      <c r="Q1171" s="62"/>
      <c r="R1171" s="62"/>
      <c r="S1171" s="127"/>
      <c r="T1171" s="11"/>
      <c r="U1171" s="124"/>
      <c r="V1171" s="11"/>
      <c r="W1171" s="124"/>
      <c r="X1171" s="128"/>
      <c r="Y1171" s="129"/>
    </row>
    <row r="1172" spans="14:25" x14ac:dyDescent="0.25">
      <c r="N1172" s="125"/>
      <c r="O1172" s="125"/>
      <c r="P1172" s="126"/>
      <c r="Q1172" s="62"/>
      <c r="R1172" s="62"/>
      <c r="S1172" s="127"/>
      <c r="T1172" s="11"/>
      <c r="U1172" s="124"/>
      <c r="V1172" s="11"/>
      <c r="W1172" s="124"/>
      <c r="X1172" s="128"/>
      <c r="Y1172" s="129"/>
    </row>
    <row r="1173" spans="14:25" x14ac:dyDescent="0.25">
      <c r="N1173" s="125"/>
      <c r="O1173" s="125"/>
      <c r="P1173" s="126"/>
      <c r="Q1173" s="62"/>
      <c r="R1173" s="62"/>
      <c r="S1173" s="127"/>
      <c r="T1173" s="11"/>
      <c r="U1173" s="124"/>
      <c r="V1173" s="11"/>
      <c r="W1173" s="124"/>
      <c r="X1173" s="128"/>
      <c r="Y1173" s="129"/>
    </row>
    <row r="1174" spans="14:25" x14ac:dyDescent="0.25">
      <c r="N1174" s="125"/>
      <c r="O1174" s="125"/>
      <c r="P1174" s="126"/>
      <c r="Q1174" s="62"/>
      <c r="R1174" s="62"/>
      <c r="S1174" s="127"/>
      <c r="T1174" s="11"/>
      <c r="U1174" s="124"/>
      <c r="V1174" s="11"/>
      <c r="W1174" s="124"/>
      <c r="X1174" s="128"/>
      <c r="Y1174" s="129"/>
    </row>
    <row r="1175" spans="14:25" x14ac:dyDescent="0.25">
      <c r="N1175" s="125"/>
      <c r="O1175" s="125"/>
      <c r="P1175" s="126"/>
      <c r="Q1175" s="62"/>
      <c r="R1175" s="62"/>
      <c r="S1175" s="127"/>
      <c r="T1175" s="11"/>
      <c r="U1175" s="124"/>
      <c r="V1175" s="11"/>
      <c r="W1175" s="124"/>
      <c r="X1175" s="128"/>
      <c r="Y1175" s="129"/>
    </row>
    <row r="1176" spans="14:25" x14ac:dyDescent="0.25">
      <c r="N1176" s="125"/>
      <c r="O1176" s="125"/>
      <c r="P1176" s="126"/>
      <c r="Q1176" s="62"/>
      <c r="R1176" s="62"/>
      <c r="S1176" s="127"/>
      <c r="T1176" s="11"/>
      <c r="U1176" s="124"/>
      <c r="V1176" s="11"/>
      <c r="W1176" s="124"/>
      <c r="X1176" s="128"/>
      <c r="Y1176" s="129"/>
    </row>
    <row r="1177" spans="14:25" x14ac:dyDescent="0.25">
      <c r="N1177" s="125"/>
      <c r="O1177" s="125"/>
      <c r="P1177" s="126"/>
      <c r="Q1177" s="62"/>
      <c r="R1177" s="62"/>
      <c r="S1177" s="127"/>
      <c r="T1177" s="11"/>
      <c r="U1177" s="124"/>
      <c r="V1177" s="11"/>
      <c r="W1177" s="124"/>
      <c r="X1177" s="128"/>
      <c r="Y1177" s="129"/>
    </row>
    <row r="1178" spans="14:25" x14ac:dyDescent="0.25">
      <c r="N1178" s="125"/>
      <c r="O1178" s="125"/>
      <c r="P1178" s="126"/>
      <c r="Q1178" s="62"/>
      <c r="R1178" s="62"/>
      <c r="S1178" s="127"/>
      <c r="T1178" s="11"/>
      <c r="U1178" s="124"/>
      <c r="V1178" s="11"/>
      <c r="W1178" s="124"/>
      <c r="X1178" s="128"/>
      <c r="Y1178" s="129"/>
    </row>
    <row r="1179" spans="14:25" x14ac:dyDescent="0.25">
      <c r="N1179" s="125"/>
      <c r="O1179" s="125"/>
      <c r="P1179" s="126"/>
      <c r="Q1179" s="62"/>
      <c r="R1179" s="62"/>
      <c r="S1179" s="127"/>
      <c r="T1179" s="11"/>
      <c r="U1179" s="124"/>
      <c r="V1179" s="11"/>
      <c r="W1179" s="124"/>
      <c r="X1179" s="128"/>
      <c r="Y1179" s="129"/>
    </row>
    <row r="1180" spans="14:25" x14ac:dyDescent="0.25">
      <c r="N1180" s="125"/>
      <c r="O1180" s="125"/>
      <c r="P1180" s="126"/>
      <c r="Q1180" s="62"/>
      <c r="R1180" s="62"/>
      <c r="S1180" s="127"/>
      <c r="T1180" s="11"/>
      <c r="U1180" s="124"/>
      <c r="V1180" s="11"/>
      <c r="W1180" s="124"/>
      <c r="X1180" s="128"/>
      <c r="Y1180" s="129"/>
    </row>
    <row r="1181" spans="14:25" x14ac:dyDescent="0.25">
      <c r="N1181" s="125"/>
      <c r="O1181" s="125"/>
      <c r="P1181" s="126"/>
      <c r="Q1181" s="62"/>
      <c r="R1181" s="62"/>
      <c r="S1181" s="127"/>
      <c r="T1181" s="11"/>
      <c r="U1181" s="124"/>
      <c r="V1181" s="11"/>
      <c r="W1181" s="124"/>
      <c r="X1181" s="128"/>
      <c r="Y1181" s="129"/>
    </row>
    <row r="1182" spans="14:25" x14ac:dyDescent="0.25">
      <c r="N1182" s="125"/>
      <c r="O1182" s="125"/>
      <c r="P1182" s="126"/>
      <c r="Q1182" s="62"/>
      <c r="R1182" s="62"/>
      <c r="S1182" s="127"/>
      <c r="T1182" s="11"/>
      <c r="U1182" s="124"/>
      <c r="V1182" s="11"/>
      <c r="W1182" s="124"/>
      <c r="X1182" s="128"/>
      <c r="Y1182" s="129"/>
    </row>
    <row r="1183" spans="14:25" x14ac:dyDescent="0.25">
      <c r="N1183" s="125"/>
      <c r="O1183" s="125"/>
      <c r="P1183" s="126"/>
      <c r="Q1183" s="62"/>
      <c r="R1183" s="62"/>
      <c r="S1183" s="127"/>
      <c r="T1183" s="11"/>
      <c r="U1183" s="124"/>
      <c r="V1183" s="11"/>
      <c r="W1183" s="124"/>
      <c r="X1183" s="128"/>
      <c r="Y1183" s="129"/>
    </row>
    <row r="1184" spans="14:25" x14ac:dyDescent="0.25">
      <c r="N1184" s="125"/>
      <c r="O1184" s="125"/>
      <c r="P1184" s="126"/>
      <c r="Q1184" s="62"/>
      <c r="R1184" s="62"/>
      <c r="S1184" s="127"/>
      <c r="T1184" s="11"/>
      <c r="U1184" s="124"/>
      <c r="V1184" s="11"/>
      <c r="W1184" s="124"/>
      <c r="X1184" s="128"/>
      <c r="Y1184" s="129"/>
    </row>
    <row r="1185" spans="14:25" x14ac:dyDescent="0.25">
      <c r="N1185" s="125"/>
      <c r="O1185" s="125"/>
      <c r="P1185" s="126"/>
      <c r="Q1185" s="62"/>
      <c r="R1185" s="62"/>
      <c r="S1185" s="127"/>
      <c r="T1185" s="11"/>
      <c r="U1185" s="124"/>
      <c r="V1185" s="11"/>
      <c r="W1185" s="124"/>
      <c r="X1185" s="128"/>
      <c r="Y1185" s="129"/>
    </row>
    <row r="1186" spans="14:25" x14ac:dyDescent="0.25">
      <c r="N1186" s="125"/>
      <c r="O1186" s="125"/>
      <c r="P1186" s="126"/>
      <c r="Q1186" s="62"/>
      <c r="R1186" s="62"/>
      <c r="S1186" s="127"/>
      <c r="T1186" s="11"/>
      <c r="U1186" s="124"/>
      <c r="V1186" s="11"/>
      <c r="W1186" s="124"/>
      <c r="X1186" s="128"/>
      <c r="Y1186" s="129"/>
    </row>
    <row r="1187" spans="14:25" x14ac:dyDescent="0.25">
      <c r="N1187" s="125"/>
      <c r="O1187" s="125"/>
      <c r="P1187" s="126"/>
      <c r="Q1187" s="62"/>
      <c r="R1187" s="62"/>
      <c r="S1187" s="127"/>
      <c r="T1187" s="11"/>
      <c r="U1187" s="124"/>
      <c r="V1187" s="11"/>
      <c r="W1187" s="124"/>
      <c r="X1187" s="128"/>
      <c r="Y1187" s="129"/>
    </row>
    <row r="1188" spans="14:25" x14ac:dyDescent="0.25">
      <c r="N1188" s="125"/>
      <c r="O1188" s="125"/>
      <c r="P1188" s="126"/>
      <c r="Q1188" s="62"/>
      <c r="R1188" s="62"/>
      <c r="S1188" s="127"/>
      <c r="T1188" s="11"/>
      <c r="U1188" s="124"/>
      <c r="V1188" s="11"/>
      <c r="W1188" s="124"/>
      <c r="X1188" s="128"/>
      <c r="Y1188" s="129"/>
    </row>
    <row r="1189" spans="14:25" x14ac:dyDescent="0.25">
      <c r="N1189" s="125"/>
      <c r="O1189" s="125"/>
      <c r="P1189" s="126"/>
      <c r="Q1189" s="62"/>
      <c r="R1189" s="62"/>
      <c r="S1189" s="127"/>
      <c r="T1189" s="11"/>
      <c r="U1189" s="124"/>
      <c r="V1189" s="11"/>
      <c r="W1189" s="124"/>
      <c r="X1189" s="128"/>
      <c r="Y1189" s="129"/>
    </row>
    <row r="1190" spans="14:25" x14ac:dyDescent="0.25">
      <c r="N1190" s="125"/>
      <c r="O1190" s="125"/>
      <c r="P1190" s="126"/>
      <c r="Q1190" s="62"/>
      <c r="R1190" s="62"/>
      <c r="S1190" s="127"/>
      <c r="T1190" s="11"/>
      <c r="U1190" s="124"/>
      <c r="V1190" s="11"/>
      <c r="W1190" s="124"/>
      <c r="X1190" s="128"/>
      <c r="Y1190" s="129"/>
    </row>
    <row r="1191" spans="14:25" x14ac:dyDescent="0.25">
      <c r="N1191" s="125"/>
      <c r="O1191" s="125"/>
      <c r="P1191" s="126"/>
      <c r="Q1191" s="62"/>
      <c r="R1191" s="62"/>
      <c r="S1191" s="127"/>
      <c r="T1191" s="11"/>
      <c r="U1191" s="124"/>
      <c r="V1191" s="11"/>
      <c r="W1191" s="124"/>
      <c r="X1191" s="128"/>
      <c r="Y1191" s="129"/>
    </row>
    <row r="1192" spans="14:25" x14ac:dyDescent="0.25">
      <c r="N1192" s="125"/>
      <c r="O1192" s="125"/>
      <c r="P1192" s="126"/>
      <c r="Q1192" s="62"/>
      <c r="R1192" s="62"/>
      <c r="S1192" s="127"/>
      <c r="T1192" s="11"/>
      <c r="U1192" s="124"/>
      <c r="V1192" s="11"/>
      <c r="W1192" s="124"/>
      <c r="X1192" s="128"/>
      <c r="Y1192" s="129"/>
    </row>
    <row r="1193" spans="14:25" x14ac:dyDescent="0.25">
      <c r="N1193" s="125"/>
      <c r="O1193" s="125"/>
      <c r="P1193" s="126"/>
      <c r="Q1193" s="62"/>
      <c r="R1193" s="62"/>
      <c r="S1193" s="127"/>
      <c r="T1193" s="11"/>
      <c r="U1193" s="124"/>
      <c r="V1193" s="11"/>
      <c r="W1193" s="124"/>
      <c r="X1193" s="128"/>
      <c r="Y1193" s="129"/>
    </row>
    <row r="1194" spans="14:25" x14ac:dyDescent="0.25">
      <c r="N1194" s="125"/>
      <c r="O1194" s="125"/>
      <c r="P1194" s="126"/>
      <c r="Q1194" s="62"/>
      <c r="R1194" s="62"/>
      <c r="S1194" s="127"/>
      <c r="T1194" s="11"/>
      <c r="U1194" s="124"/>
      <c r="V1194" s="11"/>
      <c r="W1194" s="124"/>
      <c r="X1194" s="128"/>
      <c r="Y1194" s="129"/>
    </row>
    <row r="1195" spans="14:25" x14ac:dyDescent="0.25">
      <c r="N1195" s="125"/>
      <c r="O1195" s="125"/>
      <c r="P1195" s="126"/>
      <c r="Q1195" s="62"/>
      <c r="R1195" s="62"/>
      <c r="S1195" s="127"/>
      <c r="T1195" s="11"/>
      <c r="U1195" s="124"/>
      <c r="V1195" s="11"/>
      <c r="W1195" s="124"/>
      <c r="X1195" s="128"/>
      <c r="Y1195" s="129"/>
    </row>
    <row r="1196" spans="14:25" x14ac:dyDescent="0.25">
      <c r="N1196" s="125"/>
      <c r="O1196" s="125"/>
      <c r="P1196" s="126"/>
      <c r="Q1196" s="62"/>
      <c r="R1196" s="62"/>
      <c r="S1196" s="127"/>
      <c r="T1196" s="11"/>
      <c r="U1196" s="124"/>
      <c r="V1196" s="11"/>
      <c r="W1196" s="124"/>
      <c r="X1196" s="128"/>
      <c r="Y1196" s="129"/>
    </row>
    <row r="1197" spans="14:25" x14ac:dyDescent="0.25">
      <c r="N1197" s="125"/>
      <c r="O1197" s="125"/>
      <c r="P1197" s="126"/>
      <c r="Q1197" s="62"/>
      <c r="R1197" s="62"/>
      <c r="S1197" s="127"/>
      <c r="T1197" s="11"/>
      <c r="U1197" s="124"/>
      <c r="V1197" s="11"/>
      <c r="W1197" s="124"/>
      <c r="X1197" s="128"/>
      <c r="Y1197" s="129"/>
    </row>
    <row r="1198" spans="14:25" x14ac:dyDescent="0.25">
      <c r="N1198" s="125"/>
      <c r="O1198" s="125"/>
      <c r="P1198" s="126"/>
      <c r="Q1198" s="62"/>
      <c r="R1198" s="62"/>
      <c r="S1198" s="127"/>
      <c r="T1198" s="11"/>
      <c r="U1198" s="124"/>
      <c r="V1198" s="11"/>
      <c r="W1198" s="124"/>
      <c r="X1198" s="128"/>
      <c r="Y1198" s="129"/>
    </row>
    <row r="1199" spans="14:25" x14ac:dyDescent="0.25">
      <c r="N1199" s="125"/>
      <c r="O1199" s="125"/>
      <c r="P1199" s="126"/>
      <c r="Q1199" s="62"/>
      <c r="R1199" s="62"/>
      <c r="S1199" s="127"/>
      <c r="T1199" s="11"/>
      <c r="U1199" s="124"/>
      <c r="V1199" s="11"/>
      <c r="W1199" s="124"/>
      <c r="X1199" s="128"/>
      <c r="Y1199" s="129"/>
    </row>
    <row r="1200" spans="14:25" x14ac:dyDescent="0.25">
      <c r="N1200" s="125"/>
      <c r="O1200" s="125"/>
      <c r="P1200" s="126"/>
      <c r="Q1200" s="62"/>
      <c r="R1200" s="62"/>
      <c r="S1200" s="127"/>
      <c r="T1200" s="11"/>
      <c r="U1200" s="124"/>
      <c r="V1200" s="11"/>
      <c r="W1200" s="124"/>
      <c r="X1200" s="128"/>
      <c r="Y1200" s="129"/>
    </row>
    <row r="1201" spans="14:25" x14ac:dyDescent="0.25">
      <c r="N1201" s="125"/>
      <c r="O1201" s="125"/>
      <c r="P1201" s="126"/>
      <c r="Q1201" s="62"/>
      <c r="R1201" s="62"/>
      <c r="S1201" s="127"/>
      <c r="T1201" s="11"/>
      <c r="U1201" s="124"/>
      <c r="V1201" s="11"/>
      <c r="W1201" s="124"/>
      <c r="X1201" s="128"/>
      <c r="Y1201" s="129"/>
    </row>
    <row r="1202" spans="14:25" x14ac:dyDescent="0.25">
      <c r="N1202" s="125"/>
      <c r="O1202" s="125"/>
      <c r="P1202" s="126"/>
      <c r="Q1202" s="62"/>
      <c r="R1202" s="62"/>
      <c r="S1202" s="127"/>
      <c r="T1202" s="11"/>
      <c r="U1202" s="124"/>
      <c r="V1202" s="11"/>
      <c r="W1202" s="124"/>
      <c r="X1202" s="128"/>
      <c r="Y1202" s="129"/>
    </row>
    <row r="1203" spans="14:25" x14ac:dyDescent="0.25">
      <c r="N1203" s="125"/>
      <c r="O1203" s="125"/>
      <c r="P1203" s="126"/>
      <c r="Q1203" s="62"/>
      <c r="R1203" s="62"/>
      <c r="S1203" s="127"/>
      <c r="T1203" s="11"/>
      <c r="U1203" s="124"/>
      <c r="V1203" s="11"/>
      <c r="W1203" s="124"/>
      <c r="X1203" s="128"/>
      <c r="Y1203" s="129"/>
    </row>
    <row r="1204" spans="14:25" x14ac:dyDescent="0.25">
      <c r="N1204" s="125"/>
      <c r="O1204" s="125"/>
      <c r="P1204" s="126"/>
      <c r="Q1204" s="62"/>
      <c r="R1204" s="62"/>
      <c r="S1204" s="127"/>
      <c r="T1204" s="11"/>
      <c r="U1204" s="124"/>
      <c r="V1204" s="11"/>
      <c r="W1204" s="124"/>
      <c r="X1204" s="128"/>
      <c r="Y1204" s="129"/>
    </row>
    <row r="1205" spans="14:25" x14ac:dyDescent="0.25">
      <c r="N1205" s="125"/>
      <c r="O1205" s="125"/>
      <c r="P1205" s="126"/>
      <c r="Q1205" s="62"/>
      <c r="R1205" s="62"/>
      <c r="S1205" s="127"/>
      <c r="T1205" s="11"/>
      <c r="U1205" s="124"/>
      <c r="V1205" s="11"/>
      <c r="W1205" s="124"/>
      <c r="X1205" s="128"/>
      <c r="Y1205" s="129"/>
    </row>
    <row r="1206" spans="14:25" x14ac:dyDescent="0.25">
      <c r="N1206" s="125"/>
      <c r="O1206" s="125"/>
      <c r="P1206" s="126"/>
      <c r="Q1206" s="62"/>
      <c r="R1206" s="62"/>
      <c r="S1206" s="127"/>
      <c r="T1206" s="11"/>
      <c r="U1206" s="124"/>
      <c r="V1206" s="11"/>
      <c r="W1206" s="124"/>
      <c r="X1206" s="128"/>
      <c r="Y1206" s="129"/>
    </row>
    <row r="1207" spans="14:25" x14ac:dyDescent="0.25">
      <c r="N1207" s="125"/>
      <c r="O1207" s="125"/>
      <c r="P1207" s="126"/>
      <c r="Q1207" s="62"/>
      <c r="R1207" s="62"/>
      <c r="S1207" s="127"/>
      <c r="T1207" s="11"/>
      <c r="U1207" s="124"/>
      <c r="V1207" s="11"/>
      <c r="W1207" s="124"/>
      <c r="X1207" s="128"/>
      <c r="Y1207" s="129"/>
    </row>
    <row r="1208" spans="14:25" x14ac:dyDescent="0.25">
      <c r="N1208" s="125"/>
      <c r="O1208" s="125"/>
      <c r="P1208" s="126"/>
      <c r="Q1208" s="62"/>
      <c r="R1208" s="62"/>
      <c r="S1208" s="127"/>
      <c r="T1208" s="11"/>
      <c r="U1208" s="124"/>
      <c r="V1208" s="11"/>
      <c r="W1208" s="124"/>
      <c r="X1208" s="128"/>
      <c r="Y1208" s="129"/>
    </row>
    <row r="1209" spans="14:25" x14ac:dyDescent="0.25">
      <c r="N1209" s="125"/>
      <c r="O1209" s="125"/>
      <c r="P1209" s="126"/>
      <c r="Q1209" s="62"/>
      <c r="R1209" s="62"/>
      <c r="S1209" s="127"/>
      <c r="T1209" s="11"/>
      <c r="U1209" s="124"/>
      <c r="V1209" s="11"/>
      <c r="W1209" s="124"/>
      <c r="X1209" s="128"/>
      <c r="Y1209" s="129"/>
    </row>
    <row r="1210" spans="14:25" x14ac:dyDescent="0.25">
      <c r="N1210" s="125"/>
      <c r="O1210" s="125"/>
      <c r="P1210" s="126"/>
      <c r="Q1210" s="62"/>
      <c r="R1210" s="62"/>
      <c r="S1210" s="127"/>
      <c r="T1210" s="11"/>
      <c r="U1210" s="124"/>
      <c r="V1210" s="11"/>
      <c r="W1210" s="124"/>
      <c r="X1210" s="128"/>
      <c r="Y1210" s="129"/>
    </row>
    <row r="1211" spans="14:25" x14ac:dyDescent="0.25">
      <c r="N1211" s="125"/>
      <c r="O1211" s="125"/>
      <c r="P1211" s="126"/>
      <c r="Q1211" s="62"/>
      <c r="R1211" s="62"/>
      <c r="S1211" s="127"/>
      <c r="T1211" s="11"/>
      <c r="U1211" s="124"/>
      <c r="V1211" s="11"/>
      <c r="W1211" s="124"/>
      <c r="X1211" s="128"/>
      <c r="Y1211" s="129"/>
    </row>
    <row r="1212" spans="14:25" x14ac:dyDescent="0.25">
      <c r="N1212" s="125"/>
      <c r="O1212" s="125"/>
      <c r="P1212" s="126"/>
      <c r="Q1212" s="62"/>
      <c r="R1212" s="62"/>
      <c r="S1212" s="127"/>
      <c r="T1212" s="11"/>
      <c r="U1212" s="124"/>
      <c r="V1212" s="11"/>
      <c r="W1212" s="124"/>
      <c r="X1212" s="128"/>
      <c r="Y1212" s="129"/>
    </row>
    <row r="1213" spans="14:25" x14ac:dyDescent="0.25">
      <c r="N1213" s="125"/>
      <c r="O1213" s="125"/>
      <c r="P1213" s="126"/>
      <c r="Q1213" s="62"/>
      <c r="R1213" s="62"/>
      <c r="S1213" s="127"/>
      <c r="T1213" s="11"/>
      <c r="U1213" s="124"/>
      <c r="V1213" s="11"/>
      <c r="W1213" s="124"/>
      <c r="X1213" s="128"/>
      <c r="Y1213" s="129"/>
    </row>
    <row r="1214" spans="14:25" x14ac:dyDescent="0.25">
      <c r="N1214" s="125"/>
      <c r="O1214" s="125"/>
      <c r="P1214" s="126"/>
      <c r="Q1214" s="62"/>
      <c r="R1214" s="62"/>
      <c r="S1214" s="127"/>
      <c r="T1214" s="11"/>
      <c r="U1214" s="124"/>
      <c r="V1214" s="11"/>
      <c r="W1214" s="124"/>
      <c r="X1214" s="128"/>
      <c r="Y1214" s="129"/>
    </row>
    <row r="1215" spans="14:25" x14ac:dyDescent="0.25">
      <c r="N1215" s="125"/>
      <c r="O1215" s="125"/>
      <c r="P1215" s="126"/>
      <c r="Q1215" s="62"/>
      <c r="R1215" s="62"/>
      <c r="S1215" s="127"/>
      <c r="T1215" s="11"/>
      <c r="U1215" s="124"/>
      <c r="V1215" s="11"/>
      <c r="W1215" s="124"/>
      <c r="X1215" s="128"/>
      <c r="Y1215" s="129"/>
    </row>
    <row r="1216" spans="14:25" x14ac:dyDescent="0.25">
      <c r="N1216" s="125"/>
      <c r="O1216" s="125"/>
      <c r="P1216" s="126"/>
      <c r="Q1216" s="62"/>
      <c r="R1216" s="62"/>
      <c r="S1216" s="127"/>
      <c r="T1216" s="11"/>
      <c r="U1216" s="124"/>
      <c r="V1216" s="11"/>
      <c r="W1216" s="124"/>
      <c r="X1216" s="128"/>
      <c r="Y1216" s="129"/>
    </row>
    <row r="1217" spans="14:25" x14ac:dyDescent="0.25">
      <c r="N1217" s="125"/>
      <c r="O1217" s="125"/>
      <c r="P1217" s="126"/>
      <c r="Q1217" s="62"/>
      <c r="R1217" s="62"/>
      <c r="S1217" s="127"/>
      <c r="T1217" s="11"/>
      <c r="U1217" s="124"/>
      <c r="V1217" s="11"/>
      <c r="W1217" s="124"/>
      <c r="X1217" s="128"/>
      <c r="Y1217" s="129"/>
    </row>
    <row r="1218" spans="14:25" x14ac:dyDescent="0.25">
      <c r="N1218" s="125"/>
      <c r="O1218" s="125"/>
      <c r="P1218" s="126"/>
      <c r="Q1218" s="62"/>
      <c r="R1218" s="62"/>
      <c r="S1218" s="127"/>
      <c r="T1218" s="11"/>
      <c r="U1218" s="124"/>
      <c r="V1218" s="11"/>
      <c r="W1218" s="124"/>
      <c r="X1218" s="128"/>
      <c r="Y1218" s="129"/>
    </row>
    <row r="1219" spans="14:25" x14ac:dyDescent="0.25">
      <c r="N1219" s="125"/>
      <c r="O1219" s="125"/>
      <c r="P1219" s="126"/>
      <c r="Q1219" s="62"/>
      <c r="R1219" s="62"/>
      <c r="S1219" s="127"/>
      <c r="T1219" s="11"/>
      <c r="U1219" s="124"/>
      <c r="V1219" s="11"/>
      <c r="W1219" s="124"/>
      <c r="X1219" s="128"/>
      <c r="Y1219" s="129"/>
    </row>
    <row r="1220" spans="14:25" x14ac:dyDescent="0.25">
      <c r="N1220" s="125"/>
      <c r="O1220" s="125"/>
      <c r="P1220" s="126"/>
      <c r="Q1220" s="62"/>
      <c r="R1220" s="62"/>
      <c r="S1220" s="127"/>
      <c r="T1220" s="11"/>
      <c r="U1220" s="124"/>
      <c r="V1220" s="11"/>
      <c r="W1220" s="124"/>
      <c r="X1220" s="128"/>
      <c r="Y1220" s="129"/>
    </row>
    <row r="1221" spans="14:25" x14ac:dyDescent="0.25">
      <c r="N1221" s="125"/>
      <c r="O1221" s="125"/>
      <c r="P1221" s="126"/>
      <c r="Q1221" s="62"/>
      <c r="R1221" s="62"/>
      <c r="S1221" s="127"/>
      <c r="T1221" s="11"/>
      <c r="U1221" s="124"/>
      <c r="V1221" s="11"/>
      <c r="W1221" s="124"/>
      <c r="X1221" s="128"/>
      <c r="Y1221" s="129"/>
    </row>
    <row r="1222" spans="14:25" x14ac:dyDescent="0.25">
      <c r="N1222" s="125"/>
      <c r="O1222" s="125"/>
      <c r="P1222" s="126"/>
      <c r="Q1222" s="62"/>
      <c r="R1222" s="62"/>
      <c r="S1222" s="127"/>
      <c r="T1222" s="11"/>
      <c r="U1222" s="124"/>
      <c r="V1222" s="11"/>
      <c r="W1222" s="124"/>
      <c r="X1222" s="128"/>
      <c r="Y1222" s="129"/>
    </row>
    <row r="1223" spans="14:25" x14ac:dyDescent="0.25">
      <c r="N1223" s="125"/>
      <c r="O1223" s="125"/>
      <c r="P1223" s="126"/>
      <c r="Q1223" s="62"/>
      <c r="R1223" s="62"/>
      <c r="S1223" s="127"/>
      <c r="T1223" s="11"/>
      <c r="U1223" s="124"/>
      <c r="V1223" s="11"/>
      <c r="W1223" s="124"/>
      <c r="X1223" s="128"/>
      <c r="Y1223" s="129"/>
    </row>
    <row r="1224" spans="14:25" x14ac:dyDescent="0.25">
      <c r="N1224" s="125"/>
      <c r="O1224" s="125"/>
      <c r="P1224" s="126"/>
      <c r="Q1224" s="62"/>
      <c r="R1224" s="62"/>
      <c r="S1224" s="127"/>
      <c r="T1224" s="11"/>
      <c r="U1224" s="124"/>
      <c r="V1224" s="11"/>
      <c r="W1224" s="124"/>
      <c r="X1224" s="128"/>
      <c r="Y1224" s="129"/>
    </row>
    <row r="1225" spans="14:25" x14ac:dyDescent="0.25">
      <c r="N1225" s="125"/>
      <c r="O1225" s="125"/>
      <c r="P1225" s="126"/>
      <c r="Q1225" s="62"/>
      <c r="R1225" s="62"/>
      <c r="S1225" s="127"/>
      <c r="T1225" s="11"/>
      <c r="U1225" s="124"/>
      <c r="V1225" s="11"/>
      <c r="W1225" s="124"/>
      <c r="X1225" s="128"/>
      <c r="Y1225" s="129"/>
    </row>
    <row r="1226" spans="14:25" x14ac:dyDescent="0.25">
      <c r="N1226" s="125"/>
      <c r="O1226" s="125"/>
      <c r="P1226" s="126"/>
      <c r="Q1226" s="62"/>
      <c r="R1226" s="62"/>
      <c r="S1226" s="127"/>
      <c r="T1226" s="11"/>
      <c r="U1226" s="124"/>
      <c r="V1226" s="11"/>
      <c r="W1226" s="124"/>
      <c r="X1226" s="128"/>
      <c r="Y1226" s="129"/>
    </row>
    <row r="1227" spans="14:25" x14ac:dyDescent="0.25">
      <c r="N1227" s="125"/>
      <c r="O1227" s="125"/>
      <c r="P1227" s="126"/>
      <c r="Q1227" s="62"/>
      <c r="R1227" s="62"/>
      <c r="S1227" s="127"/>
      <c r="T1227" s="11"/>
      <c r="U1227" s="124"/>
      <c r="V1227" s="11"/>
      <c r="W1227" s="124"/>
      <c r="X1227" s="128"/>
      <c r="Y1227" s="129"/>
    </row>
    <row r="1228" spans="14:25" x14ac:dyDescent="0.25">
      <c r="N1228" s="125"/>
      <c r="O1228" s="125"/>
      <c r="P1228" s="126"/>
      <c r="Q1228" s="62"/>
      <c r="R1228" s="62"/>
      <c r="S1228" s="127"/>
      <c r="T1228" s="11"/>
      <c r="U1228" s="124"/>
      <c r="V1228" s="11"/>
      <c r="W1228" s="124"/>
      <c r="X1228" s="128"/>
      <c r="Y1228" s="129"/>
    </row>
    <row r="1229" spans="14:25" x14ac:dyDescent="0.25">
      <c r="N1229" s="125"/>
      <c r="O1229" s="125"/>
      <c r="P1229" s="126"/>
      <c r="Q1229" s="62"/>
      <c r="R1229" s="62"/>
      <c r="S1229" s="127"/>
      <c r="T1229" s="11"/>
      <c r="U1229" s="124"/>
      <c r="V1229" s="11"/>
      <c r="W1229" s="124"/>
      <c r="X1229" s="128"/>
      <c r="Y1229" s="129"/>
    </row>
    <row r="1230" spans="14:25" x14ac:dyDescent="0.25">
      <c r="N1230" s="125"/>
      <c r="O1230" s="125"/>
      <c r="P1230" s="126"/>
      <c r="Q1230" s="62"/>
      <c r="R1230" s="62"/>
      <c r="S1230" s="127"/>
      <c r="T1230" s="11"/>
      <c r="U1230" s="124"/>
      <c r="V1230" s="11"/>
      <c r="W1230" s="124"/>
      <c r="X1230" s="128"/>
      <c r="Y1230" s="129"/>
    </row>
    <row r="1231" spans="14:25" x14ac:dyDescent="0.25">
      <c r="N1231" s="125"/>
      <c r="O1231" s="125"/>
      <c r="P1231" s="126"/>
      <c r="Q1231" s="62"/>
      <c r="R1231" s="62"/>
      <c r="S1231" s="127"/>
      <c r="T1231" s="11"/>
      <c r="U1231" s="124"/>
      <c r="V1231" s="11"/>
      <c r="W1231" s="124"/>
      <c r="X1231" s="128"/>
      <c r="Y1231" s="129"/>
    </row>
    <row r="1232" spans="14:25" x14ac:dyDescent="0.25">
      <c r="N1232" s="125"/>
      <c r="O1232" s="125"/>
      <c r="P1232" s="126"/>
      <c r="Q1232" s="62"/>
      <c r="R1232" s="62"/>
      <c r="S1232" s="127"/>
      <c r="T1232" s="11"/>
      <c r="U1232" s="124"/>
      <c r="V1232" s="11"/>
      <c r="W1232" s="124"/>
      <c r="X1232" s="128"/>
      <c r="Y1232" s="129"/>
    </row>
    <row r="1233" spans="14:25" x14ac:dyDescent="0.25">
      <c r="N1233" s="125"/>
      <c r="O1233" s="125"/>
      <c r="P1233" s="126"/>
      <c r="Q1233" s="62"/>
      <c r="R1233" s="62"/>
      <c r="S1233" s="127"/>
      <c r="T1233" s="11"/>
      <c r="U1233" s="124"/>
      <c r="V1233" s="11"/>
      <c r="W1233" s="124"/>
      <c r="X1233" s="128"/>
      <c r="Y1233" s="129"/>
    </row>
    <row r="1234" spans="14:25" x14ac:dyDescent="0.25">
      <c r="N1234" s="125"/>
      <c r="O1234" s="125"/>
      <c r="P1234" s="126"/>
      <c r="Q1234" s="62"/>
      <c r="R1234" s="62"/>
      <c r="S1234" s="127"/>
      <c r="T1234" s="11"/>
      <c r="U1234" s="124"/>
      <c r="V1234" s="11"/>
      <c r="W1234" s="124"/>
      <c r="X1234" s="128"/>
      <c r="Y1234" s="129"/>
    </row>
    <row r="1235" spans="14:25" x14ac:dyDescent="0.25">
      <c r="N1235" s="125"/>
      <c r="O1235" s="125"/>
      <c r="P1235" s="126"/>
      <c r="Q1235" s="62"/>
      <c r="R1235" s="62"/>
      <c r="S1235" s="127"/>
      <c r="T1235" s="11"/>
      <c r="U1235" s="124"/>
      <c r="V1235" s="11"/>
      <c r="W1235" s="124"/>
      <c r="X1235" s="128"/>
      <c r="Y1235" s="129"/>
    </row>
    <row r="1236" spans="14:25" x14ac:dyDescent="0.25">
      <c r="N1236" s="125"/>
      <c r="O1236" s="125"/>
      <c r="P1236" s="126"/>
      <c r="Q1236" s="62"/>
      <c r="R1236" s="62"/>
      <c r="S1236" s="127"/>
      <c r="T1236" s="11"/>
      <c r="U1236" s="124"/>
      <c r="V1236" s="11"/>
      <c r="W1236" s="124"/>
      <c r="X1236" s="128"/>
      <c r="Y1236" s="129"/>
    </row>
    <row r="1237" spans="14:25" x14ac:dyDescent="0.25">
      <c r="N1237" s="125"/>
      <c r="O1237" s="125"/>
      <c r="P1237" s="126"/>
      <c r="Q1237" s="62"/>
      <c r="R1237" s="62"/>
      <c r="S1237" s="127"/>
      <c r="T1237" s="11"/>
      <c r="U1237" s="124"/>
      <c r="V1237" s="11"/>
      <c r="W1237" s="124"/>
      <c r="X1237" s="128"/>
      <c r="Y1237" s="129"/>
    </row>
    <row r="1238" spans="14:25" x14ac:dyDescent="0.25">
      <c r="N1238" s="125"/>
      <c r="O1238" s="125"/>
      <c r="P1238" s="126"/>
      <c r="Q1238" s="62"/>
      <c r="R1238" s="62"/>
      <c r="S1238" s="127"/>
      <c r="T1238" s="11"/>
      <c r="U1238" s="124"/>
      <c r="V1238" s="11"/>
      <c r="W1238" s="124"/>
      <c r="X1238" s="128"/>
      <c r="Y1238" s="129"/>
    </row>
    <row r="1239" spans="14:25" x14ac:dyDescent="0.25">
      <c r="N1239" s="125"/>
      <c r="O1239" s="125"/>
      <c r="P1239" s="126"/>
      <c r="Q1239" s="62"/>
      <c r="R1239" s="62"/>
      <c r="S1239" s="127"/>
      <c r="T1239" s="11"/>
      <c r="U1239" s="124"/>
      <c r="V1239" s="11"/>
      <c r="W1239" s="124"/>
      <c r="X1239" s="128"/>
      <c r="Y1239" s="129"/>
    </row>
    <row r="1240" spans="14:25" x14ac:dyDescent="0.25">
      <c r="N1240" s="125"/>
      <c r="O1240" s="125"/>
      <c r="P1240" s="126"/>
      <c r="Q1240" s="62"/>
      <c r="R1240" s="62"/>
      <c r="S1240" s="127"/>
      <c r="T1240" s="11"/>
      <c r="U1240" s="124"/>
      <c r="V1240" s="11"/>
      <c r="W1240" s="124"/>
      <c r="X1240" s="128"/>
      <c r="Y1240" s="129"/>
    </row>
    <row r="1241" spans="14:25" x14ac:dyDescent="0.25">
      <c r="N1241" s="125"/>
      <c r="O1241" s="125"/>
      <c r="P1241" s="126"/>
      <c r="Q1241" s="62"/>
      <c r="R1241" s="62"/>
      <c r="S1241" s="127"/>
      <c r="T1241" s="11"/>
      <c r="U1241" s="124"/>
      <c r="V1241" s="11"/>
      <c r="W1241" s="124"/>
      <c r="X1241" s="128"/>
      <c r="Y1241" s="129"/>
    </row>
    <row r="1242" spans="14:25" x14ac:dyDescent="0.25">
      <c r="N1242" s="125"/>
      <c r="O1242" s="125"/>
      <c r="P1242" s="126"/>
      <c r="Q1242" s="62"/>
      <c r="R1242" s="62"/>
      <c r="S1242" s="127"/>
      <c r="T1242" s="11"/>
      <c r="U1242" s="124"/>
      <c r="V1242" s="11"/>
      <c r="W1242" s="124"/>
      <c r="X1242" s="128"/>
      <c r="Y1242" s="129"/>
    </row>
    <row r="1243" spans="14:25" x14ac:dyDescent="0.25">
      <c r="N1243" s="125"/>
      <c r="O1243" s="125"/>
      <c r="P1243" s="126"/>
      <c r="Q1243" s="62"/>
      <c r="R1243" s="62"/>
      <c r="S1243" s="127"/>
      <c r="T1243" s="11"/>
      <c r="U1243" s="124"/>
      <c r="V1243" s="11"/>
      <c r="W1243" s="124"/>
      <c r="X1243" s="128"/>
      <c r="Y1243" s="129"/>
    </row>
    <row r="1244" spans="14:25" x14ac:dyDescent="0.25">
      <c r="N1244" s="125"/>
      <c r="O1244" s="125"/>
      <c r="P1244" s="126"/>
      <c r="Q1244" s="62"/>
      <c r="R1244" s="62"/>
      <c r="S1244" s="127"/>
      <c r="T1244" s="11"/>
      <c r="U1244" s="124"/>
      <c r="V1244" s="11"/>
      <c r="W1244" s="124"/>
      <c r="X1244" s="128"/>
      <c r="Y1244" s="129"/>
    </row>
    <row r="1245" spans="14:25" x14ac:dyDescent="0.25">
      <c r="N1245" s="125"/>
      <c r="O1245" s="125"/>
      <c r="P1245" s="126"/>
      <c r="Q1245" s="62"/>
      <c r="R1245" s="62"/>
      <c r="S1245" s="127"/>
      <c r="T1245" s="11"/>
      <c r="U1245" s="124"/>
      <c r="V1245" s="11"/>
      <c r="W1245" s="124"/>
      <c r="X1245" s="128"/>
      <c r="Y1245" s="129"/>
    </row>
    <row r="1246" spans="14:25" x14ac:dyDescent="0.25">
      <c r="N1246" s="125"/>
      <c r="O1246" s="125"/>
      <c r="P1246" s="126"/>
      <c r="Q1246" s="62"/>
      <c r="R1246" s="62"/>
      <c r="S1246" s="127"/>
      <c r="T1246" s="11"/>
      <c r="U1246" s="124"/>
      <c r="V1246" s="11"/>
      <c r="W1246" s="124"/>
      <c r="X1246" s="128"/>
      <c r="Y1246" s="129"/>
    </row>
    <row r="1247" spans="14:25" x14ac:dyDescent="0.25">
      <c r="N1247" s="125"/>
      <c r="O1247" s="125"/>
      <c r="P1247" s="126"/>
      <c r="Q1247" s="62"/>
      <c r="R1247" s="62"/>
      <c r="S1247" s="127"/>
      <c r="T1247" s="11"/>
      <c r="U1247" s="124"/>
      <c r="V1247" s="11"/>
      <c r="W1247" s="124"/>
      <c r="X1247" s="128"/>
      <c r="Y1247" s="129"/>
    </row>
    <row r="1248" spans="14:25" x14ac:dyDescent="0.25">
      <c r="N1248" s="125"/>
      <c r="O1248" s="125"/>
      <c r="P1248" s="126"/>
      <c r="Q1248" s="62"/>
      <c r="R1248" s="62"/>
      <c r="S1248" s="127"/>
      <c r="T1248" s="11"/>
      <c r="U1248" s="124"/>
      <c r="V1248" s="11"/>
      <c r="W1248" s="124"/>
      <c r="X1248" s="128"/>
      <c r="Y1248" s="129"/>
    </row>
    <row r="1249" spans="14:25" x14ac:dyDescent="0.25">
      <c r="N1249" s="125"/>
      <c r="O1249" s="125"/>
      <c r="P1249" s="126"/>
      <c r="Q1249" s="62"/>
      <c r="R1249" s="62"/>
      <c r="S1249" s="127"/>
      <c r="T1249" s="11"/>
      <c r="U1249" s="124"/>
      <c r="V1249" s="11"/>
      <c r="W1249" s="124"/>
      <c r="X1249" s="128"/>
      <c r="Y1249" s="129"/>
    </row>
    <row r="1250" spans="14:25" x14ac:dyDescent="0.25">
      <c r="N1250" s="125"/>
      <c r="O1250" s="125"/>
      <c r="P1250" s="126"/>
      <c r="Q1250" s="62"/>
      <c r="R1250" s="62"/>
      <c r="S1250" s="127"/>
      <c r="T1250" s="11"/>
      <c r="U1250" s="124"/>
      <c r="V1250" s="11"/>
      <c r="W1250" s="124"/>
      <c r="X1250" s="128"/>
      <c r="Y1250" s="129"/>
    </row>
    <row r="1251" spans="14:25" x14ac:dyDescent="0.25">
      <c r="N1251" s="125"/>
      <c r="O1251" s="125"/>
      <c r="P1251" s="126"/>
      <c r="Q1251" s="62"/>
      <c r="R1251" s="62"/>
      <c r="S1251" s="127"/>
      <c r="T1251" s="11"/>
      <c r="U1251" s="124"/>
      <c r="V1251" s="11"/>
      <c r="W1251" s="124"/>
      <c r="X1251" s="128"/>
      <c r="Y1251" s="129"/>
    </row>
    <row r="1252" spans="14:25" x14ac:dyDescent="0.25">
      <c r="N1252" s="125"/>
      <c r="O1252" s="125"/>
      <c r="P1252" s="126"/>
      <c r="Q1252" s="62"/>
      <c r="R1252" s="62"/>
      <c r="S1252" s="127"/>
      <c r="T1252" s="11"/>
      <c r="U1252" s="124"/>
      <c r="V1252" s="11"/>
      <c r="W1252" s="124"/>
      <c r="X1252" s="128"/>
      <c r="Y1252" s="129"/>
    </row>
    <row r="1253" spans="14:25" x14ac:dyDescent="0.25">
      <c r="N1253" s="125"/>
      <c r="O1253" s="125"/>
      <c r="P1253" s="126"/>
      <c r="Q1253" s="62"/>
      <c r="R1253" s="62"/>
      <c r="S1253" s="127"/>
      <c r="T1253" s="11"/>
      <c r="U1253" s="124"/>
      <c r="V1253" s="11"/>
      <c r="W1253" s="124"/>
      <c r="X1253" s="128"/>
      <c r="Y1253" s="129"/>
    </row>
    <row r="1254" spans="14:25" x14ac:dyDescent="0.25">
      <c r="N1254" s="125"/>
      <c r="O1254" s="125"/>
      <c r="P1254" s="126"/>
      <c r="Q1254" s="62"/>
      <c r="R1254" s="62"/>
      <c r="S1254" s="127"/>
      <c r="T1254" s="11"/>
      <c r="U1254" s="124"/>
      <c r="V1254" s="11"/>
      <c r="W1254" s="124"/>
      <c r="X1254" s="128"/>
      <c r="Y1254" s="129"/>
    </row>
    <row r="1255" spans="14:25" x14ac:dyDescent="0.25">
      <c r="N1255" s="125"/>
      <c r="O1255" s="125"/>
      <c r="P1255" s="126"/>
      <c r="Q1255" s="62"/>
      <c r="R1255" s="62"/>
      <c r="S1255" s="127"/>
      <c r="T1255" s="11"/>
      <c r="U1255" s="124"/>
      <c r="V1255" s="11"/>
      <c r="W1255" s="124"/>
      <c r="X1255" s="128"/>
      <c r="Y1255" s="129"/>
    </row>
    <row r="1256" spans="14:25" x14ac:dyDescent="0.25">
      <c r="N1256" s="125"/>
      <c r="O1256" s="125"/>
      <c r="P1256" s="126"/>
      <c r="Q1256" s="62"/>
      <c r="R1256" s="62"/>
      <c r="S1256" s="127"/>
      <c r="T1256" s="11"/>
      <c r="U1256" s="124"/>
      <c r="V1256" s="11"/>
      <c r="W1256" s="124"/>
      <c r="X1256" s="128"/>
      <c r="Y1256" s="129"/>
    </row>
    <row r="1257" spans="14:25" x14ac:dyDescent="0.25">
      <c r="N1257" s="125"/>
      <c r="O1257" s="125"/>
      <c r="P1257" s="126"/>
      <c r="Q1257" s="62"/>
      <c r="R1257" s="62"/>
      <c r="S1257" s="127"/>
      <c r="T1257" s="11"/>
      <c r="U1257" s="124"/>
      <c r="V1257" s="11"/>
      <c r="W1257" s="124"/>
      <c r="X1257" s="128"/>
      <c r="Y1257" s="129"/>
    </row>
    <row r="1258" spans="14:25" x14ac:dyDescent="0.25">
      <c r="N1258" s="125"/>
      <c r="O1258" s="125"/>
      <c r="P1258" s="126"/>
      <c r="Q1258" s="62"/>
      <c r="R1258" s="62"/>
      <c r="S1258" s="127"/>
      <c r="T1258" s="11"/>
      <c r="U1258" s="124"/>
      <c r="V1258" s="11"/>
      <c r="W1258" s="124"/>
      <c r="X1258" s="128"/>
      <c r="Y1258" s="129"/>
    </row>
    <row r="1259" spans="14:25" x14ac:dyDescent="0.25">
      <c r="N1259" s="125"/>
      <c r="O1259" s="125"/>
      <c r="P1259" s="126"/>
      <c r="Q1259" s="62"/>
      <c r="R1259" s="62"/>
      <c r="S1259" s="127"/>
      <c r="T1259" s="11"/>
      <c r="U1259" s="124"/>
      <c r="V1259" s="11"/>
      <c r="W1259" s="124"/>
      <c r="X1259" s="128"/>
      <c r="Y1259" s="129"/>
    </row>
    <row r="1260" spans="14:25" x14ac:dyDescent="0.25">
      <c r="N1260" s="125"/>
      <c r="O1260" s="125"/>
      <c r="P1260" s="126"/>
      <c r="Q1260" s="62"/>
      <c r="R1260" s="62"/>
      <c r="S1260" s="127"/>
      <c r="T1260" s="11"/>
      <c r="U1260" s="124"/>
      <c r="V1260" s="11"/>
      <c r="W1260" s="124"/>
      <c r="X1260" s="128"/>
      <c r="Y1260" s="129"/>
    </row>
    <row r="1261" spans="14:25" x14ac:dyDescent="0.25">
      <c r="N1261" s="125"/>
      <c r="O1261" s="125"/>
      <c r="P1261" s="126"/>
      <c r="Q1261" s="62"/>
      <c r="R1261" s="62"/>
      <c r="S1261" s="127"/>
      <c r="T1261" s="11"/>
      <c r="U1261" s="124"/>
      <c r="V1261" s="11"/>
      <c r="W1261" s="124"/>
      <c r="X1261" s="128"/>
      <c r="Y1261" s="129"/>
    </row>
    <row r="1262" spans="14:25" x14ac:dyDescent="0.25">
      <c r="N1262" s="125"/>
      <c r="O1262" s="125"/>
      <c r="P1262" s="126"/>
      <c r="Q1262" s="62"/>
      <c r="R1262" s="62"/>
      <c r="S1262" s="127"/>
      <c r="T1262" s="11"/>
      <c r="U1262" s="124"/>
      <c r="V1262" s="11"/>
      <c r="W1262" s="124"/>
      <c r="X1262" s="128"/>
      <c r="Y1262" s="129"/>
    </row>
    <row r="1263" spans="14:25" x14ac:dyDescent="0.25">
      <c r="N1263" s="125"/>
      <c r="O1263" s="125"/>
      <c r="P1263" s="126"/>
      <c r="Q1263" s="62"/>
      <c r="R1263" s="62"/>
      <c r="S1263" s="127"/>
      <c r="T1263" s="11"/>
      <c r="U1263" s="124"/>
      <c r="V1263" s="11"/>
      <c r="W1263" s="124"/>
      <c r="X1263" s="128"/>
      <c r="Y1263" s="129"/>
    </row>
    <row r="1264" spans="14:25" x14ac:dyDescent="0.25">
      <c r="N1264" s="125"/>
      <c r="O1264" s="125"/>
      <c r="P1264" s="126"/>
      <c r="Q1264" s="62"/>
      <c r="R1264" s="62"/>
      <c r="S1264" s="127"/>
      <c r="T1264" s="11"/>
      <c r="U1264" s="124"/>
      <c r="V1264" s="11"/>
      <c r="W1264" s="124"/>
      <c r="X1264" s="128"/>
      <c r="Y1264" s="129"/>
    </row>
    <row r="1265" spans="14:25" x14ac:dyDescent="0.25">
      <c r="N1265" s="125"/>
      <c r="O1265" s="125"/>
      <c r="P1265" s="126"/>
      <c r="Q1265" s="62"/>
      <c r="R1265" s="62"/>
      <c r="S1265" s="127"/>
      <c r="T1265" s="11"/>
      <c r="U1265" s="124"/>
      <c r="V1265" s="11"/>
      <c r="W1265" s="124"/>
      <c r="X1265" s="128"/>
      <c r="Y1265" s="129"/>
    </row>
    <row r="1266" spans="14:25" x14ac:dyDescent="0.25">
      <c r="N1266" s="125"/>
      <c r="O1266" s="125"/>
      <c r="P1266" s="126"/>
      <c r="Q1266" s="62"/>
      <c r="R1266" s="62"/>
      <c r="S1266" s="127"/>
      <c r="T1266" s="11"/>
      <c r="U1266" s="124"/>
      <c r="V1266" s="11"/>
      <c r="W1266" s="124"/>
      <c r="X1266" s="128"/>
      <c r="Y1266" s="129"/>
    </row>
    <row r="1267" spans="14:25" x14ac:dyDescent="0.25">
      <c r="N1267" s="125"/>
      <c r="O1267" s="125"/>
      <c r="P1267" s="126"/>
      <c r="Q1267" s="62"/>
      <c r="R1267" s="62"/>
      <c r="S1267" s="127"/>
      <c r="T1267" s="11"/>
      <c r="U1267" s="124"/>
      <c r="V1267" s="11"/>
      <c r="W1267" s="124"/>
      <c r="X1267" s="128"/>
      <c r="Y1267" s="129"/>
    </row>
    <row r="1268" spans="14:25" x14ac:dyDescent="0.25">
      <c r="N1268" s="125"/>
      <c r="O1268" s="125"/>
      <c r="P1268" s="126"/>
      <c r="Q1268" s="62"/>
      <c r="R1268" s="62"/>
      <c r="S1268" s="127"/>
      <c r="T1268" s="11"/>
      <c r="U1268" s="124"/>
      <c r="V1268" s="11"/>
      <c r="W1268" s="124"/>
      <c r="X1268" s="128"/>
      <c r="Y1268" s="129"/>
    </row>
    <row r="1269" spans="14:25" x14ac:dyDescent="0.25">
      <c r="N1269" s="125"/>
      <c r="O1269" s="125"/>
      <c r="P1269" s="126"/>
      <c r="Q1269" s="62"/>
      <c r="R1269" s="62"/>
      <c r="S1269" s="127"/>
      <c r="T1269" s="11"/>
      <c r="U1269" s="124"/>
      <c r="V1269" s="11"/>
      <c r="W1269" s="124"/>
      <c r="X1269" s="128"/>
      <c r="Y1269" s="129"/>
    </row>
    <row r="1270" spans="14:25" x14ac:dyDescent="0.25">
      <c r="N1270" s="125"/>
      <c r="O1270" s="125"/>
      <c r="P1270" s="126"/>
      <c r="Q1270" s="62"/>
      <c r="R1270" s="62"/>
      <c r="S1270" s="127"/>
      <c r="T1270" s="11"/>
      <c r="U1270" s="124"/>
      <c r="V1270" s="11"/>
      <c r="W1270" s="124"/>
      <c r="X1270" s="128"/>
      <c r="Y1270" s="129"/>
    </row>
    <row r="1271" spans="14:25" x14ac:dyDescent="0.25">
      <c r="N1271" s="125"/>
      <c r="O1271" s="125"/>
      <c r="P1271" s="126"/>
      <c r="Q1271" s="62"/>
      <c r="R1271" s="62"/>
      <c r="S1271" s="127"/>
      <c r="T1271" s="11"/>
      <c r="U1271" s="124"/>
      <c r="V1271" s="11"/>
      <c r="W1271" s="124"/>
      <c r="X1271" s="128"/>
      <c r="Y1271" s="129"/>
    </row>
    <row r="1272" spans="14:25" x14ac:dyDescent="0.25">
      <c r="N1272" s="125"/>
      <c r="O1272" s="125"/>
      <c r="P1272" s="126"/>
      <c r="Q1272" s="62"/>
      <c r="R1272" s="62"/>
      <c r="S1272" s="127"/>
      <c r="T1272" s="11"/>
      <c r="U1272" s="124"/>
      <c r="V1272" s="11"/>
      <c r="W1272" s="124"/>
      <c r="X1272" s="128"/>
      <c r="Y1272" s="129"/>
    </row>
    <row r="1273" spans="14:25" x14ac:dyDescent="0.25">
      <c r="N1273" s="125"/>
      <c r="O1273" s="125"/>
      <c r="P1273" s="126"/>
      <c r="Q1273" s="62"/>
      <c r="R1273" s="62"/>
      <c r="S1273" s="127"/>
      <c r="T1273" s="11"/>
      <c r="U1273" s="124"/>
      <c r="V1273" s="11"/>
      <c r="W1273" s="124"/>
      <c r="X1273" s="128"/>
      <c r="Y1273" s="129"/>
    </row>
    <row r="1274" spans="14:25" x14ac:dyDescent="0.25">
      <c r="N1274" s="125"/>
      <c r="O1274" s="125"/>
      <c r="P1274" s="126"/>
      <c r="Q1274" s="62"/>
      <c r="R1274" s="62"/>
      <c r="S1274" s="127"/>
      <c r="T1274" s="11"/>
      <c r="U1274" s="124"/>
      <c r="V1274" s="11"/>
      <c r="W1274" s="124"/>
      <c r="X1274" s="128"/>
      <c r="Y1274" s="129"/>
    </row>
    <row r="1275" spans="14:25" x14ac:dyDescent="0.25">
      <c r="N1275" s="125"/>
      <c r="O1275" s="125"/>
      <c r="P1275" s="126"/>
      <c r="Q1275" s="62"/>
      <c r="R1275" s="62"/>
      <c r="S1275" s="127"/>
      <c r="T1275" s="11"/>
      <c r="U1275" s="124"/>
      <c r="V1275" s="11"/>
      <c r="W1275" s="124"/>
      <c r="X1275" s="128"/>
      <c r="Y1275" s="129"/>
    </row>
    <row r="1276" spans="14:25" x14ac:dyDescent="0.25">
      <c r="N1276" s="125"/>
      <c r="O1276" s="125"/>
      <c r="P1276" s="126"/>
      <c r="Q1276" s="62"/>
      <c r="R1276" s="62"/>
      <c r="S1276" s="127"/>
      <c r="T1276" s="11"/>
      <c r="U1276" s="124"/>
      <c r="V1276" s="11"/>
      <c r="W1276" s="124"/>
      <c r="X1276" s="128"/>
      <c r="Y1276" s="129"/>
    </row>
    <row r="1277" spans="14:25" x14ac:dyDescent="0.25">
      <c r="N1277" s="125"/>
      <c r="O1277" s="125"/>
      <c r="P1277" s="126"/>
      <c r="Q1277" s="62"/>
      <c r="R1277" s="62"/>
      <c r="S1277" s="127"/>
      <c r="T1277" s="11"/>
      <c r="U1277" s="124"/>
      <c r="V1277" s="11"/>
      <c r="W1277" s="124"/>
      <c r="X1277" s="128"/>
      <c r="Y1277" s="129"/>
    </row>
    <row r="1278" spans="14:25" x14ac:dyDescent="0.25">
      <c r="N1278" s="125"/>
      <c r="O1278" s="125"/>
      <c r="P1278" s="126"/>
      <c r="Q1278" s="62"/>
      <c r="R1278" s="62"/>
      <c r="S1278" s="127"/>
      <c r="T1278" s="11"/>
      <c r="U1278" s="124"/>
      <c r="V1278" s="11"/>
      <c r="W1278" s="124"/>
      <c r="X1278" s="128"/>
      <c r="Y1278" s="129"/>
    </row>
    <row r="1279" spans="14:25" x14ac:dyDescent="0.25">
      <c r="N1279" s="125"/>
      <c r="O1279" s="125"/>
      <c r="P1279" s="126"/>
      <c r="Q1279" s="62"/>
      <c r="R1279" s="62"/>
      <c r="S1279" s="127"/>
      <c r="T1279" s="11"/>
      <c r="U1279" s="124"/>
      <c r="V1279" s="11"/>
      <c r="W1279" s="124"/>
      <c r="X1279" s="128"/>
      <c r="Y1279" s="129"/>
    </row>
    <row r="1280" spans="14:25" x14ac:dyDescent="0.25">
      <c r="N1280" s="125"/>
      <c r="O1280" s="125"/>
      <c r="P1280" s="126"/>
      <c r="Q1280" s="62"/>
      <c r="R1280" s="62"/>
      <c r="S1280" s="127"/>
      <c r="T1280" s="11"/>
      <c r="U1280" s="124"/>
      <c r="V1280" s="11"/>
      <c r="W1280" s="124"/>
      <c r="X1280" s="128"/>
      <c r="Y1280" s="129"/>
    </row>
    <row r="1281" spans="14:25" x14ac:dyDescent="0.25">
      <c r="N1281" s="125"/>
      <c r="O1281" s="125"/>
      <c r="P1281" s="126"/>
      <c r="Q1281" s="62"/>
      <c r="R1281" s="62"/>
      <c r="S1281" s="127"/>
      <c r="T1281" s="11"/>
      <c r="U1281" s="124"/>
      <c r="V1281" s="11"/>
      <c r="W1281" s="124"/>
      <c r="X1281" s="128"/>
      <c r="Y1281" s="129"/>
    </row>
    <row r="1282" spans="14:25" x14ac:dyDescent="0.25">
      <c r="N1282" s="125"/>
      <c r="O1282" s="125"/>
      <c r="P1282" s="126"/>
      <c r="Q1282" s="62"/>
      <c r="R1282" s="62"/>
      <c r="S1282" s="127"/>
      <c r="T1282" s="11"/>
      <c r="U1282" s="124"/>
      <c r="V1282" s="11"/>
      <c r="W1282" s="124"/>
      <c r="X1282" s="128"/>
      <c r="Y1282" s="129"/>
    </row>
    <row r="1283" spans="14:25" x14ac:dyDescent="0.25">
      <c r="N1283" s="125"/>
      <c r="O1283" s="125"/>
      <c r="P1283" s="126"/>
      <c r="Q1283" s="62"/>
      <c r="R1283" s="62"/>
      <c r="S1283" s="127"/>
      <c r="T1283" s="11"/>
      <c r="U1283" s="124"/>
      <c r="V1283" s="11"/>
      <c r="W1283" s="124"/>
      <c r="X1283" s="128"/>
      <c r="Y1283" s="129"/>
    </row>
    <row r="1284" spans="14:25" x14ac:dyDescent="0.25">
      <c r="N1284" s="125"/>
      <c r="O1284" s="125"/>
      <c r="P1284" s="126"/>
      <c r="Q1284" s="62"/>
      <c r="R1284" s="62"/>
      <c r="S1284" s="127"/>
      <c r="T1284" s="11"/>
      <c r="U1284" s="124"/>
      <c r="V1284" s="11"/>
      <c r="W1284" s="124"/>
      <c r="X1284" s="128"/>
      <c r="Y1284" s="129"/>
    </row>
    <row r="1285" spans="14:25" x14ac:dyDescent="0.25">
      <c r="N1285" s="125"/>
      <c r="O1285" s="125"/>
      <c r="P1285" s="126"/>
      <c r="Q1285" s="62"/>
      <c r="R1285" s="62"/>
      <c r="S1285" s="127"/>
      <c r="T1285" s="11"/>
      <c r="U1285" s="124"/>
      <c r="V1285" s="11"/>
      <c r="W1285" s="124"/>
      <c r="X1285" s="128"/>
      <c r="Y1285" s="129"/>
    </row>
    <row r="1286" spans="14:25" x14ac:dyDescent="0.25">
      <c r="N1286" s="125"/>
      <c r="O1286" s="125"/>
      <c r="P1286" s="126"/>
      <c r="Q1286" s="62"/>
      <c r="R1286" s="62"/>
      <c r="S1286" s="127"/>
      <c r="T1286" s="11"/>
      <c r="U1286" s="124"/>
      <c r="V1286" s="11"/>
      <c r="W1286" s="124"/>
      <c r="X1286" s="128"/>
      <c r="Y1286" s="129"/>
    </row>
    <row r="1287" spans="14:25" x14ac:dyDescent="0.25">
      <c r="N1287" s="125"/>
      <c r="O1287" s="125"/>
      <c r="P1287" s="126"/>
      <c r="Q1287" s="62"/>
      <c r="R1287" s="62"/>
      <c r="S1287" s="127"/>
      <c r="T1287" s="11"/>
      <c r="U1287" s="124"/>
      <c r="V1287" s="11"/>
      <c r="W1287" s="124"/>
      <c r="X1287" s="128"/>
      <c r="Y1287" s="129"/>
    </row>
    <row r="1288" spans="14:25" x14ac:dyDescent="0.25">
      <c r="N1288" s="125"/>
      <c r="O1288" s="125"/>
      <c r="P1288" s="126"/>
      <c r="Q1288" s="62"/>
      <c r="R1288" s="62"/>
      <c r="S1288" s="127"/>
      <c r="T1288" s="11"/>
      <c r="U1288" s="124"/>
      <c r="V1288" s="11"/>
      <c r="W1288" s="124"/>
      <c r="X1288" s="128"/>
      <c r="Y1288" s="129"/>
    </row>
    <row r="1289" spans="14:25" x14ac:dyDescent="0.25">
      <c r="N1289" s="125"/>
      <c r="O1289" s="125"/>
      <c r="P1289" s="126"/>
      <c r="Q1289" s="62"/>
      <c r="R1289" s="62"/>
      <c r="S1289" s="127"/>
      <c r="T1289" s="11"/>
      <c r="U1289" s="124"/>
      <c r="V1289" s="11"/>
      <c r="W1289" s="124"/>
      <c r="X1289" s="128"/>
      <c r="Y1289" s="129"/>
    </row>
    <row r="1290" spans="14:25" x14ac:dyDescent="0.25">
      <c r="N1290" s="125"/>
      <c r="O1290" s="125"/>
      <c r="P1290" s="126"/>
      <c r="Q1290" s="62"/>
      <c r="R1290" s="62"/>
      <c r="S1290" s="127"/>
      <c r="T1290" s="11"/>
      <c r="U1290" s="124"/>
      <c r="V1290" s="11"/>
      <c r="W1290" s="124"/>
      <c r="X1290" s="128"/>
      <c r="Y1290" s="129"/>
    </row>
    <row r="1291" spans="14:25" x14ac:dyDescent="0.25">
      <c r="N1291" s="125"/>
      <c r="O1291" s="125"/>
      <c r="P1291" s="126"/>
      <c r="Q1291" s="62"/>
      <c r="R1291" s="62"/>
      <c r="S1291" s="127"/>
      <c r="T1291" s="11"/>
      <c r="U1291" s="124"/>
      <c r="V1291" s="11"/>
      <c r="W1291" s="124"/>
      <c r="X1291" s="128"/>
      <c r="Y1291" s="129"/>
    </row>
    <row r="1292" spans="14:25" x14ac:dyDescent="0.25">
      <c r="N1292" s="125"/>
      <c r="O1292" s="125"/>
      <c r="P1292" s="126"/>
      <c r="Q1292" s="62"/>
      <c r="R1292" s="62"/>
      <c r="S1292" s="127"/>
      <c r="T1292" s="11"/>
      <c r="U1292" s="124"/>
      <c r="V1292" s="11"/>
      <c r="W1292" s="124"/>
      <c r="X1292" s="128"/>
      <c r="Y1292" s="129"/>
    </row>
    <row r="1293" spans="14:25" x14ac:dyDescent="0.25">
      <c r="N1293" s="125"/>
      <c r="O1293" s="125"/>
      <c r="P1293" s="126"/>
      <c r="Q1293" s="62"/>
      <c r="R1293" s="62"/>
      <c r="S1293" s="127"/>
      <c r="T1293" s="11"/>
      <c r="U1293" s="124"/>
      <c r="V1293" s="11"/>
      <c r="W1293" s="124"/>
      <c r="X1293" s="128"/>
      <c r="Y1293" s="129"/>
    </row>
    <row r="1294" spans="14:25" x14ac:dyDescent="0.25">
      <c r="N1294" s="125"/>
      <c r="O1294" s="125"/>
      <c r="P1294" s="126"/>
      <c r="Q1294" s="62"/>
      <c r="R1294" s="62"/>
      <c r="S1294" s="127"/>
      <c r="T1294" s="11"/>
      <c r="U1294" s="124"/>
      <c r="V1294" s="11"/>
      <c r="W1294" s="124"/>
      <c r="X1294" s="128"/>
      <c r="Y1294" s="129"/>
    </row>
    <row r="1295" spans="14:25" x14ac:dyDescent="0.25">
      <c r="N1295" s="125"/>
      <c r="O1295" s="125"/>
      <c r="P1295" s="126"/>
      <c r="Q1295" s="62"/>
      <c r="R1295" s="62"/>
      <c r="S1295" s="127"/>
      <c r="T1295" s="11"/>
      <c r="U1295" s="124"/>
      <c r="V1295" s="11"/>
      <c r="W1295" s="124"/>
      <c r="X1295" s="128"/>
      <c r="Y1295" s="129"/>
    </row>
    <row r="1296" spans="14:25" x14ac:dyDescent="0.25">
      <c r="N1296" s="125"/>
      <c r="O1296" s="125"/>
      <c r="P1296" s="126"/>
      <c r="Q1296" s="62"/>
      <c r="R1296" s="62"/>
      <c r="S1296" s="127"/>
      <c r="T1296" s="11"/>
      <c r="U1296" s="124"/>
      <c r="V1296" s="11"/>
      <c r="W1296" s="124"/>
      <c r="X1296" s="128"/>
      <c r="Y1296" s="129"/>
    </row>
    <row r="1297" spans="14:25" x14ac:dyDescent="0.25">
      <c r="N1297" s="125"/>
      <c r="O1297" s="125"/>
      <c r="P1297" s="126"/>
      <c r="Q1297" s="62"/>
      <c r="R1297" s="62"/>
      <c r="S1297" s="127"/>
      <c r="T1297" s="11"/>
      <c r="U1297" s="124"/>
      <c r="V1297" s="11"/>
      <c r="W1297" s="124"/>
      <c r="X1297" s="128"/>
      <c r="Y1297" s="129"/>
    </row>
    <row r="1298" spans="14:25" x14ac:dyDescent="0.25">
      <c r="N1298" s="125"/>
      <c r="O1298" s="125"/>
      <c r="P1298" s="126"/>
      <c r="Q1298" s="62"/>
      <c r="R1298" s="62"/>
      <c r="S1298" s="127"/>
      <c r="T1298" s="11"/>
      <c r="U1298" s="124"/>
      <c r="V1298" s="11"/>
      <c r="W1298" s="124"/>
      <c r="X1298" s="128"/>
      <c r="Y1298" s="129"/>
    </row>
    <row r="1299" spans="14:25" x14ac:dyDescent="0.25">
      <c r="N1299" s="125"/>
      <c r="O1299" s="125"/>
      <c r="P1299" s="126"/>
      <c r="Q1299" s="62"/>
      <c r="R1299" s="62"/>
      <c r="S1299" s="127"/>
      <c r="T1299" s="11"/>
      <c r="U1299" s="124"/>
      <c r="V1299" s="11"/>
      <c r="W1299" s="124"/>
      <c r="X1299" s="128"/>
      <c r="Y1299" s="129"/>
    </row>
    <row r="1300" spans="14:25" x14ac:dyDescent="0.25">
      <c r="N1300" s="125"/>
      <c r="O1300" s="125"/>
      <c r="P1300" s="126"/>
      <c r="Q1300" s="62"/>
      <c r="R1300" s="62"/>
      <c r="S1300" s="127"/>
      <c r="T1300" s="11"/>
      <c r="U1300" s="124"/>
      <c r="V1300" s="11"/>
      <c r="W1300" s="124"/>
      <c r="X1300" s="128"/>
      <c r="Y1300" s="129"/>
    </row>
    <row r="1301" spans="14:25" x14ac:dyDescent="0.25">
      <c r="N1301" s="125"/>
      <c r="O1301" s="125"/>
      <c r="P1301" s="126"/>
      <c r="Q1301" s="62"/>
      <c r="R1301" s="62"/>
      <c r="S1301" s="127"/>
      <c r="T1301" s="11"/>
      <c r="U1301" s="124"/>
      <c r="V1301" s="11"/>
      <c r="W1301" s="124"/>
      <c r="X1301" s="128"/>
      <c r="Y1301" s="129"/>
    </row>
    <row r="1302" spans="14:25" x14ac:dyDescent="0.25">
      <c r="N1302" s="125"/>
      <c r="O1302" s="125"/>
      <c r="P1302" s="126"/>
      <c r="Q1302" s="62"/>
      <c r="R1302" s="62"/>
      <c r="S1302" s="127"/>
      <c r="T1302" s="11"/>
      <c r="U1302" s="124"/>
      <c r="V1302" s="11"/>
      <c r="W1302" s="124"/>
      <c r="X1302" s="128"/>
      <c r="Y1302" s="129"/>
    </row>
    <row r="1303" spans="14:25" x14ac:dyDescent="0.25">
      <c r="N1303" s="125"/>
      <c r="O1303" s="125"/>
      <c r="P1303" s="126"/>
      <c r="Q1303" s="62"/>
      <c r="R1303" s="62"/>
      <c r="S1303" s="127"/>
      <c r="T1303" s="11"/>
      <c r="U1303" s="124"/>
      <c r="V1303" s="11"/>
      <c r="W1303" s="124"/>
      <c r="X1303" s="128"/>
      <c r="Y1303" s="129"/>
    </row>
    <row r="1304" spans="14:25" x14ac:dyDescent="0.25">
      <c r="N1304" s="125"/>
      <c r="O1304" s="125"/>
      <c r="P1304" s="126"/>
      <c r="Q1304" s="62"/>
      <c r="R1304" s="62"/>
      <c r="S1304" s="127"/>
      <c r="T1304" s="11"/>
      <c r="U1304" s="124"/>
      <c r="V1304" s="11"/>
      <c r="W1304" s="124"/>
      <c r="X1304" s="128"/>
      <c r="Y1304" s="129"/>
    </row>
    <row r="1305" spans="14:25" x14ac:dyDescent="0.25">
      <c r="N1305" s="125"/>
      <c r="O1305" s="125"/>
      <c r="P1305" s="126"/>
      <c r="Q1305" s="62"/>
      <c r="R1305" s="62"/>
      <c r="S1305" s="127"/>
      <c r="T1305" s="11"/>
      <c r="U1305" s="124"/>
      <c r="V1305" s="11"/>
      <c r="W1305" s="124"/>
      <c r="X1305" s="128"/>
      <c r="Y1305" s="129"/>
    </row>
    <row r="1306" spans="14:25" x14ac:dyDescent="0.25">
      <c r="N1306" s="125"/>
      <c r="O1306" s="125"/>
      <c r="P1306" s="126"/>
      <c r="Q1306" s="62"/>
      <c r="R1306" s="62"/>
      <c r="S1306" s="127"/>
      <c r="T1306" s="11"/>
      <c r="U1306" s="124"/>
      <c r="V1306" s="11"/>
      <c r="W1306" s="124"/>
      <c r="X1306" s="128"/>
      <c r="Y1306" s="129"/>
    </row>
    <row r="1307" spans="14:25" x14ac:dyDescent="0.25">
      <c r="N1307" s="125"/>
      <c r="O1307" s="125"/>
      <c r="P1307" s="126"/>
      <c r="Q1307" s="62"/>
      <c r="R1307" s="62"/>
      <c r="S1307" s="127"/>
      <c r="T1307" s="11"/>
      <c r="U1307" s="124"/>
      <c r="V1307" s="11"/>
      <c r="W1307" s="124"/>
      <c r="X1307" s="128"/>
      <c r="Y1307" s="129"/>
    </row>
    <row r="1308" spans="14:25" x14ac:dyDescent="0.25">
      <c r="N1308" s="125"/>
      <c r="O1308" s="125"/>
      <c r="P1308" s="126"/>
      <c r="Q1308" s="62"/>
      <c r="R1308" s="62"/>
      <c r="S1308" s="127"/>
      <c r="T1308" s="11"/>
      <c r="U1308" s="124"/>
      <c r="V1308" s="11"/>
      <c r="W1308" s="124"/>
      <c r="X1308" s="128"/>
      <c r="Y1308" s="129"/>
    </row>
    <row r="1309" spans="14:25" x14ac:dyDescent="0.25">
      <c r="N1309" s="125"/>
      <c r="O1309" s="125"/>
      <c r="P1309" s="126"/>
      <c r="Q1309" s="62"/>
      <c r="R1309" s="62"/>
      <c r="S1309" s="127"/>
      <c r="T1309" s="11"/>
      <c r="U1309" s="124"/>
      <c r="V1309" s="11"/>
      <c r="W1309" s="124"/>
      <c r="X1309" s="128"/>
      <c r="Y1309" s="129"/>
    </row>
    <row r="1310" spans="14:25" x14ac:dyDescent="0.25">
      <c r="N1310" s="125"/>
      <c r="O1310" s="125"/>
      <c r="P1310" s="126"/>
      <c r="Q1310" s="62"/>
      <c r="R1310" s="62"/>
      <c r="S1310" s="127"/>
      <c r="T1310" s="11"/>
      <c r="U1310" s="124"/>
      <c r="V1310" s="11"/>
      <c r="W1310" s="124"/>
      <c r="X1310" s="128"/>
      <c r="Y1310" s="129"/>
    </row>
    <row r="1311" spans="14:25" x14ac:dyDescent="0.25">
      <c r="N1311" s="125"/>
      <c r="O1311" s="125"/>
      <c r="P1311" s="126"/>
      <c r="Q1311" s="62"/>
      <c r="R1311" s="62"/>
      <c r="S1311" s="127"/>
      <c r="T1311" s="11"/>
      <c r="U1311" s="124"/>
      <c r="V1311" s="11"/>
      <c r="W1311" s="124"/>
      <c r="X1311" s="128"/>
      <c r="Y1311" s="129"/>
    </row>
    <row r="1312" spans="14:25" x14ac:dyDescent="0.25">
      <c r="N1312" s="125"/>
      <c r="O1312" s="125"/>
      <c r="P1312" s="126"/>
      <c r="Q1312" s="62"/>
      <c r="R1312" s="62"/>
      <c r="S1312" s="127"/>
      <c r="T1312" s="11"/>
      <c r="U1312" s="124"/>
      <c r="V1312" s="11"/>
      <c r="W1312" s="124"/>
      <c r="X1312" s="128"/>
      <c r="Y1312" s="129"/>
    </row>
    <row r="1313" spans="14:25" x14ac:dyDescent="0.25">
      <c r="N1313" s="125"/>
      <c r="O1313" s="125"/>
      <c r="P1313" s="126"/>
      <c r="Q1313" s="62"/>
      <c r="R1313" s="62"/>
      <c r="S1313" s="127"/>
      <c r="T1313" s="11"/>
      <c r="U1313" s="124"/>
      <c r="V1313" s="11"/>
      <c r="W1313" s="124"/>
      <c r="X1313" s="128"/>
      <c r="Y1313" s="129"/>
    </row>
    <row r="1314" spans="14:25" x14ac:dyDescent="0.25">
      <c r="N1314" s="125"/>
      <c r="O1314" s="125"/>
      <c r="P1314" s="126"/>
      <c r="Q1314" s="62"/>
      <c r="R1314" s="62"/>
      <c r="S1314" s="127"/>
      <c r="T1314" s="11"/>
      <c r="U1314" s="124"/>
      <c r="V1314" s="11"/>
      <c r="W1314" s="124"/>
      <c r="X1314" s="128"/>
      <c r="Y1314" s="129"/>
    </row>
    <row r="1315" spans="14:25" x14ac:dyDescent="0.25">
      <c r="N1315" s="125"/>
      <c r="O1315" s="125"/>
      <c r="P1315" s="126"/>
      <c r="Q1315" s="62"/>
      <c r="R1315" s="62"/>
      <c r="S1315" s="127"/>
      <c r="T1315" s="11"/>
      <c r="U1315" s="124"/>
      <c r="V1315" s="11"/>
      <c r="W1315" s="124"/>
      <c r="X1315" s="128"/>
      <c r="Y1315" s="129"/>
    </row>
    <row r="1316" spans="14:25" x14ac:dyDescent="0.25">
      <c r="N1316" s="125"/>
      <c r="O1316" s="125"/>
      <c r="P1316" s="126"/>
      <c r="Q1316" s="62"/>
      <c r="R1316" s="62"/>
      <c r="S1316" s="127"/>
      <c r="T1316" s="11"/>
      <c r="U1316" s="124"/>
      <c r="V1316" s="11"/>
      <c r="W1316" s="124"/>
      <c r="X1316" s="128"/>
      <c r="Y1316" s="129"/>
    </row>
    <row r="1317" spans="14:25" x14ac:dyDescent="0.25">
      <c r="N1317" s="125"/>
      <c r="O1317" s="125"/>
      <c r="P1317" s="126"/>
      <c r="Q1317" s="62"/>
      <c r="R1317" s="62"/>
      <c r="S1317" s="127"/>
      <c r="T1317" s="11"/>
      <c r="U1317" s="124"/>
      <c r="V1317" s="11"/>
      <c r="W1317" s="124"/>
      <c r="X1317" s="128"/>
      <c r="Y1317" s="129"/>
    </row>
    <row r="1318" spans="14:25" x14ac:dyDescent="0.25">
      <c r="N1318" s="125"/>
      <c r="O1318" s="125"/>
      <c r="P1318" s="126"/>
      <c r="Q1318" s="62"/>
      <c r="R1318" s="62"/>
      <c r="S1318" s="127"/>
      <c r="T1318" s="11"/>
      <c r="U1318" s="124"/>
      <c r="V1318" s="11"/>
      <c r="W1318" s="124"/>
      <c r="X1318" s="128"/>
      <c r="Y1318" s="129"/>
    </row>
    <row r="1319" spans="14:25" x14ac:dyDescent="0.25">
      <c r="N1319" s="125"/>
      <c r="O1319" s="125"/>
      <c r="P1319" s="126"/>
      <c r="Q1319" s="62"/>
      <c r="R1319" s="62"/>
      <c r="S1319" s="127"/>
      <c r="T1319" s="11"/>
      <c r="U1319" s="124"/>
      <c r="V1319" s="11"/>
      <c r="W1319" s="124"/>
      <c r="X1319" s="128"/>
      <c r="Y1319" s="129"/>
    </row>
    <row r="1320" spans="14:25" x14ac:dyDescent="0.25">
      <c r="N1320" s="125"/>
      <c r="O1320" s="125"/>
      <c r="P1320" s="126"/>
      <c r="Q1320" s="62"/>
      <c r="R1320" s="62"/>
      <c r="S1320" s="127"/>
      <c r="T1320" s="11"/>
      <c r="U1320" s="124"/>
      <c r="V1320" s="11"/>
      <c r="W1320" s="124"/>
      <c r="X1320" s="128"/>
      <c r="Y1320" s="129"/>
    </row>
    <row r="1321" spans="14:25" x14ac:dyDescent="0.25">
      <c r="N1321" s="125"/>
      <c r="O1321" s="125"/>
      <c r="P1321" s="126"/>
      <c r="Q1321" s="62"/>
      <c r="R1321" s="62"/>
      <c r="S1321" s="127"/>
      <c r="T1321" s="11"/>
      <c r="U1321" s="124"/>
      <c r="V1321" s="11"/>
      <c r="W1321" s="124"/>
      <c r="X1321" s="128"/>
      <c r="Y1321" s="129"/>
    </row>
    <row r="1322" spans="14:25" x14ac:dyDescent="0.25">
      <c r="N1322" s="125"/>
      <c r="O1322" s="125"/>
      <c r="P1322" s="126"/>
      <c r="Q1322" s="62"/>
      <c r="R1322" s="62"/>
      <c r="S1322" s="127"/>
      <c r="T1322" s="11"/>
      <c r="U1322" s="124"/>
      <c r="V1322" s="11"/>
      <c r="W1322" s="124"/>
      <c r="X1322" s="128"/>
      <c r="Y1322" s="129"/>
    </row>
    <row r="1323" spans="14:25" x14ac:dyDescent="0.25">
      <c r="N1323" s="125"/>
      <c r="O1323" s="125"/>
      <c r="P1323" s="126"/>
      <c r="Q1323" s="62"/>
      <c r="R1323" s="62"/>
      <c r="S1323" s="127"/>
      <c r="T1323" s="11"/>
      <c r="U1323" s="124"/>
      <c r="V1323" s="11"/>
      <c r="W1323" s="124"/>
      <c r="X1323" s="128"/>
      <c r="Y1323" s="129"/>
    </row>
    <row r="1324" spans="14:25" x14ac:dyDescent="0.25">
      <c r="N1324" s="125"/>
      <c r="O1324" s="125"/>
      <c r="P1324" s="126"/>
      <c r="Q1324" s="62"/>
      <c r="R1324" s="62"/>
      <c r="S1324" s="127"/>
      <c r="T1324" s="11"/>
      <c r="U1324" s="124"/>
      <c r="V1324" s="11"/>
      <c r="W1324" s="124"/>
      <c r="X1324" s="128"/>
      <c r="Y1324" s="129"/>
    </row>
    <row r="1325" spans="14:25" x14ac:dyDescent="0.25">
      <c r="N1325" s="125"/>
      <c r="O1325" s="125"/>
      <c r="P1325" s="126"/>
      <c r="Q1325" s="62"/>
      <c r="R1325" s="62"/>
      <c r="S1325" s="127"/>
      <c r="T1325" s="11"/>
      <c r="U1325" s="124"/>
      <c r="V1325" s="11"/>
      <c r="W1325" s="124"/>
      <c r="X1325" s="128"/>
      <c r="Y1325" s="129"/>
    </row>
    <row r="1326" spans="14:25" x14ac:dyDescent="0.25">
      <c r="N1326" s="125"/>
      <c r="O1326" s="125"/>
      <c r="P1326" s="126"/>
      <c r="Q1326" s="62"/>
      <c r="R1326" s="62"/>
      <c r="S1326" s="127"/>
      <c r="T1326" s="11"/>
      <c r="U1326" s="124"/>
      <c r="V1326" s="11"/>
      <c r="W1326" s="124"/>
      <c r="X1326" s="128"/>
      <c r="Y1326" s="129"/>
    </row>
    <row r="1327" spans="14:25" x14ac:dyDescent="0.25">
      <c r="N1327" s="125"/>
      <c r="O1327" s="125"/>
      <c r="P1327" s="126"/>
      <c r="Q1327" s="62"/>
      <c r="R1327" s="62"/>
      <c r="S1327" s="127"/>
      <c r="T1327" s="11"/>
      <c r="U1327" s="124"/>
      <c r="V1327" s="11"/>
      <c r="W1327" s="124"/>
      <c r="X1327" s="128"/>
      <c r="Y1327" s="129"/>
    </row>
    <row r="1328" spans="14:25" x14ac:dyDescent="0.25">
      <c r="N1328" s="125"/>
      <c r="O1328" s="125"/>
      <c r="P1328" s="126"/>
      <c r="Q1328" s="62"/>
      <c r="R1328" s="62"/>
      <c r="S1328" s="127"/>
      <c r="T1328" s="11"/>
      <c r="U1328" s="124"/>
      <c r="V1328" s="11"/>
      <c r="W1328" s="124"/>
      <c r="X1328" s="128"/>
      <c r="Y1328" s="129"/>
    </row>
    <row r="1329" spans="14:25" x14ac:dyDescent="0.25">
      <c r="N1329" s="125"/>
      <c r="O1329" s="125"/>
      <c r="P1329" s="126"/>
      <c r="Q1329" s="62"/>
      <c r="R1329" s="62"/>
      <c r="S1329" s="127"/>
      <c r="T1329" s="11"/>
      <c r="U1329" s="124"/>
      <c r="V1329" s="11"/>
      <c r="W1329" s="124"/>
      <c r="X1329" s="128"/>
      <c r="Y1329" s="129"/>
    </row>
    <row r="1330" spans="14:25" x14ac:dyDescent="0.25">
      <c r="N1330" s="125"/>
      <c r="O1330" s="125"/>
      <c r="P1330" s="126"/>
      <c r="Q1330" s="62"/>
      <c r="R1330" s="62"/>
      <c r="S1330" s="127"/>
      <c r="T1330" s="11"/>
      <c r="U1330" s="124"/>
      <c r="V1330" s="11"/>
      <c r="W1330" s="124"/>
      <c r="X1330" s="128"/>
      <c r="Y1330" s="129"/>
    </row>
    <row r="1331" spans="14:25" x14ac:dyDescent="0.25">
      <c r="N1331" s="125"/>
      <c r="O1331" s="125"/>
      <c r="P1331" s="126"/>
      <c r="Q1331" s="62"/>
      <c r="R1331" s="62"/>
      <c r="S1331" s="127"/>
      <c r="T1331" s="11"/>
      <c r="U1331" s="124"/>
      <c r="V1331" s="11"/>
      <c r="W1331" s="124"/>
      <c r="X1331" s="128"/>
      <c r="Y1331" s="129"/>
    </row>
    <row r="1332" spans="14:25" x14ac:dyDescent="0.25">
      <c r="N1332" s="125"/>
      <c r="O1332" s="125"/>
      <c r="P1332" s="126"/>
      <c r="Q1332" s="62"/>
      <c r="R1332" s="62"/>
      <c r="S1332" s="127"/>
      <c r="T1332" s="11"/>
      <c r="U1332" s="124"/>
      <c r="V1332" s="11"/>
      <c r="W1332" s="124"/>
      <c r="X1332" s="128"/>
      <c r="Y1332" s="129"/>
    </row>
    <row r="1333" spans="14:25" x14ac:dyDescent="0.25">
      <c r="N1333" s="125"/>
      <c r="O1333" s="125"/>
      <c r="P1333" s="126"/>
      <c r="Q1333" s="62"/>
      <c r="R1333" s="62"/>
      <c r="S1333" s="127"/>
      <c r="T1333" s="11"/>
      <c r="U1333" s="124"/>
      <c r="V1333" s="11"/>
      <c r="W1333" s="124"/>
      <c r="X1333" s="128"/>
      <c r="Y1333" s="129"/>
    </row>
    <row r="1334" spans="14:25" x14ac:dyDescent="0.25">
      <c r="N1334" s="125"/>
      <c r="O1334" s="125"/>
      <c r="P1334" s="126"/>
      <c r="Q1334" s="62"/>
      <c r="R1334" s="62"/>
      <c r="S1334" s="127"/>
      <c r="T1334" s="11"/>
      <c r="U1334" s="124"/>
      <c r="V1334" s="11"/>
      <c r="W1334" s="124"/>
      <c r="X1334" s="128"/>
      <c r="Y1334" s="129"/>
    </row>
    <row r="1335" spans="14:25" x14ac:dyDescent="0.25">
      <c r="N1335" s="125"/>
      <c r="O1335" s="125"/>
      <c r="P1335" s="126"/>
      <c r="Q1335" s="62"/>
      <c r="R1335" s="62"/>
      <c r="S1335" s="127"/>
      <c r="T1335" s="11"/>
      <c r="U1335" s="124"/>
      <c r="V1335" s="11"/>
      <c r="W1335" s="124"/>
      <c r="X1335" s="128"/>
      <c r="Y1335" s="129"/>
    </row>
    <row r="1336" spans="14:25" x14ac:dyDescent="0.25">
      <c r="N1336" s="125"/>
      <c r="O1336" s="125"/>
      <c r="P1336" s="126"/>
      <c r="Q1336" s="62"/>
      <c r="R1336" s="62"/>
      <c r="S1336" s="127"/>
      <c r="T1336" s="11"/>
      <c r="U1336" s="124"/>
      <c r="V1336" s="11"/>
      <c r="W1336" s="124"/>
      <c r="X1336" s="128"/>
      <c r="Y1336" s="129"/>
    </row>
    <row r="1337" spans="14:25" x14ac:dyDescent="0.25">
      <c r="N1337" s="125"/>
      <c r="O1337" s="125"/>
      <c r="P1337" s="126"/>
      <c r="Q1337" s="62"/>
      <c r="R1337" s="62"/>
      <c r="S1337" s="127"/>
      <c r="T1337" s="11"/>
      <c r="U1337" s="124"/>
      <c r="V1337" s="11"/>
      <c r="W1337" s="124"/>
      <c r="X1337" s="128"/>
      <c r="Y1337" s="129"/>
    </row>
    <row r="1338" spans="14:25" x14ac:dyDescent="0.25">
      <c r="N1338" s="125"/>
      <c r="O1338" s="125"/>
      <c r="P1338" s="126"/>
      <c r="Q1338" s="62"/>
      <c r="R1338" s="62"/>
      <c r="S1338" s="127"/>
      <c r="T1338" s="11"/>
      <c r="U1338" s="124"/>
      <c r="V1338" s="11"/>
      <c r="W1338" s="124"/>
      <c r="X1338" s="128"/>
      <c r="Y1338" s="129"/>
    </row>
    <row r="1339" spans="14:25" x14ac:dyDescent="0.25">
      <c r="N1339" s="125"/>
      <c r="O1339" s="125"/>
      <c r="P1339" s="126"/>
      <c r="Q1339" s="62"/>
      <c r="R1339" s="62"/>
      <c r="S1339" s="127"/>
      <c r="T1339" s="11"/>
      <c r="U1339" s="124"/>
      <c r="V1339" s="11"/>
      <c r="W1339" s="124"/>
      <c r="X1339" s="128"/>
      <c r="Y1339" s="129"/>
    </row>
    <row r="1340" spans="14:25" x14ac:dyDescent="0.25">
      <c r="N1340" s="125"/>
      <c r="O1340" s="125"/>
      <c r="P1340" s="126"/>
      <c r="Q1340" s="62"/>
      <c r="R1340" s="62"/>
      <c r="S1340" s="127"/>
      <c r="T1340" s="11"/>
      <c r="U1340" s="124"/>
      <c r="V1340" s="11"/>
      <c r="W1340" s="124"/>
      <c r="X1340" s="128"/>
      <c r="Y1340" s="129"/>
    </row>
    <row r="1341" spans="14:25" x14ac:dyDescent="0.25">
      <c r="N1341" s="125"/>
      <c r="O1341" s="125"/>
      <c r="P1341" s="126"/>
      <c r="Q1341" s="62"/>
      <c r="R1341" s="62"/>
      <c r="S1341" s="127"/>
      <c r="T1341" s="11"/>
      <c r="U1341" s="124"/>
      <c r="V1341" s="11"/>
      <c r="W1341" s="124"/>
      <c r="X1341" s="128"/>
      <c r="Y1341" s="129"/>
    </row>
    <row r="1342" spans="14:25" x14ac:dyDescent="0.25">
      <c r="N1342" s="125"/>
      <c r="O1342" s="125"/>
      <c r="P1342" s="126"/>
      <c r="Q1342" s="62"/>
      <c r="R1342" s="62"/>
      <c r="S1342" s="127"/>
      <c r="T1342" s="11"/>
      <c r="U1342" s="124"/>
      <c r="V1342" s="11"/>
      <c r="W1342" s="124"/>
      <c r="X1342" s="128"/>
      <c r="Y1342" s="129"/>
    </row>
    <row r="1343" spans="14:25" x14ac:dyDescent="0.25">
      <c r="N1343" s="125"/>
      <c r="O1343" s="125"/>
      <c r="P1343" s="126"/>
      <c r="Q1343" s="62"/>
      <c r="R1343" s="62"/>
      <c r="S1343" s="127"/>
      <c r="T1343" s="11"/>
      <c r="U1343" s="124"/>
      <c r="V1343" s="11"/>
      <c r="W1343" s="124"/>
      <c r="X1343" s="128"/>
      <c r="Y1343" s="129"/>
    </row>
    <row r="1344" spans="14:25" x14ac:dyDescent="0.25">
      <c r="N1344" s="125"/>
      <c r="O1344" s="125"/>
      <c r="P1344" s="126"/>
      <c r="Q1344" s="62"/>
      <c r="R1344" s="62"/>
      <c r="S1344" s="127"/>
      <c r="T1344" s="11"/>
      <c r="U1344" s="124"/>
      <c r="V1344" s="11"/>
      <c r="W1344" s="124"/>
      <c r="X1344" s="128"/>
      <c r="Y1344" s="129"/>
    </row>
    <row r="1345" spans="14:25" x14ac:dyDescent="0.25">
      <c r="N1345" s="125"/>
      <c r="O1345" s="125"/>
      <c r="P1345" s="126"/>
      <c r="Q1345" s="62"/>
      <c r="R1345" s="62"/>
      <c r="S1345" s="127"/>
      <c r="T1345" s="11"/>
      <c r="U1345" s="124"/>
      <c r="V1345" s="11"/>
      <c r="W1345" s="124"/>
      <c r="X1345" s="128"/>
      <c r="Y1345" s="129"/>
    </row>
    <row r="1346" spans="14:25" x14ac:dyDescent="0.25">
      <c r="N1346" s="125"/>
      <c r="O1346" s="125"/>
      <c r="P1346" s="126"/>
      <c r="Q1346" s="62"/>
      <c r="R1346" s="62"/>
      <c r="S1346" s="127"/>
      <c r="T1346" s="11"/>
      <c r="U1346" s="124"/>
      <c r="V1346" s="11"/>
      <c r="W1346" s="124"/>
      <c r="X1346" s="128"/>
      <c r="Y1346" s="129"/>
    </row>
    <row r="1347" spans="14:25" x14ac:dyDescent="0.25">
      <c r="N1347" s="125"/>
      <c r="O1347" s="125"/>
      <c r="P1347" s="126"/>
      <c r="Q1347" s="62"/>
      <c r="R1347" s="62"/>
      <c r="S1347" s="127"/>
      <c r="T1347" s="11"/>
      <c r="U1347" s="124"/>
      <c r="V1347" s="11"/>
      <c r="W1347" s="124"/>
      <c r="X1347" s="128"/>
      <c r="Y1347" s="129"/>
    </row>
    <row r="1348" spans="14:25" x14ac:dyDescent="0.25">
      <c r="N1348" s="125"/>
      <c r="O1348" s="125"/>
      <c r="P1348" s="126"/>
      <c r="Q1348" s="62"/>
      <c r="R1348" s="62"/>
      <c r="S1348" s="127"/>
      <c r="T1348" s="11"/>
      <c r="U1348" s="124"/>
      <c r="V1348" s="11"/>
      <c r="W1348" s="124"/>
      <c r="X1348" s="128"/>
      <c r="Y1348" s="129"/>
    </row>
    <row r="1349" spans="14:25" x14ac:dyDescent="0.25">
      <c r="N1349" s="125"/>
      <c r="O1349" s="125"/>
      <c r="P1349" s="126"/>
      <c r="Q1349" s="62"/>
      <c r="R1349" s="62"/>
      <c r="S1349" s="127"/>
      <c r="T1349" s="11"/>
      <c r="U1349" s="124"/>
      <c r="V1349" s="11"/>
      <c r="W1349" s="124"/>
      <c r="X1349" s="128"/>
      <c r="Y1349" s="129"/>
    </row>
    <row r="1350" spans="14:25" x14ac:dyDescent="0.25">
      <c r="N1350" s="125"/>
      <c r="O1350" s="125"/>
      <c r="P1350" s="126"/>
      <c r="Q1350" s="62"/>
      <c r="R1350" s="62"/>
      <c r="S1350" s="127"/>
      <c r="T1350" s="11"/>
      <c r="U1350" s="124"/>
      <c r="V1350" s="11"/>
      <c r="W1350" s="124"/>
      <c r="X1350" s="128"/>
      <c r="Y1350" s="129"/>
    </row>
    <row r="1351" spans="14:25" x14ac:dyDescent="0.25">
      <c r="N1351" s="125"/>
      <c r="O1351" s="125"/>
      <c r="P1351" s="126"/>
      <c r="Q1351" s="62"/>
      <c r="R1351" s="62"/>
      <c r="S1351" s="127"/>
      <c r="T1351" s="11"/>
      <c r="U1351" s="124"/>
      <c r="V1351" s="11"/>
      <c r="W1351" s="124"/>
      <c r="X1351" s="128"/>
      <c r="Y1351" s="129"/>
    </row>
    <row r="1352" spans="14:25" x14ac:dyDescent="0.25">
      <c r="N1352" s="125"/>
      <c r="O1352" s="125"/>
      <c r="P1352" s="126"/>
      <c r="Q1352" s="62"/>
      <c r="R1352" s="62"/>
      <c r="S1352" s="127"/>
      <c r="T1352" s="11"/>
      <c r="U1352" s="124"/>
      <c r="V1352" s="11"/>
      <c r="W1352" s="124"/>
      <c r="X1352" s="128"/>
      <c r="Y1352" s="129"/>
    </row>
    <row r="1353" spans="14:25" x14ac:dyDescent="0.25">
      <c r="N1353" s="125"/>
      <c r="O1353" s="125"/>
      <c r="P1353" s="126"/>
      <c r="Q1353" s="62"/>
      <c r="R1353" s="62"/>
      <c r="S1353" s="127"/>
      <c r="T1353" s="11"/>
      <c r="U1353" s="124"/>
      <c r="V1353" s="11"/>
      <c r="W1353" s="124"/>
      <c r="X1353" s="128"/>
      <c r="Y1353" s="129"/>
    </row>
    <row r="1354" spans="14:25" x14ac:dyDescent="0.25">
      <c r="N1354" s="125"/>
      <c r="O1354" s="125"/>
      <c r="P1354" s="126"/>
      <c r="Q1354" s="62"/>
      <c r="R1354" s="62"/>
      <c r="S1354" s="127"/>
      <c r="T1354" s="11"/>
      <c r="U1354" s="124"/>
      <c r="V1354" s="11"/>
      <c r="W1354" s="124"/>
      <c r="X1354" s="128"/>
      <c r="Y1354" s="129"/>
    </row>
    <row r="1355" spans="14:25" x14ac:dyDescent="0.25">
      <c r="N1355" s="125"/>
      <c r="O1355" s="125"/>
      <c r="P1355" s="126"/>
      <c r="Q1355" s="62"/>
      <c r="R1355" s="62"/>
      <c r="S1355" s="127"/>
      <c r="T1355" s="11"/>
      <c r="U1355" s="124"/>
      <c r="V1355" s="11"/>
      <c r="W1355" s="124"/>
      <c r="X1355" s="128"/>
      <c r="Y1355" s="129"/>
    </row>
    <row r="1356" spans="14:25" x14ac:dyDescent="0.25">
      <c r="N1356" s="125"/>
      <c r="O1356" s="125"/>
      <c r="P1356" s="126"/>
      <c r="Q1356" s="62"/>
      <c r="R1356" s="62"/>
      <c r="S1356" s="127"/>
      <c r="T1356" s="11"/>
      <c r="U1356" s="124"/>
      <c r="V1356" s="11"/>
      <c r="W1356" s="124"/>
      <c r="X1356" s="128"/>
      <c r="Y1356" s="129"/>
    </row>
    <row r="1357" spans="14:25" x14ac:dyDescent="0.25">
      <c r="N1357" s="125"/>
      <c r="O1357" s="125"/>
      <c r="P1357" s="126"/>
      <c r="Q1357" s="62"/>
      <c r="R1357" s="62"/>
      <c r="S1357" s="127"/>
      <c r="T1357" s="11"/>
      <c r="U1357" s="124"/>
      <c r="V1357" s="11"/>
      <c r="W1357" s="124"/>
      <c r="X1357" s="128"/>
      <c r="Y1357" s="129"/>
    </row>
    <row r="1358" spans="14:25" x14ac:dyDescent="0.25">
      <c r="N1358" s="125"/>
      <c r="O1358" s="125"/>
      <c r="P1358" s="126"/>
      <c r="Q1358" s="62"/>
      <c r="R1358" s="62"/>
      <c r="S1358" s="127"/>
      <c r="T1358" s="11"/>
      <c r="U1358" s="124"/>
      <c r="V1358" s="11"/>
      <c r="W1358" s="124"/>
      <c r="X1358" s="128"/>
      <c r="Y1358" s="129"/>
    </row>
    <row r="1359" spans="14:25" x14ac:dyDescent="0.25">
      <c r="N1359" s="125"/>
      <c r="O1359" s="125"/>
      <c r="P1359" s="126"/>
      <c r="Q1359" s="62"/>
      <c r="R1359" s="62"/>
      <c r="S1359" s="127"/>
      <c r="T1359" s="11"/>
      <c r="U1359" s="124"/>
      <c r="V1359" s="11"/>
      <c r="W1359" s="124"/>
      <c r="X1359" s="128"/>
      <c r="Y1359" s="129"/>
    </row>
    <row r="1360" spans="14:25" x14ac:dyDescent="0.25">
      <c r="N1360" s="125"/>
      <c r="O1360" s="125"/>
      <c r="P1360" s="126"/>
      <c r="Q1360" s="62"/>
      <c r="R1360" s="62"/>
      <c r="S1360" s="127"/>
      <c r="T1360" s="11"/>
      <c r="U1360" s="124"/>
      <c r="V1360" s="11"/>
      <c r="W1360" s="124"/>
      <c r="X1360" s="128"/>
      <c r="Y1360" s="129"/>
    </row>
    <row r="1361" spans="14:25" x14ac:dyDescent="0.25">
      <c r="N1361" s="125"/>
      <c r="O1361" s="125"/>
      <c r="P1361" s="126"/>
      <c r="Q1361" s="62"/>
      <c r="R1361" s="62"/>
      <c r="S1361" s="127"/>
      <c r="T1361" s="11"/>
      <c r="U1361" s="124"/>
      <c r="V1361" s="11"/>
      <c r="W1361" s="124"/>
      <c r="X1361" s="128"/>
      <c r="Y1361" s="129"/>
    </row>
    <row r="1362" spans="14:25" x14ac:dyDescent="0.25">
      <c r="N1362" s="125"/>
      <c r="O1362" s="125"/>
      <c r="P1362" s="126"/>
      <c r="Q1362" s="62"/>
      <c r="R1362" s="62"/>
      <c r="S1362" s="127"/>
      <c r="T1362" s="11"/>
      <c r="U1362" s="124"/>
      <c r="V1362" s="11"/>
      <c r="W1362" s="124"/>
      <c r="X1362" s="128"/>
      <c r="Y1362" s="129"/>
    </row>
    <row r="1363" spans="14:25" x14ac:dyDescent="0.25">
      <c r="N1363" s="125"/>
      <c r="O1363" s="125"/>
      <c r="P1363" s="126"/>
      <c r="Q1363" s="62"/>
      <c r="R1363" s="62"/>
      <c r="S1363" s="127"/>
      <c r="T1363" s="11"/>
      <c r="U1363" s="124"/>
      <c r="V1363" s="11"/>
      <c r="W1363" s="124"/>
      <c r="X1363" s="128"/>
      <c r="Y1363" s="129"/>
    </row>
    <row r="1364" spans="14:25" x14ac:dyDescent="0.25">
      <c r="N1364" s="125"/>
      <c r="O1364" s="125"/>
      <c r="P1364" s="126"/>
      <c r="Q1364" s="62"/>
      <c r="R1364" s="62"/>
      <c r="S1364" s="127"/>
      <c r="T1364" s="11"/>
      <c r="U1364" s="124"/>
      <c r="V1364" s="11"/>
      <c r="W1364" s="124"/>
      <c r="X1364" s="128"/>
      <c r="Y1364" s="129"/>
    </row>
    <row r="1365" spans="14:25" x14ac:dyDescent="0.25">
      <c r="N1365" s="125"/>
      <c r="O1365" s="125"/>
      <c r="P1365" s="126"/>
      <c r="Q1365" s="62"/>
      <c r="R1365" s="62"/>
      <c r="S1365" s="127"/>
      <c r="T1365" s="11"/>
      <c r="U1365" s="124"/>
      <c r="V1365" s="11"/>
      <c r="W1365" s="124"/>
      <c r="X1365" s="128"/>
      <c r="Y1365" s="129"/>
    </row>
    <row r="1366" spans="14:25" x14ac:dyDescent="0.25">
      <c r="N1366" s="125"/>
      <c r="O1366" s="125"/>
      <c r="P1366" s="126"/>
      <c r="Q1366" s="62"/>
      <c r="R1366" s="62"/>
      <c r="S1366" s="127"/>
      <c r="T1366" s="11"/>
      <c r="U1366" s="124"/>
      <c r="V1366" s="11"/>
      <c r="W1366" s="124"/>
      <c r="X1366" s="128"/>
      <c r="Y1366" s="129"/>
    </row>
    <row r="1367" spans="14:25" x14ac:dyDescent="0.25">
      <c r="N1367" s="125"/>
      <c r="O1367" s="125"/>
      <c r="P1367" s="126"/>
      <c r="Q1367" s="62"/>
      <c r="R1367" s="62"/>
      <c r="S1367" s="127"/>
      <c r="T1367" s="11"/>
      <c r="U1367" s="124"/>
      <c r="V1367" s="11"/>
      <c r="W1367" s="124"/>
      <c r="X1367" s="128"/>
      <c r="Y1367" s="129"/>
    </row>
    <row r="1368" spans="14:25" x14ac:dyDescent="0.25">
      <c r="N1368" s="125"/>
      <c r="O1368" s="125"/>
      <c r="P1368" s="126"/>
      <c r="Q1368" s="62"/>
      <c r="R1368" s="62"/>
      <c r="S1368" s="127"/>
      <c r="T1368" s="11"/>
      <c r="U1368" s="124"/>
      <c r="V1368" s="11"/>
      <c r="W1368" s="124"/>
      <c r="X1368" s="128"/>
      <c r="Y1368" s="129"/>
    </row>
    <row r="1369" spans="14:25" x14ac:dyDescent="0.25">
      <c r="N1369" s="125"/>
      <c r="O1369" s="125"/>
      <c r="P1369" s="126"/>
      <c r="Q1369" s="62"/>
      <c r="R1369" s="62"/>
      <c r="S1369" s="127"/>
      <c r="T1369" s="11"/>
      <c r="U1369" s="124"/>
      <c r="V1369" s="11"/>
      <c r="W1369" s="124"/>
      <c r="X1369" s="128"/>
      <c r="Y1369" s="129"/>
    </row>
    <row r="1370" spans="14:25" x14ac:dyDescent="0.25">
      <c r="N1370" s="125"/>
      <c r="O1370" s="125"/>
      <c r="P1370" s="126"/>
      <c r="Q1370" s="62"/>
      <c r="R1370" s="62"/>
      <c r="S1370" s="127"/>
      <c r="T1370" s="11"/>
      <c r="U1370" s="124"/>
      <c r="V1370" s="11"/>
      <c r="W1370" s="124"/>
      <c r="X1370" s="128"/>
      <c r="Y1370" s="129"/>
    </row>
    <row r="1371" spans="14:25" x14ac:dyDescent="0.25">
      <c r="N1371" s="125"/>
      <c r="O1371" s="125"/>
      <c r="P1371" s="126"/>
      <c r="Q1371" s="62"/>
      <c r="R1371" s="62"/>
      <c r="S1371" s="127"/>
      <c r="T1371" s="11"/>
      <c r="U1371" s="124"/>
      <c r="V1371" s="11"/>
      <c r="W1371" s="124"/>
      <c r="X1371" s="128"/>
      <c r="Y1371" s="129"/>
    </row>
    <row r="1372" spans="14:25" x14ac:dyDescent="0.25">
      <c r="N1372" s="125"/>
      <c r="O1372" s="125"/>
      <c r="P1372" s="126"/>
      <c r="Q1372" s="62"/>
      <c r="R1372" s="62"/>
      <c r="S1372" s="127"/>
      <c r="T1372" s="11"/>
      <c r="U1372" s="124"/>
      <c r="V1372" s="11"/>
      <c r="W1372" s="124"/>
      <c r="X1372" s="128"/>
      <c r="Y1372" s="129"/>
    </row>
    <row r="1373" spans="14:25" x14ac:dyDescent="0.25">
      <c r="N1373" s="125"/>
      <c r="O1373" s="125"/>
      <c r="P1373" s="126"/>
      <c r="Q1373" s="62"/>
      <c r="R1373" s="62"/>
      <c r="S1373" s="127"/>
      <c r="T1373" s="11"/>
      <c r="U1373" s="124"/>
      <c r="V1373" s="11"/>
      <c r="W1373" s="124"/>
      <c r="X1373" s="128"/>
      <c r="Y1373" s="129"/>
    </row>
    <row r="1374" spans="14:25" x14ac:dyDescent="0.25">
      <c r="N1374" s="125"/>
      <c r="O1374" s="125"/>
      <c r="P1374" s="126"/>
      <c r="Q1374" s="62"/>
      <c r="R1374" s="62"/>
      <c r="S1374" s="127"/>
      <c r="T1374" s="11"/>
      <c r="U1374" s="124"/>
      <c r="V1374" s="11"/>
      <c r="W1374" s="124"/>
      <c r="X1374" s="128"/>
      <c r="Y1374" s="129"/>
    </row>
    <row r="1375" spans="14:25" x14ac:dyDescent="0.25">
      <c r="N1375" s="125"/>
      <c r="O1375" s="125"/>
      <c r="P1375" s="126"/>
      <c r="Q1375" s="62"/>
      <c r="R1375" s="62"/>
      <c r="S1375" s="127"/>
      <c r="T1375" s="11"/>
      <c r="U1375" s="124"/>
      <c r="V1375" s="11"/>
      <c r="W1375" s="124"/>
      <c r="X1375" s="128"/>
      <c r="Y1375" s="129"/>
    </row>
    <row r="1376" spans="14:25" x14ac:dyDescent="0.25">
      <c r="N1376" s="125"/>
      <c r="O1376" s="125"/>
      <c r="P1376" s="126"/>
      <c r="Q1376" s="62"/>
      <c r="R1376" s="62"/>
      <c r="S1376" s="127"/>
      <c r="T1376" s="11"/>
      <c r="U1376" s="124"/>
      <c r="V1376" s="11"/>
      <c r="W1376" s="124"/>
      <c r="X1376" s="128"/>
      <c r="Y1376" s="129"/>
    </row>
    <row r="1377" spans="14:25" x14ac:dyDescent="0.25">
      <c r="N1377" s="125"/>
      <c r="O1377" s="125"/>
      <c r="P1377" s="126"/>
      <c r="Q1377" s="62"/>
      <c r="R1377" s="62"/>
      <c r="S1377" s="127"/>
      <c r="T1377" s="11"/>
      <c r="U1377" s="124"/>
      <c r="V1377" s="11"/>
      <c r="W1377" s="124"/>
      <c r="X1377" s="128"/>
      <c r="Y1377" s="129"/>
    </row>
    <row r="1378" spans="14:25" x14ac:dyDescent="0.25">
      <c r="N1378" s="125"/>
      <c r="O1378" s="125"/>
      <c r="P1378" s="126"/>
      <c r="Q1378" s="62"/>
      <c r="R1378" s="62"/>
      <c r="S1378" s="127"/>
      <c r="T1378" s="11"/>
      <c r="U1378" s="124"/>
      <c r="V1378" s="11"/>
      <c r="W1378" s="124"/>
      <c r="X1378" s="128"/>
      <c r="Y1378" s="129"/>
    </row>
    <row r="1379" spans="14:25" x14ac:dyDescent="0.25">
      <c r="N1379" s="125"/>
      <c r="O1379" s="125"/>
      <c r="P1379" s="126"/>
      <c r="Q1379" s="62"/>
      <c r="R1379" s="62"/>
      <c r="S1379" s="127"/>
      <c r="T1379" s="11"/>
      <c r="U1379" s="124"/>
      <c r="V1379" s="11"/>
      <c r="W1379" s="124"/>
      <c r="X1379" s="128"/>
      <c r="Y1379" s="129"/>
    </row>
    <row r="1380" spans="14:25" x14ac:dyDescent="0.25">
      <c r="N1380" s="125"/>
      <c r="O1380" s="125"/>
      <c r="P1380" s="126"/>
      <c r="Q1380" s="62"/>
      <c r="R1380" s="62"/>
      <c r="S1380" s="127"/>
      <c r="T1380" s="11"/>
      <c r="U1380" s="124"/>
      <c r="V1380" s="11"/>
      <c r="W1380" s="124"/>
      <c r="X1380" s="128"/>
      <c r="Y1380" s="129"/>
    </row>
    <row r="1381" spans="14:25" x14ac:dyDescent="0.25">
      <c r="N1381" s="125"/>
      <c r="O1381" s="125"/>
      <c r="P1381" s="126"/>
      <c r="Q1381" s="62"/>
      <c r="R1381" s="62"/>
      <c r="S1381" s="127"/>
      <c r="T1381" s="11"/>
      <c r="U1381" s="124"/>
      <c r="V1381" s="11"/>
      <c r="W1381" s="124"/>
      <c r="X1381" s="128"/>
      <c r="Y1381" s="129"/>
    </row>
    <row r="1382" spans="14:25" x14ac:dyDescent="0.25">
      <c r="N1382" s="125"/>
      <c r="O1382" s="125"/>
      <c r="P1382" s="126"/>
      <c r="Q1382" s="62"/>
      <c r="R1382" s="62"/>
      <c r="S1382" s="127"/>
      <c r="T1382" s="11"/>
      <c r="U1382" s="124"/>
      <c r="V1382" s="11"/>
      <c r="W1382" s="124"/>
      <c r="X1382" s="128"/>
      <c r="Y1382" s="129"/>
    </row>
    <row r="1383" spans="14:25" x14ac:dyDescent="0.25">
      <c r="N1383" s="125"/>
      <c r="O1383" s="125"/>
      <c r="P1383" s="126"/>
      <c r="Q1383" s="62"/>
      <c r="R1383" s="62"/>
      <c r="S1383" s="127"/>
      <c r="T1383" s="11"/>
      <c r="U1383" s="124"/>
      <c r="V1383" s="11"/>
      <c r="W1383" s="124"/>
      <c r="X1383" s="128"/>
      <c r="Y1383" s="129"/>
    </row>
    <row r="1384" spans="14:25" x14ac:dyDescent="0.25">
      <c r="N1384" s="125"/>
      <c r="O1384" s="125"/>
      <c r="P1384" s="126"/>
      <c r="Q1384" s="62"/>
      <c r="R1384" s="62"/>
      <c r="S1384" s="127"/>
      <c r="T1384" s="11"/>
      <c r="U1384" s="124"/>
      <c r="V1384" s="11"/>
      <c r="W1384" s="124"/>
      <c r="X1384" s="128"/>
      <c r="Y1384" s="129"/>
    </row>
    <row r="1385" spans="14:25" x14ac:dyDescent="0.25">
      <c r="N1385" s="125"/>
      <c r="O1385" s="125"/>
      <c r="P1385" s="126"/>
      <c r="Q1385" s="62"/>
      <c r="R1385" s="62"/>
      <c r="S1385" s="127"/>
      <c r="T1385" s="11"/>
      <c r="U1385" s="124"/>
      <c r="V1385" s="11"/>
      <c r="W1385" s="124"/>
      <c r="X1385" s="128"/>
      <c r="Y1385" s="129"/>
    </row>
    <row r="1386" spans="14:25" x14ac:dyDescent="0.25">
      <c r="N1386" s="125"/>
      <c r="O1386" s="125"/>
      <c r="P1386" s="126"/>
      <c r="Q1386" s="62"/>
      <c r="R1386" s="62"/>
      <c r="S1386" s="127"/>
      <c r="T1386" s="11"/>
      <c r="U1386" s="124"/>
      <c r="V1386" s="11"/>
      <c r="W1386" s="124"/>
      <c r="X1386" s="128"/>
      <c r="Y1386" s="129"/>
    </row>
    <row r="1387" spans="14:25" x14ac:dyDescent="0.25">
      <c r="N1387" s="125"/>
      <c r="O1387" s="125"/>
      <c r="P1387" s="126"/>
      <c r="Q1387" s="62"/>
      <c r="R1387" s="62"/>
      <c r="S1387" s="127"/>
      <c r="T1387" s="11"/>
      <c r="U1387" s="124"/>
      <c r="V1387" s="11"/>
      <c r="W1387" s="124"/>
      <c r="X1387" s="128"/>
      <c r="Y1387" s="129"/>
    </row>
    <row r="1388" spans="14:25" x14ac:dyDescent="0.25">
      <c r="N1388" s="125"/>
      <c r="O1388" s="125"/>
      <c r="P1388" s="126"/>
      <c r="Q1388" s="62"/>
      <c r="R1388" s="62"/>
      <c r="S1388" s="127"/>
      <c r="T1388" s="11"/>
      <c r="U1388" s="124"/>
      <c r="V1388" s="11"/>
      <c r="W1388" s="124"/>
      <c r="X1388" s="128"/>
      <c r="Y1388" s="129"/>
    </row>
    <row r="1389" spans="14:25" x14ac:dyDescent="0.25">
      <c r="N1389" s="125"/>
      <c r="O1389" s="125"/>
      <c r="P1389" s="126"/>
      <c r="Q1389" s="62"/>
      <c r="R1389" s="62"/>
      <c r="S1389" s="127"/>
      <c r="T1389" s="11"/>
      <c r="U1389" s="124"/>
      <c r="V1389" s="11"/>
      <c r="W1389" s="124"/>
      <c r="X1389" s="128"/>
      <c r="Y1389" s="129"/>
    </row>
    <row r="1390" spans="14:25" x14ac:dyDescent="0.25">
      <c r="N1390" s="125"/>
      <c r="O1390" s="125"/>
      <c r="P1390" s="126"/>
      <c r="Q1390" s="62"/>
      <c r="R1390" s="62"/>
      <c r="S1390" s="127"/>
      <c r="T1390" s="11"/>
      <c r="U1390" s="124"/>
      <c r="V1390" s="11"/>
      <c r="W1390" s="124"/>
      <c r="X1390" s="128"/>
      <c r="Y1390" s="129"/>
    </row>
    <row r="1391" spans="14:25" x14ac:dyDescent="0.25">
      <c r="N1391" s="125"/>
      <c r="O1391" s="125"/>
      <c r="P1391" s="126"/>
      <c r="Q1391" s="62"/>
      <c r="R1391" s="62"/>
      <c r="S1391" s="127"/>
      <c r="T1391" s="11"/>
      <c r="U1391" s="124"/>
      <c r="V1391" s="11"/>
      <c r="W1391" s="124"/>
      <c r="X1391" s="128"/>
      <c r="Y1391" s="129"/>
    </row>
    <row r="1392" spans="14:25" x14ac:dyDescent="0.25">
      <c r="N1392" s="125"/>
      <c r="O1392" s="125"/>
      <c r="P1392" s="126"/>
      <c r="Q1392" s="62"/>
      <c r="R1392" s="62"/>
      <c r="S1392" s="127"/>
      <c r="T1392" s="11"/>
      <c r="U1392" s="124"/>
      <c r="V1392" s="11"/>
      <c r="W1392" s="124"/>
      <c r="X1392" s="128"/>
      <c r="Y1392" s="129"/>
    </row>
    <row r="1393" spans="14:25" x14ac:dyDescent="0.25">
      <c r="N1393" s="125"/>
      <c r="O1393" s="125"/>
      <c r="P1393" s="126"/>
      <c r="Q1393" s="62"/>
      <c r="R1393" s="62"/>
      <c r="S1393" s="127"/>
      <c r="T1393" s="11"/>
      <c r="U1393" s="124"/>
      <c r="V1393" s="11"/>
      <c r="W1393" s="124"/>
      <c r="X1393" s="128"/>
      <c r="Y1393" s="129"/>
    </row>
    <row r="1394" spans="14:25" x14ac:dyDescent="0.25">
      <c r="N1394" s="125"/>
      <c r="O1394" s="125"/>
      <c r="P1394" s="126"/>
      <c r="Q1394" s="62"/>
      <c r="R1394" s="62"/>
      <c r="S1394" s="127"/>
      <c r="T1394" s="11"/>
      <c r="U1394" s="124"/>
      <c r="V1394" s="11"/>
      <c r="W1394" s="124"/>
      <c r="X1394" s="128"/>
      <c r="Y1394" s="129"/>
    </row>
    <row r="1395" spans="14:25" x14ac:dyDescent="0.25">
      <c r="N1395" s="125"/>
      <c r="O1395" s="125"/>
      <c r="P1395" s="126"/>
      <c r="Q1395" s="62"/>
      <c r="R1395" s="62"/>
      <c r="S1395" s="127"/>
      <c r="T1395" s="11"/>
      <c r="U1395" s="124"/>
      <c r="V1395" s="11"/>
      <c r="W1395" s="124"/>
      <c r="X1395" s="128"/>
      <c r="Y1395" s="129"/>
    </row>
    <row r="1396" spans="14:25" x14ac:dyDescent="0.25">
      <c r="N1396" s="125"/>
      <c r="O1396" s="125"/>
      <c r="P1396" s="126"/>
      <c r="Q1396" s="62"/>
      <c r="R1396" s="62"/>
      <c r="S1396" s="127"/>
      <c r="T1396" s="11"/>
      <c r="U1396" s="124"/>
      <c r="V1396" s="11"/>
      <c r="W1396" s="124"/>
      <c r="X1396" s="128"/>
      <c r="Y1396" s="129"/>
    </row>
    <row r="1397" spans="14:25" x14ac:dyDescent="0.25">
      <c r="N1397" s="125"/>
      <c r="O1397" s="125"/>
      <c r="P1397" s="126"/>
      <c r="Q1397" s="62"/>
      <c r="R1397" s="62"/>
      <c r="S1397" s="127"/>
      <c r="T1397" s="11"/>
      <c r="U1397" s="124"/>
      <c r="V1397" s="11"/>
      <c r="W1397" s="124"/>
      <c r="X1397" s="128"/>
      <c r="Y1397" s="129"/>
    </row>
    <row r="1398" spans="14:25" x14ac:dyDescent="0.25">
      <c r="N1398" s="125"/>
      <c r="O1398" s="125"/>
      <c r="P1398" s="126"/>
      <c r="Q1398" s="62"/>
      <c r="R1398" s="62"/>
      <c r="S1398" s="127"/>
      <c r="T1398" s="11"/>
      <c r="U1398" s="124"/>
      <c r="V1398" s="11"/>
      <c r="W1398" s="124"/>
      <c r="X1398" s="128"/>
      <c r="Y1398" s="129"/>
    </row>
    <row r="1399" spans="14:25" x14ac:dyDescent="0.25">
      <c r="N1399" s="125"/>
      <c r="O1399" s="125"/>
      <c r="P1399" s="126"/>
      <c r="Q1399" s="62"/>
      <c r="R1399" s="62"/>
      <c r="S1399" s="127"/>
      <c r="T1399" s="11"/>
      <c r="U1399" s="124"/>
      <c r="V1399" s="11"/>
      <c r="W1399" s="124"/>
      <c r="X1399" s="128"/>
      <c r="Y1399" s="129"/>
    </row>
    <row r="1400" spans="14:25" x14ac:dyDescent="0.25">
      <c r="N1400" s="125"/>
      <c r="O1400" s="125"/>
      <c r="P1400" s="126"/>
      <c r="Q1400" s="62"/>
      <c r="R1400" s="62"/>
      <c r="S1400" s="127"/>
      <c r="T1400" s="11"/>
      <c r="U1400" s="124"/>
      <c r="V1400" s="11"/>
      <c r="W1400" s="124"/>
      <c r="X1400" s="128"/>
      <c r="Y1400" s="129"/>
    </row>
    <row r="1401" spans="14:25" x14ac:dyDescent="0.25">
      <c r="N1401" s="125"/>
      <c r="O1401" s="125"/>
      <c r="P1401" s="126"/>
      <c r="Q1401" s="62"/>
      <c r="R1401" s="62"/>
      <c r="S1401" s="127"/>
      <c r="T1401" s="11"/>
      <c r="U1401" s="124"/>
      <c r="V1401" s="11"/>
      <c r="W1401" s="124"/>
      <c r="X1401" s="128"/>
      <c r="Y1401" s="129"/>
    </row>
    <row r="1402" spans="14:25" x14ac:dyDescent="0.25">
      <c r="N1402" s="125"/>
      <c r="O1402" s="125"/>
      <c r="P1402" s="126"/>
      <c r="Q1402" s="62"/>
      <c r="R1402" s="62"/>
      <c r="S1402" s="127"/>
      <c r="T1402" s="11"/>
      <c r="U1402" s="124"/>
      <c r="V1402" s="11"/>
      <c r="W1402" s="124"/>
      <c r="X1402" s="128"/>
      <c r="Y1402" s="129"/>
    </row>
    <row r="1403" spans="14:25" x14ac:dyDescent="0.25">
      <c r="N1403" s="125"/>
      <c r="O1403" s="125"/>
      <c r="P1403" s="126"/>
      <c r="Q1403" s="62"/>
      <c r="R1403" s="62"/>
      <c r="S1403" s="127"/>
      <c r="T1403" s="11"/>
      <c r="U1403" s="124"/>
      <c r="V1403" s="11"/>
      <c r="W1403" s="124"/>
      <c r="X1403" s="128"/>
      <c r="Y1403" s="129"/>
    </row>
    <row r="1404" spans="14:25" x14ac:dyDescent="0.25">
      <c r="N1404" s="125"/>
      <c r="O1404" s="125"/>
      <c r="P1404" s="126"/>
      <c r="Q1404" s="62"/>
      <c r="R1404" s="62"/>
      <c r="S1404" s="127"/>
      <c r="T1404" s="11"/>
      <c r="U1404" s="124"/>
      <c r="V1404" s="11"/>
      <c r="W1404" s="124"/>
      <c r="X1404" s="128"/>
      <c r="Y1404" s="129"/>
    </row>
    <row r="1405" spans="14:25" x14ac:dyDescent="0.25">
      <c r="N1405" s="125"/>
      <c r="O1405" s="125"/>
      <c r="P1405" s="126"/>
      <c r="Q1405" s="62"/>
      <c r="R1405" s="62"/>
      <c r="S1405" s="127"/>
      <c r="T1405" s="11"/>
      <c r="U1405" s="124"/>
      <c r="V1405" s="11"/>
      <c r="W1405" s="124"/>
      <c r="X1405" s="128"/>
      <c r="Y1405" s="129"/>
    </row>
    <row r="1406" spans="14:25" x14ac:dyDescent="0.25">
      <c r="N1406" s="125"/>
      <c r="O1406" s="125"/>
      <c r="P1406" s="126"/>
      <c r="Q1406" s="62"/>
      <c r="R1406" s="62"/>
      <c r="S1406" s="127"/>
      <c r="T1406" s="11"/>
      <c r="U1406" s="124"/>
      <c r="V1406" s="11"/>
      <c r="W1406" s="124"/>
      <c r="X1406" s="128"/>
      <c r="Y1406" s="129"/>
    </row>
    <row r="1407" spans="14:25" x14ac:dyDescent="0.25">
      <c r="N1407" s="125"/>
      <c r="O1407" s="125"/>
      <c r="P1407" s="126"/>
      <c r="Q1407" s="62"/>
      <c r="R1407" s="62"/>
      <c r="S1407" s="127"/>
      <c r="T1407" s="11"/>
      <c r="U1407" s="124"/>
      <c r="V1407" s="11"/>
      <c r="W1407" s="124"/>
      <c r="X1407" s="128"/>
      <c r="Y1407" s="129"/>
    </row>
    <row r="1408" spans="14:25" x14ac:dyDescent="0.25">
      <c r="N1408" s="125"/>
      <c r="O1408" s="125"/>
      <c r="P1408" s="126"/>
      <c r="Q1408" s="62"/>
      <c r="R1408" s="62"/>
      <c r="S1408" s="127"/>
      <c r="T1408" s="11"/>
      <c r="U1408" s="124"/>
      <c r="V1408" s="11"/>
      <c r="W1408" s="124"/>
      <c r="X1408" s="128"/>
      <c r="Y1408" s="129"/>
    </row>
    <row r="1409" spans="14:25" x14ac:dyDescent="0.25">
      <c r="N1409" s="125"/>
      <c r="O1409" s="125"/>
      <c r="P1409" s="126"/>
      <c r="Q1409" s="62"/>
      <c r="R1409" s="62"/>
      <c r="S1409" s="127"/>
      <c r="T1409" s="11"/>
      <c r="U1409" s="124"/>
      <c r="V1409" s="11"/>
      <c r="W1409" s="124"/>
      <c r="X1409" s="128"/>
      <c r="Y1409" s="129"/>
    </row>
    <row r="1410" spans="14:25" x14ac:dyDescent="0.25">
      <c r="N1410" s="125"/>
      <c r="O1410" s="125"/>
      <c r="P1410" s="126"/>
      <c r="Q1410" s="62"/>
      <c r="R1410" s="62"/>
      <c r="S1410" s="127"/>
      <c r="T1410" s="11"/>
      <c r="U1410" s="124"/>
      <c r="V1410" s="11"/>
      <c r="W1410" s="124"/>
      <c r="X1410" s="128"/>
      <c r="Y1410" s="129"/>
    </row>
    <row r="1411" spans="14:25" x14ac:dyDescent="0.25">
      <c r="N1411" s="125"/>
      <c r="O1411" s="125"/>
      <c r="P1411" s="126"/>
      <c r="Q1411" s="62"/>
      <c r="R1411" s="62"/>
      <c r="S1411" s="127"/>
      <c r="T1411" s="11"/>
      <c r="U1411" s="124"/>
      <c r="V1411" s="11"/>
      <c r="W1411" s="124"/>
      <c r="X1411" s="128"/>
      <c r="Y1411" s="129"/>
    </row>
    <row r="1412" spans="14:25" x14ac:dyDescent="0.25">
      <c r="N1412" s="125"/>
      <c r="O1412" s="125"/>
      <c r="P1412" s="126"/>
      <c r="Q1412" s="62"/>
      <c r="R1412" s="62"/>
      <c r="S1412" s="127"/>
      <c r="T1412" s="11"/>
      <c r="U1412" s="124"/>
      <c r="V1412" s="11"/>
      <c r="W1412" s="124"/>
      <c r="X1412" s="128"/>
      <c r="Y1412" s="129"/>
    </row>
    <row r="1413" spans="14:25" x14ac:dyDescent="0.25">
      <c r="N1413" s="125"/>
      <c r="O1413" s="125"/>
      <c r="P1413" s="126"/>
      <c r="Q1413" s="62"/>
      <c r="R1413" s="62"/>
      <c r="S1413" s="127"/>
      <c r="T1413" s="11"/>
      <c r="U1413" s="124"/>
      <c r="V1413" s="11"/>
      <c r="W1413" s="124"/>
      <c r="X1413" s="128"/>
      <c r="Y1413" s="129"/>
    </row>
    <row r="1414" spans="14:25" x14ac:dyDescent="0.25">
      <c r="N1414" s="125"/>
      <c r="O1414" s="125"/>
      <c r="P1414" s="126"/>
      <c r="Q1414" s="62"/>
      <c r="R1414" s="62"/>
      <c r="S1414" s="127"/>
      <c r="T1414" s="11"/>
      <c r="U1414" s="124"/>
      <c r="V1414" s="11"/>
      <c r="W1414" s="124"/>
      <c r="X1414" s="128"/>
      <c r="Y1414" s="129"/>
    </row>
    <row r="1415" spans="14:25" x14ac:dyDescent="0.25">
      <c r="N1415" s="125"/>
      <c r="O1415" s="125"/>
      <c r="P1415" s="126"/>
      <c r="Q1415" s="62"/>
      <c r="R1415" s="62"/>
      <c r="S1415" s="127"/>
      <c r="T1415" s="11"/>
      <c r="U1415" s="124"/>
      <c r="V1415" s="11"/>
      <c r="W1415" s="124"/>
      <c r="X1415" s="128"/>
      <c r="Y1415" s="129"/>
    </row>
    <row r="1416" spans="14:25" x14ac:dyDescent="0.25">
      <c r="N1416" s="125"/>
      <c r="O1416" s="125"/>
      <c r="P1416" s="126"/>
      <c r="Q1416" s="62"/>
      <c r="R1416" s="62"/>
      <c r="S1416" s="127"/>
      <c r="T1416" s="11"/>
      <c r="U1416" s="124"/>
      <c r="V1416" s="11"/>
      <c r="W1416" s="124"/>
      <c r="X1416" s="128"/>
      <c r="Y1416" s="129"/>
    </row>
    <row r="1417" spans="14:25" x14ac:dyDescent="0.25">
      <c r="N1417" s="125"/>
      <c r="O1417" s="125"/>
      <c r="P1417" s="126"/>
      <c r="Q1417" s="62"/>
      <c r="R1417" s="62"/>
      <c r="S1417" s="127"/>
      <c r="T1417" s="11"/>
      <c r="U1417" s="124"/>
      <c r="V1417" s="11"/>
      <c r="W1417" s="124"/>
      <c r="X1417" s="128"/>
      <c r="Y1417" s="129"/>
    </row>
    <row r="1418" spans="14:25" x14ac:dyDescent="0.25">
      <c r="N1418" s="125"/>
      <c r="O1418" s="125"/>
      <c r="P1418" s="126"/>
      <c r="Q1418" s="62"/>
      <c r="R1418" s="62"/>
      <c r="S1418" s="127"/>
      <c r="T1418" s="11"/>
      <c r="U1418" s="124"/>
      <c r="V1418" s="11"/>
      <c r="W1418" s="124"/>
      <c r="X1418" s="128"/>
      <c r="Y1418" s="129"/>
    </row>
    <row r="1419" spans="14:25" x14ac:dyDescent="0.25">
      <c r="N1419" s="125"/>
      <c r="O1419" s="125"/>
      <c r="P1419" s="126"/>
      <c r="Q1419" s="62"/>
      <c r="R1419" s="62"/>
      <c r="S1419" s="127"/>
      <c r="T1419" s="11"/>
      <c r="U1419" s="124"/>
      <c r="V1419" s="11"/>
      <c r="W1419" s="124"/>
      <c r="X1419" s="128"/>
      <c r="Y1419" s="129"/>
    </row>
    <row r="1420" spans="14:25" x14ac:dyDescent="0.25">
      <c r="N1420" s="125"/>
      <c r="O1420" s="125"/>
      <c r="P1420" s="126"/>
      <c r="Q1420" s="62"/>
      <c r="R1420" s="62"/>
      <c r="S1420" s="127"/>
      <c r="T1420" s="11"/>
      <c r="U1420" s="124"/>
      <c r="V1420" s="11"/>
      <c r="W1420" s="124"/>
      <c r="X1420" s="128"/>
      <c r="Y1420" s="129"/>
    </row>
    <row r="1421" spans="14:25" x14ac:dyDescent="0.25">
      <c r="N1421" s="125"/>
      <c r="O1421" s="125"/>
      <c r="P1421" s="126"/>
      <c r="Q1421" s="62"/>
      <c r="R1421" s="62"/>
      <c r="S1421" s="127"/>
      <c r="T1421" s="11"/>
      <c r="U1421" s="124"/>
      <c r="V1421" s="11"/>
      <c r="W1421" s="124"/>
      <c r="X1421" s="128"/>
      <c r="Y1421" s="129"/>
    </row>
    <row r="1422" spans="14:25" x14ac:dyDescent="0.25">
      <c r="N1422" s="125"/>
      <c r="O1422" s="125"/>
      <c r="P1422" s="126"/>
      <c r="Q1422" s="62"/>
      <c r="R1422" s="62"/>
      <c r="S1422" s="127"/>
      <c r="T1422" s="11"/>
      <c r="U1422" s="124"/>
      <c r="V1422" s="11"/>
      <c r="W1422" s="124"/>
      <c r="X1422" s="128"/>
      <c r="Y1422" s="129"/>
    </row>
    <row r="1423" spans="14:25" x14ac:dyDescent="0.25">
      <c r="N1423" s="125"/>
      <c r="O1423" s="125"/>
      <c r="P1423" s="126"/>
      <c r="Q1423" s="62"/>
      <c r="R1423" s="62"/>
      <c r="S1423" s="127"/>
      <c r="T1423" s="11"/>
      <c r="U1423" s="124"/>
      <c r="V1423" s="11"/>
      <c r="W1423" s="124"/>
      <c r="X1423" s="128"/>
      <c r="Y1423" s="129"/>
    </row>
    <row r="1424" spans="14:25" x14ac:dyDescent="0.25">
      <c r="N1424" s="125"/>
      <c r="O1424" s="125"/>
      <c r="P1424" s="126"/>
      <c r="Q1424" s="62"/>
      <c r="R1424" s="62"/>
      <c r="S1424" s="127"/>
      <c r="T1424" s="11"/>
      <c r="U1424" s="124"/>
      <c r="V1424" s="11"/>
      <c r="W1424" s="124"/>
      <c r="X1424" s="128"/>
      <c r="Y1424" s="129"/>
    </row>
    <row r="1425" spans="14:25" x14ac:dyDescent="0.25">
      <c r="N1425" s="125"/>
      <c r="O1425" s="125"/>
      <c r="P1425" s="126"/>
      <c r="Q1425" s="62"/>
      <c r="R1425" s="62"/>
      <c r="S1425" s="127"/>
      <c r="T1425" s="11"/>
      <c r="U1425" s="124"/>
      <c r="V1425" s="11"/>
      <c r="W1425" s="124"/>
      <c r="X1425" s="128"/>
      <c r="Y1425" s="129"/>
    </row>
    <row r="1426" spans="14:25" x14ac:dyDescent="0.25">
      <c r="N1426" s="125"/>
      <c r="O1426" s="125"/>
      <c r="P1426" s="126"/>
      <c r="Q1426" s="62"/>
      <c r="R1426" s="62"/>
      <c r="S1426" s="127"/>
      <c r="T1426" s="11"/>
      <c r="U1426" s="124"/>
      <c r="V1426" s="11"/>
      <c r="W1426" s="124"/>
      <c r="X1426" s="128"/>
      <c r="Y1426" s="129"/>
    </row>
    <row r="1427" spans="14:25" x14ac:dyDescent="0.25">
      <c r="N1427" s="125"/>
      <c r="O1427" s="125"/>
      <c r="P1427" s="126"/>
      <c r="Q1427" s="62"/>
      <c r="R1427" s="62"/>
      <c r="S1427" s="127"/>
      <c r="T1427" s="11"/>
      <c r="U1427" s="124"/>
      <c r="V1427" s="11"/>
      <c r="W1427" s="124"/>
      <c r="X1427" s="128"/>
      <c r="Y1427" s="129"/>
    </row>
    <row r="1428" spans="14:25" x14ac:dyDescent="0.25">
      <c r="N1428" s="125"/>
      <c r="O1428" s="125"/>
      <c r="P1428" s="126"/>
      <c r="Q1428" s="62"/>
      <c r="R1428" s="62"/>
      <c r="S1428" s="127"/>
      <c r="T1428" s="11"/>
      <c r="U1428" s="124"/>
      <c r="V1428" s="11"/>
      <c r="W1428" s="124"/>
      <c r="X1428" s="128"/>
      <c r="Y1428" s="129"/>
    </row>
    <row r="1429" spans="14:25" x14ac:dyDescent="0.25">
      <c r="N1429" s="125"/>
      <c r="O1429" s="125"/>
      <c r="P1429" s="126"/>
      <c r="Q1429" s="62"/>
      <c r="R1429" s="62"/>
      <c r="S1429" s="127"/>
      <c r="T1429" s="11"/>
      <c r="U1429" s="124"/>
      <c r="V1429" s="11"/>
      <c r="W1429" s="124"/>
      <c r="X1429" s="128"/>
      <c r="Y1429" s="129"/>
    </row>
    <row r="1430" spans="14:25" x14ac:dyDescent="0.25">
      <c r="N1430" s="125"/>
      <c r="O1430" s="125"/>
      <c r="P1430" s="126"/>
      <c r="Q1430" s="62"/>
      <c r="R1430" s="62"/>
      <c r="S1430" s="127"/>
      <c r="T1430" s="11"/>
      <c r="U1430" s="124"/>
      <c r="V1430" s="11"/>
      <c r="W1430" s="124"/>
      <c r="X1430" s="128"/>
      <c r="Y1430" s="129"/>
    </row>
    <row r="1431" spans="14:25" x14ac:dyDescent="0.25">
      <c r="N1431" s="125"/>
      <c r="O1431" s="125"/>
      <c r="P1431" s="126"/>
      <c r="Q1431" s="62"/>
      <c r="R1431" s="62"/>
      <c r="S1431" s="127"/>
      <c r="T1431" s="11"/>
      <c r="U1431" s="124"/>
      <c r="V1431" s="11"/>
      <c r="W1431" s="124"/>
      <c r="X1431" s="128"/>
      <c r="Y1431" s="129"/>
    </row>
    <row r="1432" spans="14:25" x14ac:dyDescent="0.25">
      <c r="N1432" s="125"/>
      <c r="O1432" s="125"/>
      <c r="P1432" s="126"/>
      <c r="Q1432" s="62"/>
      <c r="R1432" s="62"/>
      <c r="S1432" s="127"/>
      <c r="T1432" s="11"/>
      <c r="U1432" s="124"/>
      <c r="V1432" s="11"/>
      <c r="W1432" s="124"/>
      <c r="X1432" s="128"/>
      <c r="Y1432" s="129"/>
    </row>
    <row r="1433" spans="14:25" x14ac:dyDescent="0.25">
      <c r="N1433" s="125"/>
      <c r="O1433" s="125"/>
      <c r="P1433" s="126"/>
      <c r="Q1433" s="62"/>
      <c r="R1433" s="62"/>
      <c r="S1433" s="127"/>
      <c r="T1433" s="11"/>
      <c r="U1433" s="124"/>
      <c r="V1433" s="11"/>
      <c r="W1433" s="124"/>
      <c r="X1433" s="128"/>
      <c r="Y1433" s="129"/>
    </row>
    <row r="1434" spans="14:25" x14ac:dyDescent="0.25">
      <c r="N1434" s="125"/>
      <c r="O1434" s="125"/>
      <c r="P1434" s="126"/>
      <c r="Q1434" s="62"/>
      <c r="R1434" s="62"/>
      <c r="S1434" s="127"/>
      <c r="T1434" s="11"/>
      <c r="U1434" s="124"/>
      <c r="V1434" s="11"/>
      <c r="W1434" s="124"/>
      <c r="X1434" s="128"/>
      <c r="Y1434" s="129"/>
    </row>
    <row r="1435" spans="14:25" x14ac:dyDescent="0.25">
      <c r="N1435" s="125"/>
      <c r="O1435" s="125"/>
      <c r="P1435" s="126"/>
      <c r="Q1435" s="62"/>
      <c r="R1435" s="62"/>
      <c r="S1435" s="127"/>
      <c r="T1435" s="11"/>
      <c r="U1435" s="124"/>
      <c r="V1435" s="11"/>
      <c r="W1435" s="124"/>
      <c r="X1435" s="128"/>
      <c r="Y1435" s="129"/>
    </row>
    <row r="1436" spans="14:25" x14ac:dyDescent="0.25">
      <c r="N1436" s="125"/>
      <c r="O1436" s="125"/>
      <c r="P1436" s="126"/>
      <c r="Q1436" s="62"/>
      <c r="R1436" s="62"/>
      <c r="S1436" s="127"/>
      <c r="T1436" s="11"/>
      <c r="U1436" s="124"/>
      <c r="V1436" s="11"/>
      <c r="W1436" s="124"/>
      <c r="X1436" s="128"/>
      <c r="Y1436" s="129"/>
    </row>
    <row r="1437" spans="14:25" x14ac:dyDescent="0.25">
      <c r="N1437" s="125"/>
      <c r="O1437" s="125"/>
      <c r="P1437" s="126"/>
      <c r="Q1437" s="62"/>
      <c r="R1437" s="62"/>
      <c r="S1437" s="127"/>
      <c r="T1437" s="11"/>
      <c r="U1437" s="124"/>
      <c r="V1437" s="11"/>
      <c r="W1437" s="124"/>
      <c r="X1437" s="128"/>
      <c r="Y1437" s="129"/>
    </row>
    <row r="1438" spans="14:25" x14ac:dyDescent="0.25">
      <c r="N1438" s="125"/>
      <c r="O1438" s="125"/>
      <c r="P1438" s="126"/>
      <c r="Q1438" s="62"/>
      <c r="R1438" s="62"/>
      <c r="S1438" s="127"/>
      <c r="T1438" s="11"/>
      <c r="U1438" s="124"/>
      <c r="V1438" s="11"/>
      <c r="W1438" s="124"/>
      <c r="X1438" s="128"/>
      <c r="Y1438" s="129"/>
    </row>
    <row r="1439" spans="14:25" x14ac:dyDescent="0.25">
      <c r="N1439" s="125"/>
      <c r="O1439" s="125"/>
      <c r="P1439" s="126"/>
      <c r="Q1439" s="62"/>
      <c r="R1439" s="62"/>
      <c r="S1439" s="127"/>
      <c r="T1439" s="11"/>
      <c r="U1439" s="124"/>
      <c r="V1439" s="11"/>
      <c r="W1439" s="124"/>
      <c r="X1439" s="128"/>
      <c r="Y1439" s="129"/>
    </row>
    <row r="1440" spans="14:25" x14ac:dyDescent="0.25">
      <c r="N1440" s="125"/>
      <c r="O1440" s="125"/>
      <c r="P1440" s="126"/>
      <c r="Q1440" s="62"/>
      <c r="R1440" s="62"/>
      <c r="S1440" s="127"/>
      <c r="T1440" s="11"/>
      <c r="U1440" s="124"/>
      <c r="V1440" s="11"/>
      <c r="W1440" s="124"/>
      <c r="X1440" s="128"/>
      <c r="Y1440" s="129"/>
    </row>
    <row r="1441" spans="14:25" x14ac:dyDescent="0.25">
      <c r="N1441" s="125"/>
      <c r="O1441" s="125"/>
      <c r="P1441" s="126"/>
      <c r="Q1441" s="62"/>
      <c r="R1441" s="62"/>
      <c r="S1441" s="127"/>
      <c r="T1441" s="11"/>
      <c r="U1441" s="124"/>
      <c r="V1441" s="11"/>
      <c r="W1441" s="124"/>
      <c r="X1441" s="128"/>
      <c r="Y1441" s="129"/>
    </row>
    <row r="1442" spans="14:25" x14ac:dyDescent="0.25">
      <c r="N1442" s="125"/>
      <c r="O1442" s="125"/>
      <c r="P1442" s="126"/>
      <c r="Q1442" s="62"/>
      <c r="R1442" s="62"/>
      <c r="S1442" s="127"/>
      <c r="T1442" s="11"/>
      <c r="U1442" s="124"/>
      <c r="V1442" s="11"/>
      <c r="W1442" s="124"/>
      <c r="X1442" s="128"/>
      <c r="Y1442" s="129"/>
    </row>
    <row r="1443" spans="14:25" x14ac:dyDescent="0.25">
      <c r="N1443" s="125"/>
      <c r="O1443" s="125"/>
      <c r="P1443" s="126"/>
      <c r="Q1443" s="62"/>
      <c r="R1443" s="62"/>
      <c r="S1443" s="127"/>
      <c r="T1443" s="11"/>
      <c r="U1443" s="124"/>
      <c r="V1443" s="11"/>
      <c r="W1443" s="124"/>
      <c r="X1443" s="128"/>
      <c r="Y1443" s="129"/>
    </row>
    <row r="1444" spans="14:25" x14ac:dyDescent="0.25">
      <c r="N1444" s="125"/>
      <c r="O1444" s="125"/>
      <c r="P1444" s="126"/>
      <c r="Q1444" s="62"/>
      <c r="R1444" s="62"/>
      <c r="S1444" s="127"/>
      <c r="T1444" s="11"/>
      <c r="U1444" s="124"/>
      <c r="V1444" s="11"/>
      <c r="W1444" s="124"/>
      <c r="X1444" s="128"/>
      <c r="Y1444" s="129"/>
    </row>
    <row r="1445" spans="14:25" x14ac:dyDescent="0.25">
      <c r="N1445" s="125"/>
      <c r="O1445" s="125"/>
      <c r="P1445" s="126"/>
      <c r="Q1445" s="62"/>
      <c r="R1445" s="62"/>
      <c r="S1445" s="127"/>
      <c r="T1445" s="11"/>
      <c r="U1445" s="124"/>
      <c r="V1445" s="11"/>
      <c r="W1445" s="124"/>
      <c r="X1445" s="128"/>
      <c r="Y1445" s="129"/>
    </row>
    <row r="1446" spans="14:25" x14ac:dyDescent="0.25">
      <c r="N1446" s="125"/>
      <c r="O1446" s="125"/>
      <c r="P1446" s="126"/>
      <c r="Q1446" s="62"/>
      <c r="R1446" s="62"/>
      <c r="S1446" s="127"/>
      <c r="T1446" s="11"/>
      <c r="U1446" s="124"/>
      <c r="V1446" s="11"/>
      <c r="W1446" s="124"/>
      <c r="X1446" s="128"/>
      <c r="Y1446" s="129"/>
    </row>
    <row r="1447" spans="14:25" x14ac:dyDescent="0.25">
      <c r="N1447" s="125"/>
      <c r="O1447" s="125"/>
      <c r="P1447" s="126"/>
      <c r="Q1447" s="62"/>
      <c r="R1447" s="62"/>
      <c r="S1447" s="127"/>
      <c r="T1447" s="11"/>
      <c r="U1447" s="124"/>
      <c r="V1447" s="11"/>
      <c r="W1447" s="124"/>
      <c r="X1447" s="128"/>
      <c r="Y1447" s="129"/>
    </row>
    <row r="1448" spans="14:25" x14ac:dyDescent="0.25">
      <c r="N1448" s="125"/>
      <c r="O1448" s="125"/>
      <c r="P1448" s="126"/>
      <c r="Q1448" s="62"/>
      <c r="R1448" s="62"/>
      <c r="S1448" s="127"/>
      <c r="T1448" s="11"/>
      <c r="U1448" s="124"/>
      <c r="V1448" s="11"/>
      <c r="W1448" s="124"/>
      <c r="X1448" s="128"/>
      <c r="Y1448" s="129"/>
    </row>
    <row r="1449" spans="14:25" x14ac:dyDescent="0.25">
      <c r="N1449" s="125"/>
      <c r="O1449" s="125"/>
      <c r="P1449" s="126"/>
      <c r="Q1449" s="62"/>
      <c r="R1449" s="62"/>
      <c r="S1449" s="127"/>
      <c r="T1449" s="11"/>
      <c r="U1449" s="124"/>
      <c r="V1449" s="11"/>
      <c r="W1449" s="124"/>
      <c r="X1449" s="128"/>
      <c r="Y1449" s="129"/>
    </row>
    <row r="1450" spans="14:25" x14ac:dyDescent="0.25">
      <c r="N1450" s="125"/>
      <c r="O1450" s="125"/>
      <c r="P1450" s="126"/>
      <c r="Q1450" s="62"/>
      <c r="R1450" s="62"/>
      <c r="S1450" s="127"/>
      <c r="T1450" s="11"/>
      <c r="U1450" s="124"/>
      <c r="V1450" s="11"/>
      <c r="W1450" s="124"/>
      <c r="X1450" s="128"/>
      <c r="Y1450" s="129"/>
    </row>
    <row r="1451" spans="14:25" x14ac:dyDescent="0.25">
      <c r="N1451" s="125"/>
      <c r="O1451" s="125"/>
      <c r="P1451" s="126"/>
      <c r="Q1451" s="62"/>
      <c r="R1451" s="62"/>
      <c r="S1451" s="127"/>
      <c r="T1451" s="11"/>
      <c r="U1451" s="124"/>
      <c r="V1451" s="11"/>
      <c r="W1451" s="124"/>
      <c r="X1451" s="128"/>
      <c r="Y1451" s="129"/>
    </row>
    <row r="1452" spans="14:25" x14ac:dyDescent="0.25">
      <c r="N1452" s="125"/>
      <c r="O1452" s="125"/>
      <c r="P1452" s="126"/>
      <c r="Q1452" s="62"/>
      <c r="R1452" s="62"/>
      <c r="S1452" s="127"/>
      <c r="T1452" s="11"/>
      <c r="U1452" s="124"/>
      <c r="V1452" s="11"/>
      <c r="W1452" s="124"/>
      <c r="X1452" s="128"/>
      <c r="Y1452" s="129"/>
    </row>
    <row r="1453" spans="14:25" x14ac:dyDescent="0.25">
      <c r="N1453" s="125"/>
      <c r="O1453" s="125"/>
      <c r="P1453" s="126"/>
      <c r="Q1453" s="62"/>
      <c r="R1453" s="62"/>
      <c r="S1453" s="127"/>
      <c r="T1453" s="11"/>
      <c r="U1453" s="124"/>
      <c r="V1453" s="11"/>
      <c r="W1453" s="124"/>
      <c r="X1453" s="128"/>
      <c r="Y1453" s="129"/>
    </row>
    <row r="1454" spans="14:25" x14ac:dyDescent="0.25">
      <c r="N1454" s="125"/>
      <c r="O1454" s="125"/>
      <c r="P1454" s="126"/>
      <c r="Q1454" s="62"/>
      <c r="R1454" s="62"/>
      <c r="S1454" s="127"/>
      <c r="T1454" s="11"/>
      <c r="U1454" s="124"/>
      <c r="V1454" s="11"/>
      <c r="W1454" s="124"/>
      <c r="X1454" s="128"/>
      <c r="Y1454" s="129"/>
    </row>
    <row r="1455" spans="14:25" x14ac:dyDescent="0.25">
      <c r="N1455" s="125"/>
      <c r="O1455" s="125"/>
      <c r="P1455" s="126"/>
      <c r="Q1455" s="62"/>
      <c r="R1455" s="62"/>
      <c r="S1455" s="127"/>
      <c r="T1455" s="11"/>
      <c r="U1455" s="124"/>
      <c r="V1455" s="11"/>
      <c r="W1455" s="124"/>
      <c r="X1455" s="128"/>
      <c r="Y1455" s="129"/>
    </row>
    <row r="1456" spans="14:25" x14ac:dyDescent="0.25">
      <c r="N1456" s="125"/>
      <c r="O1456" s="125"/>
      <c r="P1456" s="126"/>
      <c r="Q1456" s="62"/>
      <c r="R1456" s="62"/>
      <c r="S1456" s="127"/>
      <c r="T1456" s="11"/>
      <c r="U1456" s="124"/>
      <c r="V1456" s="11"/>
      <c r="W1456" s="124"/>
      <c r="X1456" s="128"/>
      <c r="Y1456" s="129"/>
    </row>
    <row r="1457" spans="14:25" x14ac:dyDescent="0.25">
      <c r="N1457" s="125"/>
      <c r="O1457" s="125"/>
      <c r="P1457" s="126"/>
      <c r="Q1457" s="62"/>
      <c r="R1457" s="62"/>
      <c r="S1457" s="127"/>
      <c r="T1457" s="11"/>
      <c r="U1457" s="124"/>
      <c r="V1457" s="11"/>
      <c r="W1457" s="124"/>
      <c r="X1457" s="128"/>
      <c r="Y1457" s="129"/>
    </row>
    <row r="1458" spans="14:25" x14ac:dyDescent="0.25">
      <c r="N1458" s="125"/>
      <c r="O1458" s="125"/>
      <c r="P1458" s="126"/>
      <c r="Q1458" s="62"/>
      <c r="R1458" s="62"/>
      <c r="S1458" s="127"/>
      <c r="T1458" s="11"/>
      <c r="U1458" s="124"/>
      <c r="V1458" s="11"/>
      <c r="W1458" s="124"/>
      <c r="X1458" s="128"/>
      <c r="Y1458" s="129"/>
    </row>
    <row r="1459" spans="14:25" x14ac:dyDescent="0.25">
      <c r="N1459" s="125"/>
      <c r="O1459" s="125"/>
      <c r="P1459" s="126"/>
      <c r="Q1459" s="62"/>
      <c r="R1459" s="62"/>
      <c r="S1459" s="127"/>
      <c r="T1459" s="11"/>
      <c r="U1459" s="124"/>
      <c r="V1459" s="11"/>
      <c r="W1459" s="124"/>
      <c r="X1459" s="128"/>
      <c r="Y1459" s="129"/>
    </row>
    <row r="1460" spans="14:25" x14ac:dyDescent="0.25">
      <c r="N1460" s="125"/>
      <c r="O1460" s="125"/>
      <c r="P1460" s="126"/>
      <c r="Q1460" s="62"/>
      <c r="R1460" s="62"/>
      <c r="S1460" s="127"/>
      <c r="T1460" s="11"/>
      <c r="U1460" s="124"/>
      <c r="V1460" s="11"/>
      <c r="W1460" s="124"/>
      <c r="X1460" s="128"/>
      <c r="Y1460" s="129"/>
    </row>
    <row r="1461" spans="14:25" x14ac:dyDescent="0.25">
      <c r="N1461" s="125"/>
      <c r="O1461" s="125"/>
      <c r="P1461" s="126"/>
      <c r="Q1461" s="62"/>
      <c r="R1461" s="62"/>
      <c r="S1461" s="127"/>
      <c r="T1461" s="11"/>
      <c r="U1461" s="124"/>
      <c r="V1461" s="11"/>
      <c r="W1461" s="124"/>
      <c r="X1461" s="128"/>
      <c r="Y1461" s="129"/>
    </row>
    <row r="1462" spans="14:25" x14ac:dyDescent="0.25">
      <c r="N1462" s="125"/>
      <c r="O1462" s="125"/>
      <c r="P1462" s="126"/>
      <c r="Q1462" s="62"/>
      <c r="R1462" s="62"/>
      <c r="S1462" s="127"/>
      <c r="T1462" s="11"/>
      <c r="U1462" s="124"/>
      <c r="V1462" s="11"/>
      <c r="W1462" s="124"/>
      <c r="X1462" s="128"/>
      <c r="Y1462" s="129"/>
    </row>
    <row r="1463" spans="14:25" x14ac:dyDescent="0.25">
      <c r="N1463" s="125"/>
      <c r="O1463" s="125"/>
      <c r="P1463" s="126"/>
      <c r="Q1463" s="62"/>
      <c r="R1463" s="62"/>
      <c r="S1463" s="127"/>
      <c r="T1463" s="11"/>
      <c r="U1463" s="124"/>
      <c r="V1463" s="11"/>
      <c r="W1463" s="124"/>
      <c r="X1463" s="128"/>
      <c r="Y1463" s="129"/>
    </row>
    <row r="1464" spans="14:25" x14ac:dyDescent="0.25">
      <c r="N1464" s="125"/>
      <c r="O1464" s="125"/>
      <c r="P1464" s="126"/>
      <c r="Q1464" s="62"/>
      <c r="R1464" s="62"/>
      <c r="S1464" s="127"/>
      <c r="T1464" s="11"/>
      <c r="U1464" s="124"/>
      <c r="V1464" s="11"/>
      <c r="W1464" s="124"/>
      <c r="X1464" s="128"/>
      <c r="Y1464" s="129"/>
    </row>
    <row r="1465" spans="14:25" x14ac:dyDescent="0.25">
      <c r="N1465" s="125"/>
      <c r="O1465" s="125"/>
      <c r="P1465" s="126"/>
      <c r="Q1465" s="62"/>
      <c r="R1465" s="62"/>
      <c r="S1465" s="127"/>
      <c r="T1465" s="11"/>
      <c r="U1465" s="124"/>
      <c r="V1465" s="11"/>
      <c r="W1465" s="124"/>
      <c r="X1465" s="128"/>
      <c r="Y1465" s="129"/>
    </row>
    <row r="1466" spans="14:25" x14ac:dyDescent="0.25">
      <c r="N1466" s="125"/>
      <c r="O1466" s="125"/>
      <c r="P1466" s="126"/>
      <c r="Q1466" s="62"/>
      <c r="R1466" s="62"/>
      <c r="S1466" s="127"/>
      <c r="T1466" s="11"/>
      <c r="U1466" s="124"/>
      <c r="V1466" s="11"/>
      <c r="W1466" s="124"/>
      <c r="X1466" s="128"/>
      <c r="Y1466" s="129"/>
    </row>
    <row r="1467" spans="14:25" x14ac:dyDescent="0.25">
      <c r="N1467" s="125"/>
      <c r="O1467" s="125"/>
      <c r="P1467" s="126"/>
      <c r="Q1467" s="62"/>
      <c r="R1467" s="62"/>
      <c r="S1467" s="127"/>
      <c r="T1467" s="11"/>
      <c r="U1467" s="124"/>
      <c r="V1467" s="11"/>
      <c r="W1467" s="124"/>
      <c r="X1467" s="128"/>
      <c r="Y1467" s="129"/>
    </row>
    <row r="1468" spans="14:25" x14ac:dyDescent="0.25">
      <c r="N1468" s="125"/>
      <c r="O1468" s="125"/>
      <c r="P1468" s="126"/>
      <c r="Q1468" s="62"/>
      <c r="R1468" s="62"/>
      <c r="S1468" s="127"/>
      <c r="T1468" s="11"/>
      <c r="U1468" s="124"/>
      <c r="V1468" s="11"/>
      <c r="W1468" s="124"/>
      <c r="X1468" s="128"/>
      <c r="Y1468" s="129"/>
    </row>
    <row r="1469" spans="14:25" x14ac:dyDescent="0.25">
      <c r="N1469" s="125"/>
      <c r="O1469" s="125"/>
      <c r="P1469" s="126"/>
      <c r="Q1469" s="62"/>
      <c r="R1469" s="62"/>
      <c r="S1469" s="127"/>
      <c r="T1469" s="11"/>
      <c r="U1469" s="124"/>
      <c r="V1469" s="11"/>
      <c r="W1469" s="124"/>
      <c r="X1469" s="128"/>
      <c r="Y1469" s="129"/>
    </row>
    <row r="1470" spans="14:25" x14ac:dyDescent="0.25">
      <c r="N1470" s="125"/>
      <c r="O1470" s="125"/>
      <c r="P1470" s="126"/>
      <c r="Q1470" s="62"/>
      <c r="R1470" s="62"/>
      <c r="S1470" s="127"/>
      <c r="T1470" s="11"/>
      <c r="U1470" s="124"/>
      <c r="V1470" s="11"/>
      <c r="W1470" s="124"/>
      <c r="X1470" s="128"/>
      <c r="Y1470" s="129"/>
    </row>
    <row r="1471" spans="14:25" x14ac:dyDescent="0.25">
      <c r="N1471" s="125"/>
      <c r="O1471" s="125"/>
      <c r="P1471" s="126"/>
      <c r="Q1471" s="62"/>
      <c r="R1471" s="62"/>
      <c r="S1471" s="127"/>
      <c r="T1471" s="11"/>
      <c r="U1471" s="124"/>
      <c r="V1471" s="11"/>
      <c r="W1471" s="124"/>
      <c r="X1471" s="128"/>
      <c r="Y1471" s="129"/>
    </row>
    <row r="1472" spans="14:25" x14ac:dyDescent="0.25">
      <c r="N1472" s="125"/>
      <c r="O1472" s="125"/>
      <c r="P1472" s="126"/>
      <c r="Q1472" s="62"/>
      <c r="R1472" s="62"/>
      <c r="S1472" s="127"/>
      <c r="T1472" s="11"/>
      <c r="U1472" s="124"/>
      <c r="V1472" s="11"/>
      <c r="W1472" s="124"/>
      <c r="X1472" s="128"/>
      <c r="Y1472" s="129"/>
    </row>
    <row r="1473" spans="14:25" x14ac:dyDescent="0.25">
      <c r="N1473" s="125"/>
      <c r="O1473" s="125"/>
      <c r="P1473" s="126"/>
      <c r="Q1473" s="62"/>
      <c r="R1473" s="62"/>
      <c r="S1473" s="127"/>
      <c r="T1473" s="11"/>
      <c r="U1473" s="124"/>
      <c r="V1473" s="11"/>
      <c r="W1473" s="124"/>
      <c r="X1473" s="128"/>
      <c r="Y1473" s="129"/>
    </row>
    <row r="1474" spans="14:25" x14ac:dyDescent="0.25">
      <c r="N1474" s="125"/>
      <c r="O1474" s="125"/>
      <c r="P1474" s="126"/>
      <c r="Q1474" s="62"/>
      <c r="R1474" s="62"/>
      <c r="S1474" s="127"/>
      <c r="T1474" s="11"/>
      <c r="U1474" s="124"/>
      <c r="V1474" s="11"/>
      <c r="W1474" s="124"/>
      <c r="X1474" s="128"/>
      <c r="Y1474" s="129"/>
    </row>
    <row r="1475" spans="14:25" x14ac:dyDescent="0.25">
      <c r="N1475" s="125"/>
      <c r="O1475" s="125"/>
      <c r="P1475" s="126"/>
      <c r="Q1475" s="62"/>
      <c r="R1475" s="62"/>
      <c r="S1475" s="127"/>
      <c r="T1475" s="11"/>
      <c r="U1475" s="124"/>
      <c r="V1475" s="11"/>
      <c r="W1475" s="124"/>
      <c r="X1475" s="128"/>
      <c r="Y1475" s="129"/>
    </row>
    <row r="1476" spans="14:25" x14ac:dyDescent="0.25">
      <c r="N1476" s="125"/>
      <c r="O1476" s="125"/>
      <c r="P1476" s="126"/>
      <c r="Q1476" s="62"/>
      <c r="R1476" s="62"/>
      <c r="S1476" s="127"/>
      <c r="T1476" s="11"/>
      <c r="U1476" s="124"/>
      <c r="V1476" s="11"/>
      <c r="W1476" s="124"/>
      <c r="X1476" s="128"/>
      <c r="Y1476" s="129"/>
    </row>
    <row r="1477" spans="14:25" x14ac:dyDescent="0.25">
      <c r="N1477" s="125"/>
      <c r="O1477" s="125"/>
      <c r="P1477" s="126"/>
      <c r="Q1477" s="62"/>
      <c r="R1477" s="62"/>
      <c r="S1477" s="127"/>
      <c r="T1477" s="11"/>
      <c r="U1477" s="124"/>
      <c r="V1477" s="11"/>
      <c r="W1477" s="124"/>
      <c r="X1477" s="128"/>
      <c r="Y1477" s="129"/>
    </row>
    <row r="1478" spans="14:25" x14ac:dyDescent="0.25">
      <c r="N1478" s="125"/>
      <c r="O1478" s="125"/>
      <c r="P1478" s="126"/>
      <c r="Q1478" s="62"/>
      <c r="R1478" s="62"/>
      <c r="S1478" s="127"/>
      <c r="T1478" s="11"/>
      <c r="U1478" s="124"/>
      <c r="V1478" s="11"/>
      <c r="W1478" s="124"/>
      <c r="X1478" s="128"/>
      <c r="Y1478" s="129"/>
    </row>
    <row r="1479" spans="14:25" x14ac:dyDescent="0.25">
      <c r="N1479" s="125"/>
      <c r="O1479" s="125"/>
      <c r="P1479" s="126"/>
      <c r="Q1479" s="62"/>
      <c r="R1479" s="62"/>
      <c r="S1479" s="127"/>
      <c r="T1479" s="11"/>
      <c r="U1479" s="124"/>
      <c r="V1479" s="11"/>
      <c r="W1479" s="124"/>
      <c r="X1479" s="128"/>
      <c r="Y1479" s="129"/>
    </row>
    <row r="1480" spans="14:25" x14ac:dyDescent="0.25">
      <c r="N1480" s="125"/>
      <c r="O1480" s="125"/>
      <c r="P1480" s="126"/>
      <c r="Q1480" s="62"/>
      <c r="R1480" s="62"/>
      <c r="S1480" s="127"/>
      <c r="T1480" s="11"/>
      <c r="U1480" s="124"/>
      <c r="V1480" s="11"/>
      <c r="W1480" s="124"/>
      <c r="X1480" s="128"/>
      <c r="Y1480" s="129"/>
    </row>
    <row r="1481" spans="14:25" x14ac:dyDescent="0.25">
      <c r="N1481" s="125"/>
      <c r="O1481" s="125"/>
      <c r="P1481" s="126"/>
      <c r="Q1481" s="62"/>
      <c r="R1481" s="62"/>
      <c r="S1481" s="127"/>
      <c r="T1481" s="11"/>
      <c r="U1481" s="124"/>
      <c r="V1481" s="11"/>
      <c r="W1481" s="124"/>
      <c r="X1481" s="128"/>
      <c r="Y1481" s="129"/>
    </row>
    <row r="1482" spans="14:25" x14ac:dyDescent="0.25">
      <c r="N1482" s="125"/>
      <c r="O1482" s="125"/>
      <c r="P1482" s="126"/>
      <c r="Q1482" s="62"/>
      <c r="R1482" s="62"/>
      <c r="S1482" s="127"/>
      <c r="T1482" s="11"/>
      <c r="U1482" s="124"/>
      <c r="V1482" s="11"/>
      <c r="W1482" s="124"/>
      <c r="X1482" s="128"/>
      <c r="Y1482" s="129"/>
    </row>
    <row r="1483" spans="14:25" x14ac:dyDescent="0.25">
      <c r="N1483" s="125"/>
      <c r="O1483" s="125"/>
      <c r="P1483" s="126"/>
      <c r="Q1483" s="62"/>
      <c r="R1483" s="62"/>
      <c r="S1483" s="127"/>
      <c r="T1483" s="11"/>
      <c r="U1483" s="124"/>
      <c r="V1483" s="11"/>
      <c r="W1483" s="124"/>
      <c r="X1483" s="128"/>
      <c r="Y1483" s="129"/>
    </row>
    <row r="1484" spans="14:25" x14ac:dyDescent="0.25">
      <c r="N1484" s="125"/>
      <c r="O1484" s="125"/>
      <c r="P1484" s="126"/>
      <c r="Q1484" s="62"/>
      <c r="R1484" s="62"/>
      <c r="S1484" s="127"/>
      <c r="T1484" s="11"/>
      <c r="U1484" s="124"/>
      <c r="V1484" s="11"/>
      <c r="W1484" s="124"/>
      <c r="X1484" s="128"/>
      <c r="Y1484" s="129"/>
    </row>
    <row r="1485" spans="14:25" x14ac:dyDescent="0.25">
      <c r="N1485" s="125"/>
      <c r="O1485" s="125"/>
      <c r="P1485" s="126"/>
      <c r="Q1485" s="62"/>
      <c r="R1485" s="62"/>
      <c r="S1485" s="127"/>
      <c r="T1485" s="11"/>
      <c r="U1485" s="124"/>
      <c r="V1485" s="11"/>
      <c r="W1485" s="124"/>
      <c r="X1485" s="128"/>
      <c r="Y1485" s="129"/>
    </row>
    <row r="1486" spans="14:25" x14ac:dyDescent="0.25">
      <c r="N1486" s="125"/>
      <c r="O1486" s="125"/>
      <c r="P1486" s="126"/>
      <c r="Q1486" s="62"/>
      <c r="R1486" s="62"/>
      <c r="S1486" s="127"/>
      <c r="T1486" s="11"/>
      <c r="U1486" s="124"/>
      <c r="V1486" s="11"/>
      <c r="W1486" s="124"/>
      <c r="X1486" s="128"/>
      <c r="Y1486" s="129"/>
    </row>
    <row r="1487" spans="14:25" x14ac:dyDescent="0.25">
      <c r="N1487" s="125"/>
      <c r="O1487" s="125"/>
      <c r="P1487" s="126"/>
      <c r="Q1487" s="62"/>
      <c r="R1487" s="62"/>
      <c r="S1487" s="127"/>
      <c r="T1487" s="11"/>
      <c r="U1487" s="124"/>
      <c r="V1487" s="11"/>
      <c r="W1487" s="124"/>
      <c r="X1487" s="128"/>
      <c r="Y1487" s="129"/>
    </row>
    <row r="1488" spans="14:25" x14ac:dyDescent="0.25">
      <c r="N1488" s="125"/>
      <c r="O1488" s="125"/>
      <c r="P1488" s="126"/>
      <c r="Q1488" s="62"/>
      <c r="R1488" s="62"/>
      <c r="S1488" s="127"/>
      <c r="T1488" s="11"/>
      <c r="U1488" s="124"/>
      <c r="V1488" s="11"/>
      <c r="W1488" s="124"/>
      <c r="X1488" s="128"/>
      <c r="Y1488" s="129"/>
    </row>
    <row r="1489" spans="14:25" x14ac:dyDescent="0.25">
      <c r="N1489" s="125"/>
      <c r="O1489" s="125"/>
      <c r="P1489" s="126"/>
      <c r="Q1489" s="62"/>
      <c r="R1489" s="62"/>
      <c r="S1489" s="127"/>
      <c r="T1489" s="11"/>
      <c r="U1489" s="124"/>
      <c r="V1489" s="11"/>
      <c r="W1489" s="124"/>
      <c r="X1489" s="128"/>
      <c r="Y1489" s="129"/>
    </row>
    <row r="1490" spans="14:25" x14ac:dyDescent="0.25">
      <c r="N1490" s="125"/>
      <c r="O1490" s="125"/>
      <c r="P1490" s="126"/>
      <c r="Q1490" s="62"/>
      <c r="R1490" s="62"/>
      <c r="S1490" s="127"/>
      <c r="T1490" s="11"/>
      <c r="U1490" s="124"/>
      <c r="V1490" s="11"/>
      <c r="W1490" s="124"/>
      <c r="X1490" s="128"/>
      <c r="Y1490" s="129"/>
    </row>
    <row r="1491" spans="14:25" x14ac:dyDescent="0.25">
      <c r="N1491" s="125"/>
      <c r="O1491" s="125"/>
      <c r="P1491" s="126"/>
      <c r="Q1491" s="62"/>
      <c r="R1491" s="62"/>
      <c r="S1491" s="127"/>
      <c r="T1491" s="11"/>
      <c r="U1491" s="124"/>
      <c r="V1491" s="11"/>
      <c r="W1491" s="124"/>
      <c r="X1491" s="128"/>
      <c r="Y1491" s="129"/>
    </row>
    <row r="1492" spans="14:25" x14ac:dyDescent="0.25">
      <c r="N1492" s="125"/>
      <c r="O1492" s="125"/>
      <c r="P1492" s="126"/>
      <c r="Q1492" s="62"/>
      <c r="R1492" s="62"/>
      <c r="S1492" s="127"/>
      <c r="T1492" s="11"/>
      <c r="U1492" s="124"/>
      <c r="V1492" s="11"/>
      <c r="W1492" s="124"/>
      <c r="X1492" s="128"/>
      <c r="Y1492" s="129"/>
    </row>
    <row r="1493" spans="14:25" x14ac:dyDescent="0.25">
      <c r="N1493" s="125"/>
      <c r="O1493" s="125"/>
      <c r="P1493" s="126"/>
      <c r="Q1493" s="62"/>
      <c r="R1493" s="62"/>
      <c r="S1493" s="127"/>
      <c r="T1493" s="11"/>
      <c r="U1493" s="124"/>
      <c r="V1493" s="11"/>
      <c r="W1493" s="124"/>
      <c r="X1493" s="128"/>
      <c r="Y1493" s="129"/>
    </row>
    <row r="1494" spans="14:25" x14ac:dyDescent="0.25">
      <c r="N1494" s="125"/>
      <c r="O1494" s="125"/>
      <c r="P1494" s="126"/>
      <c r="Q1494" s="62"/>
      <c r="R1494" s="62"/>
      <c r="S1494" s="127"/>
      <c r="T1494" s="11"/>
      <c r="U1494" s="124"/>
      <c r="V1494" s="11"/>
      <c r="W1494" s="124"/>
      <c r="X1494" s="128"/>
      <c r="Y1494" s="129"/>
    </row>
    <row r="1495" spans="14:25" x14ac:dyDescent="0.25">
      <c r="N1495" s="125"/>
      <c r="O1495" s="125"/>
      <c r="P1495" s="126"/>
      <c r="Q1495" s="62"/>
      <c r="R1495" s="62"/>
      <c r="S1495" s="127"/>
      <c r="T1495" s="11"/>
      <c r="U1495" s="124"/>
      <c r="V1495" s="11"/>
      <c r="W1495" s="124"/>
      <c r="X1495" s="128"/>
      <c r="Y1495" s="129"/>
    </row>
    <row r="1496" spans="14:25" x14ac:dyDescent="0.25">
      <c r="N1496" s="125"/>
      <c r="O1496" s="125"/>
      <c r="P1496" s="126"/>
      <c r="Q1496" s="62"/>
      <c r="R1496" s="62"/>
      <c r="S1496" s="127"/>
      <c r="T1496" s="11"/>
      <c r="U1496" s="124"/>
      <c r="V1496" s="11"/>
      <c r="W1496" s="124"/>
      <c r="X1496" s="128"/>
      <c r="Y1496" s="129"/>
    </row>
    <row r="1497" spans="14:25" x14ac:dyDescent="0.25">
      <c r="N1497" s="125"/>
      <c r="O1497" s="125"/>
      <c r="P1497" s="126"/>
      <c r="Q1497" s="62"/>
      <c r="R1497" s="62"/>
      <c r="S1497" s="127"/>
      <c r="T1497" s="11"/>
      <c r="U1497" s="124"/>
      <c r="V1497" s="11"/>
      <c r="W1497" s="124"/>
      <c r="X1497" s="128"/>
      <c r="Y1497" s="129"/>
    </row>
    <row r="1498" spans="14:25" x14ac:dyDescent="0.25">
      <c r="N1498" s="125"/>
      <c r="O1498" s="125"/>
      <c r="P1498" s="126"/>
      <c r="Q1498" s="62"/>
      <c r="R1498" s="62"/>
      <c r="S1498" s="127"/>
      <c r="T1498" s="11"/>
      <c r="U1498" s="124"/>
      <c r="V1498" s="11"/>
      <c r="W1498" s="124"/>
      <c r="X1498" s="128"/>
      <c r="Y1498" s="129"/>
    </row>
    <row r="1499" spans="14:25" x14ac:dyDescent="0.25">
      <c r="N1499" s="125"/>
      <c r="O1499" s="125"/>
      <c r="P1499" s="126"/>
      <c r="Q1499" s="62"/>
      <c r="R1499" s="62"/>
      <c r="S1499" s="127"/>
      <c r="T1499" s="11"/>
      <c r="U1499" s="124"/>
      <c r="V1499" s="11"/>
      <c r="W1499" s="124"/>
      <c r="X1499" s="128"/>
      <c r="Y1499" s="129"/>
    </row>
    <row r="1500" spans="14:25" x14ac:dyDescent="0.25">
      <c r="N1500" s="125"/>
      <c r="O1500" s="125"/>
      <c r="P1500" s="126"/>
      <c r="Q1500" s="62"/>
      <c r="R1500" s="62"/>
      <c r="S1500" s="127"/>
      <c r="T1500" s="11"/>
      <c r="U1500" s="124"/>
      <c r="V1500" s="11"/>
      <c r="W1500" s="124"/>
      <c r="X1500" s="128"/>
      <c r="Y1500" s="129"/>
    </row>
    <row r="1501" spans="14:25" x14ac:dyDescent="0.25">
      <c r="N1501" s="125"/>
      <c r="O1501" s="125"/>
      <c r="P1501" s="126"/>
      <c r="Q1501" s="62"/>
      <c r="R1501" s="62"/>
      <c r="S1501" s="127"/>
      <c r="T1501" s="11"/>
      <c r="U1501" s="124"/>
      <c r="V1501" s="11"/>
      <c r="W1501" s="124"/>
      <c r="X1501" s="128"/>
      <c r="Y1501" s="129"/>
    </row>
    <row r="1502" spans="14:25" x14ac:dyDescent="0.25">
      <c r="N1502" s="125"/>
      <c r="O1502" s="125"/>
      <c r="P1502" s="126"/>
      <c r="Q1502" s="62"/>
      <c r="R1502" s="62"/>
      <c r="S1502" s="127"/>
      <c r="T1502" s="11"/>
      <c r="U1502" s="124"/>
      <c r="V1502" s="11"/>
      <c r="W1502" s="124"/>
      <c r="X1502" s="128"/>
      <c r="Y1502" s="129"/>
    </row>
    <row r="1503" spans="14:25" x14ac:dyDescent="0.25">
      <c r="N1503" s="125"/>
      <c r="O1503" s="125"/>
      <c r="P1503" s="126"/>
      <c r="Q1503" s="62"/>
      <c r="R1503" s="62"/>
      <c r="S1503" s="127"/>
      <c r="T1503" s="11"/>
      <c r="U1503" s="124"/>
      <c r="V1503" s="11"/>
      <c r="W1503" s="124"/>
      <c r="X1503" s="128"/>
      <c r="Y1503" s="129"/>
    </row>
    <row r="1504" spans="14:25" x14ac:dyDescent="0.25">
      <c r="N1504" s="125"/>
      <c r="O1504" s="125"/>
      <c r="P1504" s="126"/>
      <c r="Q1504" s="62"/>
      <c r="R1504" s="62"/>
      <c r="S1504" s="127"/>
      <c r="T1504" s="11"/>
      <c r="U1504" s="124"/>
      <c r="V1504" s="11"/>
      <c r="W1504" s="124"/>
      <c r="X1504" s="128"/>
      <c r="Y1504" s="129"/>
    </row>
    <row r="1505" spans="14:25" x14ac:dyDescent="0.25">
      <c r="N1505" s="125"/>
      <c r="O1505" s="125"/>
      <c r="P1505" s="126"/>
      <c r="Q1505" s="62"/>
      <c r="R1505" s="62"/>
      <c r="S1505" s="127"/>
      <c r="T1505" s="11"/>
      <c r="U1505" s="124"/>
      <c r="V1505" s="11"/>
      <c r="W1505" s="124"/>
      <c r="X1505" s="128"/>
      <c r="Y1505" s="129"/>
    </row>
    <row r="1506" spans="14:25" x14ac:dyDescent="0.25">
      <c r="N1506" s="125"/>
      <c r="O1506" s="125"/>
      <c r="P1506" s="126"/>
      <c r="Q1506" s="62"/>
      <c r="R1506" s="62"/>
      <c r="S1506" s="127"/>
      <c r="T1506" s="11"/>
      <c r="U1506" s="124"/>
      <c r="V1506" s="11"/>
      <c r="W1506" s="124"/>
      <c r="X1506" s="128"/>
      <c r="Y1506" s="129"/>
    </row>
    <row r="1507" spans="14:25" x14ac:dyDescent="0.25">
      <c r="N1507" s="125"/>
      <c r="O1507" s="125"/>
      <c r="P1507" s="126"/>
      <c r="Q1507" s="62"/>
      <c r="R1507" s="62"/>
      <c r="S1507" s="127"/>
      <c r="T1507" s="11"/>
      <c r="U1507" s="124"/>
      <c r="V1507" s="11"/>
      <c r="W1507" s="124"/>
      <c r="X1507" s="128"/>
      <c r="Y1507" s="129"/>
    </row>
    <row r="1508" spans="14:25" x14ac:dyDescent="0.25">
      <c r="N1508" s="125"/>
      <c r="O1508" s="125"/>
      <c r="P1508" s="126"/>
      <c r="Q1508" s="62"/>
      <c r="R1508" s="62"/>
      <c r="S1508" s="127"/>
      <c r="T1508" s="11"/>
      <c r="U1508" s="124"/>
      <c r="V1508" s="11"/>
      <c r="W1508" s="124"/>
      <c r="X1508" s="128"/>
      <c r="Y1508" s="129"/>
    </row>
    <row r="1509" spans="14:25" x14ac:dyDescent="0.25">
      <c r="N1509" s="125"/>
      <c r="O1509" s="125"/>
      <c r="P1509" s="126"/>
      <c r="Q1509" s="62"/>
      <c r="R1509" s="62"/>
      <c r="S1509" s="127"/>
      <c r="T1509" s="11"/>
      <c r="U1509" s="124"/>
      <c r="V1509" s="11"/>
      <c r="W1509" s="124"/>
      <c r="X1509" s="128"/>
      <c r="Y1509" s="129"/>
    </row>
    <row r="1510" spans="14:25" x14ac:dyDescent="0.25">
      <c r="N1510" s="125"/>
      <c r="O1510" s="125"/>
      <c r="P1510" s="126"/>
      <c r="Q1510" s="62"/>
      <c r="R1510" s="62"/>
      <c r="S1510" s="127"/>
      <c r="T1510" s="11"/>
      <c r="U1510" s="124"/>
      <c r="V1510" s="11"/>
      <c r="W1510" s="124"/>
      <c r="X1510" s="128"/>
      <c r="Y1510" s="129"/>
    </row>
    <row r="1511" spans="14:25" x14ac:dyDescent="0.25">
      <c r="N1511" s="125"/>
      <c r="O1511" s="125"/>
      <c r="P1511" s="126"/>
      <c r="Q1511" s="62"/>
      <c r="R1511" s="62"/>
      <c r="S1511" s="127"/>
      <c r="T1511" s="11"/>
      <c r="U1511" s="124"/>
      <c r="V1511" s="11"/>
      <c r="W1511" s="124"/>
      <c r="X1511" s="128"/>
      <c r="Y1511" s="129"/>
    </row>
    <row r="1512" spans="14:25" x14ac:dyDescent="0.25">
      <c r="N1512" s="125"/>
      <c r="O1512" s="125"/>
      <c r="P1512" s="126"/>
      <c r="Q1512" s="62"/>
      <c r="R1512" s="62"/>
      <c r="S1512" s="127"/>
      <c r="T1512" s="11"/>
      <c r="U1512" s="124"/>
      <c r="V1512" s="11"/>
      <c r="W1512" s="124"/>
      <c r="X1512" s="128"/>
      <c r="Y1512" s="129"/>
    </row>
    <row r="1513" spans="14:25" x14ac:dyDescent="0.25">
      <c r="N1513" s="125"/>
      <c r="O1513" s="125"/>
      <c r="P1513" s="126"/>
      <c r="Q1513" s="62"/>
      <c r="R1513" s="62"/>
      <c r="S1513" s="127"/>
      <c r="T1513" s="11"/>
      <c r="U1513" s="124"/>
      <c r="V1513" s="11"/>
      <c r="W1513" s="124"/>
      <c r="X1513" s="128"/>
      <c r="Y1513" s="129"/>
    </row>
    <row r="1514" spans="14:25" x14ac:dyDescent="0.25">
      <c r="N1514" s="125"/>
      <c r="O1514" s="125"/>
      <c r="P1514" s="126"/>
      <c r="Q1514" s="62"/>
      <c r="R1514" s="62"/>
      <c r="S1514" s="127"/>
      <c r="T1514" s="11"/>
      <c r="U1514" s="124"/>
      <c r="V1514" s="11"/>
      <c r="W1514" s="124"/>
      <c r="X1514" s="128"/>
      <c r="Y1514" s="129"/>
    </row>
    <row r="1515" spans="14:25" x14ac:dyDescent="0.25">
      <c r="N1515" s="125"/>
      <c r="O1515" s="125"/>
      <c r="P1515" s="126"/>
      <c r="Q1515" s="62"/>
      <c r="R1515" s="62"/>
      <c r="S1515" s="127"/>
      <c r="T1515" s="11"/>
      <c r="U1515" s="124"/>
      <c r="V1515" s="11"/>
      <c r="W1515" s="124"/>
      <c r="X1515" s="128"/>
      <c r="Y1515" s="129"/>
    </row>
    <row r="1516" spans="14:25" x14ac:dyDescent="0.25">
      <c r="N1516" s="125"/>
      <c r="O1516" s="125"/>
      <c r="P1516" s="126"/>
      <c r="Q1516" s="62"/>
      <c r="R1516" s="62"/>
      <c r="S1516" s="127"/>
      <c r="T1516" s="11"/>
      <c r="U1516" s="124"/>
      <c r="V1516" s="11"/>
      <c r="W1516" s="124"/>
      <c r="X1516" s="128"/>
      <c r="Y1516" s="129"/>
    </row>
    <row r="1517" spans="14:25" x14ac:dyDescent="0.25">
      <c r="N1517" s="125"/>
      <c r="O1517" s="125"/>
      <c r="P1517" s="126"/>
      <c r="Q1517" s="62"/>
      <c r="R1517" s="62"/>
      <c r="S1517" s="127"/>
      <c r="T1517" s="11"/>
      <c r="U1517" s="124"/>
      <c r="V1517" s="11"/>
      <c r="W1517" s="124"/>
      <c r="X1517" s="128"/>
      <c r="Y1517" s="129"/>
    </row>
    <row r="1518" spans="14:25" x14ac:dyDescent="0.25">
      <c r="N1518" s="125"/>
      <c r="O1518" s="125"/>
      <c r="P1518" s="126"/>
      <c r="Q1518" s="62"/>
      <c r="R1518" s="62"/>
      <c r="S1518" s="127"/>
      <c r="T1518" s="11"/>
      <c r="U1518" s="124"/>
      <c r="V1518" s="11"/>
      <c r="W1518" s="124"/>
      <c r="X1518" s="128"/>
      <c r="Y1518" s="129"/>
    </row>
    <row r="1519" spans="14:25" x14ac:dyDescent="0.25">
      <c r="N1519" s="125"/>
      <c r="O1519" s="125"/>
      <c r="P1519" s="126"/>
      <c r="Q1519" s="62"/>
      <c r="R1519" s="62"/>
      <c r="S1519" s="127"/>
      <c r="T1519" s="11"/>
      <c r="U1519" s="124"/>
      <c r="V1519" s="11"/>
      <c r="W1519" s="124"/>
      <c r="X1519" s="128"/>
      <c r="Y1519" s="129"/>
    </row>
    <row r="1520" spans="14:25" x14ac:dyDescent="0.25">
      <c r="N1520" s="125"/>
      <c r="O1520" s="125"/>
      <c r="P1520" s="126"/>
      <c r="Q1520" s="62"/>
      <c r="R1520" s="62"/>
      <c r="S1520" s="127"/>
      <c r="T1520" s="11"/>
      <c r="U1520" s="124"/>
      <c r="V1520" s="11"/>
      <c r="W1520" s="124"/>
      <c r="X1520" s="128"/>
      <c r="Y1520" s="129"/>
    </row>
    <row r="1521" spans="14:25" x14ac:dyDescent="0.25">
      <c r="N1521" s="125"/>
      <c r="O1521" s="125"/>
      <c r="P1521" s="126"/>
      <c r="Q1521" s="62"/>
      <c r="R1521" s="62"/>
      <c r="S1521" s="127"/>
      <c r="T1521" s="11"/>
      <c r="U1521" s="124"/>
      <c r="V1521" s="11"/>
      <c r="W1521" s="124"/>
      <c r="X1521" s="128"/>
      <c r="Y1521" s="129"/>
    </row>
    <row r="1522" spans="14:25" x14ac:dyDescent="0.25">
      <c r="N1522" s="125"/>
      <c r="O1522" s="125"/>
      <c r="P1522" s="126"/>
      <c r="Q1522" s="62"/>
      <c r="R1522" s="62"/>
      <c r="S1522" s="127"/>
      <c r="T1522" s="11"/>
      <c r="U1522" s="124"/>
      <c r="V1522" s="11"/>
      <c r="W1522" s="124"/>
      <c r="X1522" s="128"/>
      <c r="Y1522" s="129"/>
    </row>
    <row r="1523" spans="14:25" x14ac:dyDescent="0.25">
      <c r="N1523" s="125"/>
      <c r="O1523" s="125"/>
      <c r="P1523" s="126"/>
      <c r="Q1523" s="62"/>
      <c r="R1523" s="62"/>
      <c r="S1523" s="127"/>
      <c r="T1523" s="11"/>
      <c r="U1523" s="124"/>
      <c r="V1523" s="11"/>
      <c r="W1523" s="124"/>
      <c r="X1523" s="128"/>
      <c r="Y1523" s="129"/>
    </row>
    <row r="1524" spans="14:25" x14ac:dyDescent="0.25">
      <c r="N1524" s="125"/>
      <c r="O1524" s="125"/>
      <c r="P1524" s="126"/>
      <c r="Q1524" s="62"/>
      <c r="R1524" s="62"/>
      <c r="S1524" s="127"/>
      <c r="T1524" s="11"/>
      <c r="U1524" s="124"/>
      <c r="V1524" s="11"/>
      <c r="W1524" s="124"/>
      <c r="X1524" s="128"/>
      <c r="Y1524" s="129"/>
    </row>
    <row r="1525" spans="14:25" x14ac:dyDescent="0.25">
      <c r="N1525" s="125"/>
      <c r="O1525" s="125"/>
      <c r="P1525" s="126"/>
      <c r="Q1525" s="62"/>
      <c r="R1525" s="62"/>
      <c r="S1525" s="127"/>
      <c r="T1525" s="11"/>
      <c r="U1525" s="124"/>
      <c r="V1525" s="11"/>
      <c r="W1525" s="124"/>
      <c r="X1525" s="128"/>
      <c r="Y1525" s="129"/>
    </row>
    <row r="1526" spans="14:25" x14ac:dyDescent="0.25">
      <c r="N1526" s="125"/>
      <c r="O1526" s="125"/>
      <c r="P1526" s="126"/>
      <c r="Q1526" s="62"/>
      <c r="R1526" s="62"/>
      <c r="S1526" s="127"/>
      <c r="T1526" s="11"/>
      <c r="U1526" s="124"/>
      <c r="V1526" s="11"/>
      <c r="W1526" s="124"/>
      <c r="X1526" s="128"/>
      <c r="Y1526" s="129"/>
    </row>
    <row r="1527" spans="14:25" x14ac:dyDescent="0.25">
      <c r="N1527" s="125"/>
      <c r="O1527" s="125"/>
      <c r="P1527" s="126"/>
      <c r="Q1527" s="62"/>
      <c r="R1527" s="62"/>
      <c r="S1527" s="127"/>
      <c r="T1527" s="11"/>
      <c r="U1527" s="124"/>
      <c r="V1527" s="11"/>
      <c r="W1527" s="124"/>
      <c r="X1527" s="128"/>
      <c r="Y1527" s="129"/>
    </row>
    <row r="1528" spans="14:25" x14ac:dyDescent="0.25">
      <c r="N1528" s="125"/>
      <c r="O1528" s="125"/>
      <c r="P1528" s="126"/>
      <c r="Q1528" s="62"/>
      <c r="R1528" s="62"/>
      <c r="S1528" s="127"/>
      <c r="T1528" s="11"/>
      <c r="U1528" s="124"/>
      <c r="V1528" s="11"/>
      <c r="W1528" s="124"/>
      <c r="X1528" s="128"/>
      <c r="Y1528" s="129"/>
    </row>
    <row r="1529" spans="14:25" x14ac:dyDescent="0.25">
      <c r="N1529" s="125"/>
      <c r="O1529" s="125"/>
      <c r="P1529" s="126"/>
      <c r="Q1529" s="62"/>
      <c r="R1529" s="62"/>
      <c r="S1529" s="127"/>
      <c r="T1529" s="11"/>
      <c r="U1529" s="124"/>
      <c r="V1529" s="11"/>
      <c r="W1529" s="124"/>
      <c r="X1529" s="128"/>
      <c r="Y1529" s="129"/>
    </row>
    <row r="1530" spans="14:25" x14ac:dyDescent="0.25">
      <c r="N1530" s="125"/>
      <c r="O1530" s="125"/>
      <c r="P1530" s="126"/>
      <c r="Q1530" s="62"/>
      <c r="R1530" s="62"/>
      <c r="S1530" s="127"/>
      <c r="T1530" s="11"/>
      <c r="U1530" s="124"/>
      <c r="V1530" s="11"/>
      <c r="W1530" s="124"/>
      <c r="X1530" s="128"/>
      <c r="Y1530" s="129"/>
    </row>
    <row r="1531" spans="14:25" x14ac:dyDescent="0.25">
      <c r="N1531" s="125"/>
      <c r="O1531" s="125"/>
      <c r="P1531" s="126"/>
      <c r="Q1531" s="62"/>
      <c r="R1531" s="62"/>
      <c r="S1531" s="127"/>
      <c r="T1531" s="11"/>
      <c r="U1531" s="124"/>
      <c r="V1531" s="11"/>
      <c r="W1531" s="124"/>
      <c r="X1531" s="128"/>
      <c r="Y1531" s="129"/>
    </row>
    <row r="1532" spans="14:25" x14ac:dyDescent="0.25">
      <c r="N1532" s="125"/>
      <c r="O1532" s="125"/>
      <c r="P1532" s="126"/>
      <c r="Q1532" s="62"/>
      <c r="R1532" s="62"/>
      <c r="S1532" s="127"/>
      <c r="T1532" s="11"/>
      <c r="U1532" s="124"/>
      <c r="V1532" s="11"/>
      <c r="W1532" s="124"/>
      <c r="X1532" s="128"/>
      <c r="Y1532" s="129"/>
    </row>
    <row r="1533" spans="14:25" x14ac:dyDescent="0.25">
      <c r="N1533" s="125"/>
      <c r="O1533" s="125"/>
      <c r="P1533" s="126"/>
      <c r="Q1533" s="62"/>
      <c r="R1533" s="62"/>
      <c r="S1533" s="127"/>
      <c r="T1533" s="11"/>
      <c r="U1533" s="124"/>
      <c r="V1533" s="11"/>
      <c r="W1533" s="124"/>
      <c r="X1533" s="128"/>
      <c r="Y1533" s="129"/>
    </row>
    <row r="1534" spans="14:25" x14ac:dyDescent="0.25">
      <c r="N1534" s="125"/>
      <c r="O1534" s="125"/>
      <c r="P1534" s="126"/>
      <c r="Q1534" s="62"/>
      <c r="R1534" s="62"/>
      <c r="S1534" s="127"/>
      <c r="T1534" s="11"/>
      <c r="U1534" s="124"/>
      <c r="V1534" s="11"/>
      <c r="W1534" s="124"/>
      <c r="X1534" s="128"/>
      <c r="Y1534" s="129"/>
    </row>
    <row r="1535" spans="14:25" x14ac:dyDescent="0.25">
      <c r="N1535" s="125"/>
      <c r="O1535" s="125"/>
      <c r="P1535" s="126"/>
      <c r="Q1535" s="62"/>
      <c r="R1535" s="62"/>
      <c r="S1535" s="127"/>
      <c r="T1535" s="11"/>
      <c r="U1535" s="124"/>
      <c r="V1535" s="11"/>
      <c r="W1535" s="124"/>
      <c r="X1535" s="128"/>
      <c r="Y1535" s="129"/>
    </row>
    <row r="1536" spans="14:25" x14ac:dyDescent="0.25">
      <c r="N1536" s="125"/>
      <c r="O1536" s="125"/>
      <c r="P1536" s="126"/>
      <c r="Q1536" s="62"/>
      <c r="R1536" s="62"/>
      <c r="S1536" s="127"/>
      <c r="T1536" s="11"/>
      <c r="U1536" s="124"/>
      <c r="V1536" s="11"/>
      <c r="W1536" s="124"/>
      <c r="X1536" s="128"/>
      <c r="Y1536" s="129"/>
    </row>
    <row r="1537" spans="14:25" x14ac:dyDescent="0.25">
      <c r="N1537" s="125"/>
      <c r="O1537" s="125"/>
      <c r="P1537" s="126"/>
      <c r="Q1537" s="62"/>
      <c r="R1537" s="62"/>
      <c r="S1537" s="127"/>
      <c r="T1537" s="11"/>
      <c r="U1537" s="124"/>
      <c r="V1537" s="11"/>
      <c r="W1537" s="124"/>
      <c r="X1537" s="128"/>
      <c r="Y1537" s="129"/>
    </row>
    <row r="1538" spans="14:25" x14ac:dyDescent="0.25">
      <c r="N1538" s="125"/>
      <c r="O1538" s="125"/>
      <c r="P1538" s="126"/>
      <c r="Q1538" s="62"/>
      <c r="R1538" s="62"/>
      <c r="S1538" s="127"/>
      <c r="T1538" s="11"/>
      <c r="U1538" s="124"/>
      <c r="V1538" s="11"/>
      <c r="W1538" s="124"/>
      <c r="X1538" s="128"/>
      <c r="Y1538" s="129"/>
    </row>
    <row r="1539" spans="14:25" x14ac:dyDescent="0.25">
      <c r="N1539" s="125"/>
      <c r="O1539" s="125"/>
      <c r="P1539" s="126"/>
      <c r="Q1539" s="62"/>
      <c r="R1539" s="62"/>
      <c r="S1539" s="127"/>
      <c r="T1539" s="11"/>
      <c r="U1539" s="124"/>
      <c r="V1539" s="11"/>
      <c r="W1539" s="124"/>
      <c r="X1539" s="128"/>
      <c r="Y1539" s="129"/>
    </row>
    <row r="1540" spans="14:25" x14ac:dyDescent="0.25">
      <c r="N1540" s="125"/>
      <c r="O1540" s="125"/>
      <c r="P1540" s="126"/>
      <c r="Q1540" s="62"/>
      <c r="R1540" s="62"/>
      <c r="S1540" s="127"/>
      <c r="T1540" s="11"/>
      <c r="U1540" s="124"/>
      <c r="V1540" s="11"/>
      <c r="W1540" s="124"/>
      <c r="X1540" s="128"/>
      <c r="Y1540" s="129"/>
    </row>
    <row r="1541" spans="14:25" x14ac:dyDescent="0.25">
      <c r="N1541" s="125"/>
      <c r="O1541" s="125"/>
      <c r="P1541" s="126"/>
      <c r="Q1541" s="62"/>
      <c r="R1541" s="62"/>
      <c r="S1541" s="127"/>
      <c r="T1541" s="11"/>
      <c r="U1541" s="124"/>
      <c r="V1541" s="11"/>
      <c r="W1541" s="124"/>
      <c r="X1541" s="128"/>
      <c r="Y1541" s="129"/>
    </row>
    <row r="1542" spans="14:25" x14ac:dyDescent="0.25">
      <c r="N1542" s="125"/>
      <c r="O1542" s="125"/>
      <c r="P1542" s="126"/>
      <c r="Q1542" s="62"/>
      <c r="R1542" s="62"/>
      <c r="S1542" s="127"/>
      <c r="T1542" s="11"/>
      <c r="U1542" s="124"/>
      <c r="V1542" s="11"/>
      <c r="W1542" s="124"/>
      <c r="X1542" s="128"/>
      <c r="Y1542" s="129"/>
    </row>
    <row r="1543" spans="14:25" x14ac:dyDescent="0.25">
      <c r="N1543" s="125"/>
      <c r="O1543" s="125"/>
      <c r="P1543" s="126"/>
      <c r="Q1543" s="62"/>
      <c r="R1543" s="62"/>
      <c r="S1543" s="127"/>
      <c r="T1543" s="11"/>
      <c r="U1543" s="124"/>
      <c r="V1543" s="11"/>
      <c r="W1543" s="124"/>
      <c r="X1543" s="128"/>
      <c r="Y1543" s="129"/>
    </row>
    <row r="1544" spans="14:25" x14ac:dyDescent="0.25">
      <c r="N1544" s="125"/>
      <c r="O1544" s="125"/>
      <c r="P1544" s="126"/>
      <c r="Q1544" s="62"/>
      <c r="R1544" s="62"/>
      <c r="S1544" s="127"/>
      <c r="T1544" s="11"/>
      <c r="U1544" s="124"/>
      <c r="V1544" s="11"/>
      <c r="W1544" s="124"/>
      <c r="X1544" s="128"/>
      <c r="Y1544" s="129"/>
    </row>
    <row r="1545" spans="14:25" x14ac:dyDescent="0.25">
      <c r="N1545" s="125"/>
      <c r="O1545" s="125"/>
      <c r="P1545" s="126"/>
      <c r="Q1545" s="62"/>
      <c r="R1545" s="62"/>
      <c r="S1545" s="127"/>
      <c r="T1545" s="11"/>
      <c r="U1545" s="124"/>
      <c r="V1545" s="11"/>
      <c r="W1545" s="124"/>
      <c r="X1545" s="128"/>
      <c r="Y1545" s="129"/>
    </row>
    <row r="1546" spans="14:25" x14ac:dyDescent="0.25">
      <c r="N1546" s="125"/>
      <c r="O1546" s="125"/>
      <c r="P1546" s="126"/>
      <c r="Q1546" s="62"/>
      <c r="R1546" s="62"/>
      <c r="S1546" s="127"/>
      <c r="T1546" s="11"/>
      <c r="U1546" s="124"/>
      <c r="V1546" s="11"/>
      <c r="W1546" s="124"/>
      <c r="X1546" s="128"/>
      <c r="Y1546" s="129"/>
    </row>
    <row r="1547" spans="14:25" x14ac:dyDescent="0.25">
      <c r="N1547" s="125"/>
      <c r="O1547" s="125"/>
      <c r="P1547" s="126"/>
      <c r="Q1547" s="62"/>
      <c r="R1547" s="62"/>
      <c r="S1547" s="127"/>
      <c r="T1547" s="11"/>
      <c r="U1547" s="124"/>
      <c r="V1547" s="11"/>
      <c r="W1547" s="124"/>
      <c r="X1547" s="128"/>
      <c r="Y1547" s="129"/>
    </row>
    <row r="1548" spans="14:25" x14ac:dyDescent="0.25">
      <c r="N1548" s="125"/>
      <c r="O1548" s="125"/>
      <c r="P1548" s="126"/>
      <c r="Q1548" s="62"/>
      <c r="R1548" s="62"/>
      <c r="S1548" s="127"/>
      <c r="T1548" s="11"/>
      <c r="U1548" s="124"/>
      <c r="V1548" s="11"/>
      <c r="W1548" s="124"/>
      <c r="X1548" s="128"/>
      <c r="Y1548" s="129"/>
    </row>
    <row r="1549" spans="14:25" x14ac:dyDescent="0.25">
      <c r="N1549" s="125"/>
      <c r="O1549" s="125"/>
      <c r="P1549" s="126"/>
      <c r="Q1549" s="62"/>
      <c r="R1549" s="62"/>
      <c r="S1549" s="127"/>
      <c r="T1549" s="11"/>
      <c r="U1549" s="124"/>
      <c r="V1549" s="11"/>
      <c r="W1549" s="124"/>
      <c r="X1549" s="128"/>
      <c r="Y1549" s="129"/>
    </row>
    <row r="1550" spans="14:25" x14ac:dyDescent="0.25">
      <c r="N1550" s="125"/>
      <c r="O1550" s="125"/>
      <c r="P1550" s="126"/>
      <c r="Q1550" s="62"/>
      <c r="R1550" s="62"/>
      <c r="S1550" s="127"/>
      <c r="T1550" s="11"/>
      <c r="U1550" s="124"/>
      <c r="V1550" s="11"/>
      <c r="W1550" s="124"/>
      <c r="X1550" s="128"/>
      <c r="Y1550" s="129"/>
    </row>
    <row r="1551" spans="14:25" x14ac:dyDescent="0.25">
      <c r="N1551" s="125"/>
      <c r="O1551" s="125"/>
      <c r="P1551" s="126"/>
      <c r="Q1551" s="62"/>
      <c r="R1551" s="62"/>
      <c r="S1551" s="127"/>
      <c r="T1551" s="11"/>
      <c r="U1551" s="124"/>
      <c r="V1551" s="11"/>
      <c r="W1551" s="124"/>
      <c r="X1551" s="128"/>
      <c r="Y1551" s="129"/>
    </row>
    <row r="1552" spans="14:25" x14ac:dyDescent="0.25">
      <c r="N1552" s="125"/>
      <c r="O1552" s="125"/>
      <c r="P1552" s="126"/>
      <c r="Q1552" s="62"/>
      <c r="R1552" s="62"/>
      <c r="S1552" s="127"/>
      <c r="T1552" s="11"/>
      <c r="U1552" s="124"/>
      <c r="V1552" s="11"/>
      <c r="W1552" s="124"/>
      <c r="X1552" s="128"/>
      <c r="Y1552" s="129"/>
    </row>
    <row r="1553" spans="14:25" x14ac:dyDescent="0.25">
      <c r="N1553" s="125"/>
      <c r="O1553" s="125"/>
      <c r="P1553" s="126"/>
      <c r="Q1553" s="62"/>
      <c r="R1553" s="62"/>
      <c r="S1553" s="127"/>
      <c r="T1553" s="11"/>
      <c r="U1553" s="124"/>
      <c r="V1553" s="11"/>
      <c r="W1553" s="124"/>
      <c r="X1553" s="128"/>
      <c r="Y1553" s="129"/>
    </row>
    <row r="1554" spans="14:25" x14ac:dyDescent="0.25">
      <c r="N1554" s="125"/>
      <c r="O1554" s="125"/>
      <c r="P1554" s="126"/>
      <c r="Q1554" s="62"/>
      <c r="R1554" s="62"/>
      <c r="S1554" s="127"/>
      <c r="T1554" s="11"/>
      <c r="U1554" s="124"/>
      <c r="V1554" s="11"/>
      <c r="W1554" s="124"/>
      <c r="X1554" s="128"/>
      <c r="Y1554" s="129"/>
    </row>
    <row r="1555" spans="14:25" x14ac:dyDescent="0.25">
      <c r="N1555" s="125"/>
      <c r="O1555" s="125"/>
      <c r="P1555" s="126"/>
      <c r="Q1555" s="62"/>
      <c r="R1555" s="62"/>
      <c r="S1555" s="127"/>
      <c r="T1555" s="11"/>
      <c r="U1555" s="124"/>
      <c r="V1555" s="11"/>
      <c r="W1555" s="124"/>
      <c r="X1555" s="128"/>
      <c r="Y1555" s="129"/>
    </row>
    <row r="1556" spans="14:25" x14ac:dyDescent="0.25">
      <c r="N1556" s="125"/>
      <c r="O1556" s="125"/>
      <c r="P1556" s="126"/>
      <c r="Q1556" s="62"/>
      <c r="R1556" s="62"/>
      <c r="S1556" s="127"/>
      <c r="T1556" s="11"/>
      <c r="U1556" s="124"/>
      <c r="V1556" s="11"/>
      <c r="W1556" s="124"/>
      <c r="X1556" s="128"/>
      <c r="Y1556" s="129"/>
    </row>
    <row r="1557" spans="14:25" x14ac:dyDescent="0.25">
      <c r="N1557" s="125"/>
      <c r="O1557" s="125"/>
      <c r="P1557" s="126"/>
      <c r="Q1557" s="62"/>
      <c r="R1557" s="62"/>
      <c r="S1557" s="127"/>
      <c r="T1557" s="11"/>
      <c r="U1557" s="124"/>
      <c r="V1557" s="11"/>
      <c r="W1557" s="124"/>
      <c r="X1557" s="128"/>
      <c r="Y1557" s="129"/>
    </row>
    <row r="1558" spans="14:25" x14ac:dyDescent="0.25">
      <c r="N1558" s="125"/>
      <c r="O1558" s="125"/>
      <c r="P1558" s="126"/>
      <c r="Q1558" s="62"/>
      <c r="R1558" s="62"/>
      <c r="S1558" s="127"/>
      <c r="T1558" s="11"/>
      <c r="U1558" s="124"/>
      <c r="V1558" s="11"/>
      <c r="W1558" s="124"/>
      <c r="X1558" s="128"/>
      <c r="Y1558" s="129"/>
    </row>
    <row r="1559" spans="14:25" x14ac:dyDescent="0.25">
      <c r="N1559" s="125"/>
      <c r="O1559" s="125"/>
      <c r="P1559" s="126"/>
      <c r="Q1559" s="62"/>
      <c r="R1559" s="62"/>
      <c r="S1559" s="127"/>
      <c r="T1559" s="11"/>
      <c r="U1559" s="124"/>
      <c r="V1559" s="11"/>
      <c r="W1559" s="124"/>
      <c r="X1559" s="128"/>
      <c r="Y1559" s="129"/>
    </row>
    <row r="1560" spans="14:25" x14ac:dyDescent="0.25">
      <c r="N1560" s="125"/>
      <c r="O1560" s="125"/>
      <c r="P1560" s="126"/>
      <c r="Q1560" s="62"/>
      <c r="R1560" s="62"/>
      <c r="S1560" s="127"/>
      <c r="T1560" s="11"/>
      <c r="U1560" s="124"/>
      <c r="V1560" s="11"/>
      <c r="W1560" s="124"/>
      <c r="X1560" s="128"/>
      <c r="Y1560" s="129"/>
    </row>
    <row r="1561" spans="14:25" x14ac:dyDescent="0.25">
      <c r="N1561" s="125"/>
      <c r="O1561" s="125"/>
      <c r="P1561" s="126"/>
      <c r="Q1561" s="62"/>
      <c r="R1561" s="62"/>
      <c r="S1561" s="127"/>
      <c r="T1561" s="11"/>
      <c r="U1561" s="124"/>
      <c r="V1561" s="11"/>
      <c r="W1561" s="124"/>
      <c r="X1561" s="128"/>
      <c r="Y1561" s="129"/>
    </row>
    <row r="1562" spans="14:25" x14ac:dyDescent="0.25">
      <c r="N1562" s="125"/>
      <c r="O1562" s="125"/>
      <c r="P1562" s="126"/>
      <c r="Q1562" s="62"/>
      <c r="R1562" s="62"/>
      <c r="S1562" s="127"/>
      <c r="T1562" s="11"/>
      <c r="U1562" s="124"/>
      <c r="V1562" s="11"/>
      <c r="W1562" s="124"/>
      <c r="X1562" s="128"/>
      <c r="Y1562" s="129"/>
    </row>
    <row r="1563" spans="14:25" x14ac:dyDescent="0.25">
      <c r="N1563" s="125"/>
      <c r="O1563" s="125"/>
      <c r="P1563" s="126"/>
      <c r="Q1563" s="62"/>
      <c r="R1563" s="62"/>
      <c r="S1563" s="127"/>
      <c r="T1563" s="11"/>
      <c r="U1563" s="124"/>
      <c r="V1563" s="11"/>
      <c r="W1563" s="124"/>
      <c r="X1563" s="128"/>
      <c r="Y1563" s="129"/>
    </row>
    <row r="1564" spans="14:25" x14ac:dyDescent="0.25">
      <c r="N1564" s="125"/>
      <c r="O1564" s="125"/>
      <c r="P1564" s="126"/>
      <c r="Q1564" s="62"/>
      <c r="R1564" s="62"/>
      <c r="S1564" s="127"/>
      <c r="T1564" s="11"/>
      <c r="U1564" s="124"/>
      <c r="V1564" s="11"/>
      <c r="W1564" s="124"/>
      <c r="X1564" s="128"/>
      <c r="Y1564" s="129"/>
    </row>
    <row r="1565" spans="14:25" x14ac:dyDescent="0.25">
      <c r="N1565" s="125"/>
      <c r="O1565" s="125"/>
      <c r="P1565" s="126"/>
      <c r="Q1565" s="62"/>
      <c r="R1565" s="62"/>
      <c r="S1565" s="127"/>
      <c r="T1565" s="11"/>
      <c r="U1565" s="124"/>
      <c r="V1565" s="11"/>
      <c r="W1565" s="124"/>
      <c r="X1565" s="128"/>
      <c r="Y1565" s="129"/>
    </row>
    <row r="1566" spans="14:25" x14ac:dyDescent="0.25">
      <c r="N1566" s="125"/>
      <c r="O1566" s="125"/>
      <c r="P1566" s="126"/>
      <c r="Q1566" s="62"/>
      <c r="R1566" s="62"/>
      <c r="S1566" s="127"/>
      <c r="T1566" s="11"/>
      <c r="U1566" s="124"/>
      <c r="V1566" s="11"/>
      <c r="W1566" s="124"/>
      <c r="X1566" s="128"/>
      <c r="Y1566" s="129"/>
    </row>
    <row r="1567" spans="14:25" x14ac:dyDescent="0.25">
      <c r="N1567" s="125"/>
      <c r="O1567" s="125"/>
      <c r="P1567" s="126"/>
      <c r="Q1567" s="62"/>
      <c r="R1567" s="62"/>
      <c r="S1567" s="127"/>
      <c r="T1567" s="11"/>
      <c r="U1567" s="124"/>
      <c r="V1567" s="11"/>
      <c r="W1567" s="124"/>
      <c r="X1567" s="128"/>
      <c r="Y1567" s="129"/>
    </row>
    <row r="1568" spans="14:25" x14ac:dyDescent="0.25">
      <c r="N1568" s="125"/>
      <c r="O1568" s="125"/>
      <c r="P1568" s="126"/>
      <c r="Q1568" s="62"/>
      <c r="R1568" s="62"/>
      <c r="S1568" s="127"/>
      <c r="T1568" s="11"/>
      <c r="U1568" s="124"/>
      <c r="V1568" s="11"/>
      <c r="W1568" s="124"/>
      <c r="X1568" s="128"/>
      <c r="Y1568" s="129"/>
    </row>
    <row r="1569" spans="14:25" x14ac:dyDescent="0.25">
      <c r="N1569" s="125"/>
      <c r="O1569" s="125"/>
      <c r="P1569" s="126"/>
      <c r="Q1569" s="62"/>
      <c r="R1569" s="62"/>
      <c r="S1569" s="127"/>
      <c r="T1569" s="11"/>
      <c r="U1569" s="124"/>
      <c r="V1569" s="11"/>
      <c r="W1569" s="124"/>
      <c r="X1569" s="128"/>
      <c r="Y1569" s="129"/>
    </row>
    <row r="1570" spans="14:25" x14ac:dyDescent="0.25">
      <c r="N1570" s="125"/>
      <c r="O1570" s="125"/>
      <c r="P1570" s="126"/>
      <c r="Q1570" s="62"/>
      <c r="R1570" s="62"/>
      <c r="S1570" s="127"/>
      <c r="T1570" s="11"/>
      <c r="U1570" s="124"/>
      <c r="V1570" s="11"/>
      <c r="W1570" s="124"/>
      <c r="X1570" s="128"/>
      <c r="Y1570" s="129"/>
    </row>
    <row r="1571" spans="14:25" x14ac:dyDescent="0.25">
      <c r="N1571" s="125"/>
      <c r="O1571" s="125"/>
      <c r="P1571" s="126"/>
      <c r="Q1571" s="62"/>
      <c r="R1571" s="62"/>
      <c r="S1571" s="127"/>
      <c r="T1571" s="11"/>
      <c r="U1571" s="124"/>
      <c r="V1571" s="11"/>
      <c r="W1571" s="124"/>
      <c r="X1571" s="128"/>
      <c r="Y1571" s="129"/>
    </row>
    <row r="1572" spans="14:25" x14ac:dyDescent="0.25">
      <c r="N1572" s="125"/>
      <c r="O1572" s="125"/>
      <c r="P1572" s="126"/>
      <c r="Q1572" s="62"/>
      <c r="R1572" s="62"/>
      <c r="S1572" s="127"/>
      <c r="T1572" s="11"/>
      <c r="U1572" s="124"/>
      <c r="V1572" s="11"/>
      <c r="W1572" s="124"/>
      <c r="X1572" s="128"/>
      <c r="Y1572" s="129"/>
    </row>
    <row r="1573" spans="14:25" x14ac:dyDescent="0.25">
      <c r="N1573" s="125"/>
      <c r="O1573" s="125"/>
      <c r="P1573" s="126"/>
      <c r="Q1573" s="62"/>
      <c r="R1573" s="62"/>
      <c r="S1573" s="127"/>
      <c r="T1573" s="11"/>
      <c r="U1573" s="124"/>
      <c r="V1573" s="11"/>
      <c r="W1573" s="124"/>
      <c r="X1573" s="128"/>
      <c r="Y1573" s="129"/>
    </row>
    <row r="1574" spans="14:25" x14ac:dyDescent="0.25">
      <c r="N1574" s="125"/>
      <c r="O1574" s="125"/>
      <c r="P1574" s="126"/>
      <c r="Q1574" s="62"/>
      <c r="R1574" s="62"/>
      <c r="S1574" s="127"/>
      <c r="T1574" s="11"/>
      <c r="U1574" s="124"/>
      <c r="V1574" s="11"/>
      <c r="W1574" s="124"/>
      <c r="X1574" s="128"/>
      <c r="Y1574" s="129"/>
    </row>
    <row r="1575" spans="14:25" x14ac:dyDescent="0.25">
      <c r="N1575" s="125"/>
      <c r="O1575" s="125"/>
      <c r="P1575" s="126"/>
      <c r="Q1575" s="62"/>
      <c r="R1575" s="62"/>
      <c r="S1575" s="127"/>
      <c r="T1575" s="11"/>
      <c r="U1575" s="124"/>
      <c r="V1575" s="11"/>
      <c r="W1575" s="124"/>
      <c r="X1575" s="128"/>
      <c r="Y1575" s="129"/>
    </row>
    <row r="1576" spans="14:25" x14ac:dyDescent="0.25">
      <c r="N1576" s="125"/>
      <c r="O1576" s="125"/>
      <c r="P1576" s="126"/>
      <c r="Q1576" s="62"/>
      <c r="R1576" s="62"/>
      <c r="S1576" s="127"/>
      <c r="T1576" s="11"/>
      <c r="U1576" s="124"/>
      <c r="V1576" s="11"/>
      <c r="W1576" s="124"/>
      <c r="X1576" s="128"/>
      <c r="Y1576" s="129"/>
    </row>
    <row r="1577" spans="14:25" x14ac:dyDescent="0.25">
      <c r="N1577" s="125"/>
      <c r="O1577" s="125"/>
      <c r="P1577" s="126"/>
      <c r="Q1577" s="62"/>
      <c r="R1577" s="62"/>
      <c r="S1577" s="127"/>
      <c r="T1577" s="11"/>
      <c r="U1577" s="124"/>
      <c r="V1577" s="11"/>
      <c r="W1577" s="124"/>
      <c r="X1577" s="128"/>
      <c r="Y1577" s="129"/>
    </row>
    <row r="1578" spans="14:25" x14ac:dyDescent="0.25">
      <c r="N1578" s="125"/>
      <c r="O1578" s="125"/>
      <c r="P1578" s="126"/>
      <c r="Q1578" s="62"/>
      <c r="R1578" s="62"/>
      <c r="S1578" s="127"/>
      <c r="T1578" s="11"/>
      <c r="U1578" s="124"/>
      <c r="V1578" s="11"/>
      <c r="W1578" s="124"/>
      <c r="X1578" s="128"/>
      <c r="Y1578" s="129"/>
    </row>
    <row r="1579" spans="14:25" x14ac:dyDescent="0.25">
      <c r="N1579" s="125"/>
      <c r="O1579" s="125"/>
      <c r="P1579" s="126"/>
      <c r="Q1579" s="62"/>
      <c r="R1579" s="62"/>
      <c r="S1579" s="127"/>
      <c r="T1579" s="11"/>
      <c r="U1579" s="124"/>
      <c r="V1579" s="11"/>
      <c r="W1579" s="124"/>
      <c r="X1579" s="128"/>
      <c r="Y1579" s="129"/>
    </row>
    <row r="1580" spans="14:25" x14ac:dyDescent="0.25">
      <c r="N1580" s="125"/>
      <c r="O1580" s="125"/>
      <c r="P1580" s="126"/>
      <c r="Q1580" s="62"/>
      <c r="R1580" s="62"/>
      <c r="S1580" s="127"/>
      <c r="T1580" s="11"/>
      <c r="U1580" s="124"/>
      <c r="V1580" s="11"/>
      <c r="W1580" s="124"/>
      <c r="X1580" s="128"/>
      <c r="Y1580" s="129"/>
    </row>
    <row r="1581" spans="14:25" x14ac:dyDescent="0.25">
      <c r="N1581" s="125"/>
      <c r="O1581" s="125"/>
      <c r="P1581" s="126"/>
      <c r="Q1581" s="62"/>
      <c r="R1581" s="62"/>
      <c r="S1581" s="127"/>
      <c r="T1581" s="11"/>
      <c r="U1581" s="124"/>
      <c r="V1581" s="11"/>
      <c r="W1581" s="124"/>
      <c r="X1581" s="128"/>
      <c r="Y1581" s="129"/>
    </row>
    <row r="1582" spans="14:25" x14ac:dyDescent="0.25">
      <c r="N1582" s="125"/>
      <c r="O1582" s="125"/>
      <c r="P1582" s="126"/>
      <c r="Q1582" s="62"/>
      <c r="R1582" s="62"/>
      <c r="S1582" s="127"/>
      <c r="T1582" s="11"/>
      <c r="U1582" s="124"/>
      <c r="V1582" s="11"/>
      <c r="W1582" s="124"/>
      <c r="X1582" s="128"/>
      <c r="Y1582" s="129"/>
    </row>
    <row r="1583" spans="14:25" x14ac:dyDescent="0.25">
      <c r="N1583" s="125"/>
      <c r="O1583" s="125"/>
      <c r="P1583" s="126"/>
      <c r="Q1583" s="62"/>
      <c r="R1583" s="62"/>
      <c r="S1583" s="127"/>
      <c r="T1583" s="11"/>
      <c r="U1583" s="124"/>
      <c r="V1583" s="11"/>
      <c r="W1583" s="124"/>
      <c r="X1583" s="128"/>
      <c r="Y1583" s="129"/>
    </row>
    <row r="1584" spans="14:25" x14ac:dyDescent="0.25">
      <c r="N1584" s="125"/>
      <c r="O1584" s="125"/>
      <c r="P1584" s="126"/>
      <c r="Q1584" s="62"/>
      <c r="R1584" s="62"/>
      <c r="S1584" s="127"/>
      <c r="T1584" s="11"/>
      <c r="U1584" s="124"/>
      <c r="V1584" s="11"/>
      <c r="W1584" s="124"/>
      <c r="X1584" s="128"/>
      <c r="Y1584" s="129"/>
    </row>
    <row r="1585" spans="14:25" x14ac:dyDescent="0.25">
      <c r="N1585" s="125"/>
      <c r="O1585" s="125"/>
      <c r="P1585" s="126"/>
      <c r="Q1585" s="62"/>
      <c r="R1585" s="62"/>
      <c r="S1585" s="127"/>
      <c r="T1585" s="11"/>
      <c r="U1585" s="124"/>
      <c r="V1585" s="11"/>
      <c r="W1585" s="124"/>
      <c r="X1585" s="128"/>
      <c r="Y1585" s="129"/>
    </row>
    <row r="1586" spans="14:25" x14ac:dyDescent="0.25">
      <c r="N1586" s="125"/>
      <c r="O1586" s="125"/>
      <c r="P1586" s="126"/>
      <c r="Q1586" s="62"/>
      <c r="R1586" s="62"/>
      <c r="S1586" s="127"/>
      <c r="T1586" s="11"/>
      <c r="U1586" s="124"/>
      <c r="V1586" s="11"/>
      <c r="W1586" s="124"/>
      <c r="X1586" s="128"/>
      <c r="Y1586" s="129"/>
    </row>
    <row r="1587" spans="14:25" x14ac:dyDescent="0.25">
      <c r="N1587" s="125"/>
      <c r="O1587" s="125"/>
      <c r="P1587" s="126"/>
      <c r="Q1587" s="62"/>
      <c r="R1587" s="62"/>
      <c r="S1587" s="127"/>
      <c r="T1587" s="11"/>
      <c r="U1587" s="124"/>
      <c r="V1587" s="11"/>
      <c r="W1587" s="124"/>
      <c r="X1587" s="128"/>
      <c r="Y1587" s="129"/>
    </row>
    <row r="1588" spans="14:25" x14ac:dyDescent="0.25">
      <c r="N1588" s="125"/>
      <c r="O1588" s="125"/>
      <c r="P1588" s="126"/>
      <c r="Q1588" s="62"/>
      <c r="R1588" s="62"/>
      <c r="S1588" s="127"/>
      <c r="T1588" s="11"/>
      <c r="U1588" s="124"/>
      <c r="V1588" s="11"/>
      <c r="W1588" s="124"/>
      <c r="X1588" s="128"/>
      <c r="Y1588" s="129"/>
    </row>
    <row r="1589" spans="14:25" x14ac:dyDescent="0.25">
      <c r="N1589" s="125"/>
      <c r="O1589" s="125"/>
      <c r="P1589" s="126"/>
      <c r="Q1589" s="62"/>
      <c r="R1589" s="62"/>
      <c r="S1589" s="127"/>
      <c r="T1589" s="11"/>
      <c r="U1589" s="124"/>
      <c r="V1589" s="11"/>
      <c r="W1589" s="124"/>
      <c r="X1589" s="128"/>
      <c r="Y1589" s="129"/>
    </row>
    <row r="1590" spans="14:25" x14ac:dyDescent="0.25">
      <c r="N1590" s="125"/>
      <c r="O1590" s="125"/>
      <c r="P1590" s="126"/>
      <c r="Q1590" s="62"/>
      <c r="R1590" s="62"/>
      <c r="S1590" s="127"/>
      <c r="T1590" s="11"/>
      <c r="U1590" s="124"/>
      <c r="V1590" s="11"/>
      <c r="W1590" s="124"/>
      <c r="X1590" s="128"/>
      <c r="Y1590" s="129"/>
    </row>
    <row r="1591" spans="14:25" x14ac:dyDescent="0.25">
      <c r="N1591" s="125"/>
      <c r="O1591" s="125"/>
      <c r="P1591" s="126"/>
      <c r="Q1591" s="62"/>
      <c r="R1591" s="62"/>
      <c r="S1591" s="127"/>
      <c r="T1591" s="11"/>
      <c r="U1591" s="124"/>
      <c r="V1591" s="11"/>
      <c r="W1591" s="124"/>
      <c r="X1591" s="128"/>
      <c r="Y1591" s="129"/>
    </row>
    <row r="1592" spans="14:25" x14ac:dyDescent="0.25">
      <c r="N1592" s="125"/>
      <c r="O1592" s="125"/>
      <c r="P1592" s="126"/>
      <c r="Q1592" s="62"/>
      <c r="R1592" s="62"/>
      <c r="S1592" s="127"/>
      <c r="T1592" s="11"/>
      <c r="U1592" s="124"/>
      <c r="V1592" s="11"/>
      <c r="W1592" s="124"/>
      <c r="X1592" s="128"/>
      <c r="Y1592" s="129"/>
    </row>
    <row r="1593" spans="14:25" x14ac:dyDescent="0.25">
      <c r="N1593" s="125"/>
      <c r="O1593" s="125"/>
      <c r="P1593" s="126"/>
      <c r="Q1593" s="62"/>
      <c r="R1593" s="62"/>
      <c r="S1593" s="127"/>
      <c r="T1593" s="11"/>
      <c r="U1593" s="124"/>
      <c r="V1593" s="11"/>
      <c r="W1593" s="124"/>
      <c r="X1593" s="128"/>
      <c r="Y1593" s="129"/>
    </row>
    <row r="1594" spans="14:25" x14ac:dyDescent="0.25">
      <c r="N1594" s="125"/>
      <c r="O1594" s="125"/>
      <c r="P1594" s="126"/>
      <c r="Q1594" s="62"/>
      <c r="R1594" s="62"/>
      <c r="S1594" s="127"/>
      <c r="T1594" s="11"/>
      <c r="U1594" s="124"/>
      <c r="V1594" s="11"/>
      <c r="W1594" s="124"/>
      <c r="X1594" s="128"/>
      <c r="Y1594" s="129"/>
    </row>
    <row r="1595" spans="14:25" x14ac:dyDescent="0.25">
      <c r="N1595" s="125"/>
      <c r="O1595" s="125"/>
      <c r="P1595" s="126"/>
      <c r="Q1595" s="62"/>
      <c r="R1595" s="62"/>
      <c r="S1595" s="127"/>
      <c r="T1595" s="11"/>
      <c r="U1595" s="124"/>
      <c r="V1595" s="11"/>
      <c r="W1595" s="124"/>
      <c r="X1595" s="128"/>
      <c r="Y1595" s="129"/>
    </row>
    <row r="1596" spans="14:25" x14ac:dyDescent="0.25">
      <c r="N1596" s="125"/>
      <c r="O1596" s="125"/>
      <c r="P1596" s="126"/>
      <c r="Q1596" s="62"/>
      <c r="R1596" s="62"/>
      <c r="S1596" s="127"/>
      <c r="T1596" s="11"/>
      <c r="U1596" s="124"/>
      <c r="V1596" s="11"/>
      <c r="W1596" s="124"/>
      <c r="X1596" s="128"/>
      <c r="Y1596" s="129"/>
    </row>
    <row r="1597" spans="14:25" x14ac:dyDescent="0.25">
      <c r="N1597" s="125"/>
      <c r="O1597" s="125"/>
      <c r="P1597" s="126"/>
      <c r="Q1597" s="62"/>
      <c r="R1597" s="62"/>
      <c r="S1597" s="127"/>
      <c r="T1597" s="11"/>
      <c r="U1597" s="124"/>
      <c r="V1597" s="11"/>
      <c r="W1597" s="124"/>
      <c r="X1597" s="128"/>
      <c r="Y1597" s="129"/>
    </row>
    <row r="1598" spans="14:25" x14ac:dyDescent="0.25">
      <c r="N1598" s="125"/>
      <c r="O1598" s="125"/>
      <c r="P1598" s="126"/>
      <c r="Q1598" s="62"/>
      <c r="R1598" s="62"/>
      <c r="S1598" s="127"/>
      <c r="T1598" s="11"/>
      <c r="U1598" s="124"/>
      <c r="V1598" s="11"/>
      <c r="W1598" s="124"/>
      <c r="X1598" s="128"/>
      <c r="Y1598" s="129"/>
    </row>
    <row r="1599" spans="14:25" x14ac:dyDescent="0.25">
      <c r="N1599" s="125"/>
      <c r="O1599" s="125"/>
      <c r="P1599" s="126"/>
      <c r="Q1599" s="62"/>
      <c r="R1599" s="62"/>
      <c r="S1599" s="127"/>
      <c r="T1599" s="11"/>
      <c r="U1599" s="124"/>
      <c r="V1599" s="11"/>
      <c r="W1599" s="124"/>
      <c r="X1599" s="128"/>
      <c r="Y1599" s="129"/>
    </row>
    <row r="1600" spans="14:25" x14ac:dyDescent="0.25">
      <c r="N1600" s="125"/>
      <c r="O1600" s="125"/>
      <c r="P1600" s="126"/>
      <c r="Q1600" s="62"/>
      <c r="R1600" s="62"/>
      <c r="S1600" s="127"/>
      <c r="T1600" s="11"/>
      <c r="U1600" s="124"/>
      <c r="V1600" s="11"/>
      <c r="W1600" s="124"/>
      <c r="X1600" s="128"/>
      <c r="Y1600" s="129"/>
    </row>
    <row r="1601" spans="14:25" x14ac:dyDescent="0.25">
      <c r="N1601" s="125"/>
      <c r="O1601" s="125"/>
      <c r="P1601" s="126"/>
      <c r="Q1601" s="62"/>
      <c r="R1601" s="62"/>
      <c r="S1601" s="127"/>
      <c r="T1601" s="11"/>
      <c r="U1601" s="124"/>
      <c r="V1601" s="11"/>
      <c r="W1601" s="124"/>
      <c r="X1601" s="128"/>
      <c r="Y1601" s="129"/>
    </row>
    <row r="1602" spans="14:25" x14ac:dyDescent="0.25">
      <c r="N1602" s="125"/>
      <c r="O1602" s="125"/>
      <c r="P1602" s="126"/>
      <c r="Q1602" s="62"/>
      <c r="R1602" s="62"/>
      <c r="S1602" s="127"/>
      <c r="T1602" s="11"/>
      <c r="U1602" s="124"/>
      <c r="V1602" s="11"/>
      <c r="W1602" s="124"/>
      <c r="X1602" s="128"/>
      <c r="Y1602" s="129"/>
    </row>
    <row r="1603" spans="14:25" x14ac:dyDescent="0.25">
      <c r="N1603" s="125"/>
      <c r="O1603" s="125"/>
      <c r="P1603" s="126"/>
      <c r="Q1603" s="62"/>
      <c r="R1603" s="62"/>
      <c r="S1603" s="127"/>
      <c r="T1603" s="11"/>
      <c r="U1603" s="124"/>
      <c r="V1603" s="11"/>
      <c r="W1603" s="124"/>
      <c r="X1603" s="128"/>
      <c r="Y1603" s="129"/>
    </row>
    <row r="1604" spans="14:25" x14ac:dyDescent="0.25">
      <c r="N1604" s="125"/>
      <c r="O1604" s="125"/>
      <c r="P1604" s="126"/>
      <c r="Q1604" s="62"/>
      <c r="R1604" s="62"/>
      <c r="S1604" s="127"/>
      <c r="T1604" s="11"/>
      <c r="U1604" s="124"/>
      <c r="V1604" s="11"/>
      <c r="W1604" s="124"/>
      <c r="X1604" s="128"/>
      <c r="Y1604" s="129"/>
    </row>
    <row r="1605" spans="14:25" x14ac:dyDescent="0.25">
      <c r="N1605" s="125"/>
      <c r="O1605" s="125"/>
      <c r="P1605" s="126"/>
      <c r="Q1605" s="62"/>
      <c r="R1605" s="62"/>
      <c r="S1605" s="127"/>
      <c r="T1605" s="11"/>
      <c r="U1605" s="124"/>
      <c r="V1605" s="11"/>
      <c r="W1605" s="124"/>
      <c r="X1605" s="128"/>
      <c r="Y1605" s="129"/>
    </row>
    <row r="1606" spans="14:25" x14ac:dyDescent="0.25">
      <c r="N1606" s="125"/>
      <c r="O1606" s="125"/>
      <c r="P1606" s="126"/>
      <c r="Q1606" s="62"/>
      <c r="R1606" s="62"/>
      <c r="S1606" s="127"/>
      <c r="T1606" s="11"/>
      <c r="U1606" s="124"/>
      <c r="V1606" s="11"/>
      <c r="W1606" s="124"/>
      <c r="X1606" s="128"/>
      <c r="Y1606" s="129"/>
    </row>
    <row r="1607" spans="14:25" x14ac:dyDescent="0.25">
      <c r="N1607" s="125"/>
      <c r="O1607" s="125"/>
      <c r="P1607" s="126"/>
      <c r="Q1607" s="62"/>
      <c r="R1607" s="62"/>
      <c r="S1607" s="127"/>
      <c r="T1607" s="11"/>
      <c r="U1607" s="124"/>
      <c r="V1607" s="11"/>
      <c r="W1607" s="124"/>
      <c r="X1607" s="128"/>
      <c r="Y1607" s="129"/>
    </row>
    <row r="1608" spans="14:25" x14ac:dyDescent="0.25">
      <c r="N1608" s="125"/>
      <c r="O1608" s="125"/>
      <c r="P1608" s="126"/>
      <c r="Q1608" s="62"/>
      <c r="R1608" s="62"/>
      <c r="S1608" s="127"/>
      <c r="T1608" s="11"/>
      <c r="U1608" s="124"/>
      <c r="V1608" s="11"/>
      <c r="W1608" s="124"/>
      <c r="X1608" s="128"/>
      <c r="Y1608" s="129"/>
    </row>
    <row r="1609" spans="14:25" x14ac:dyDescent="0.25">
      <c r="N1609" s="125"/>
      <c r="O1609" s="125"/>
      <c r="P1609" s="126"/>
      <c r="Q1609" s="62"/>
      <c r="R1609" s="62"/>
      <c r="S1609" s="127"/>
      <c r="T1609" s="11"/>
      <c r="U1609" s="124"/>
      <c r="V1609" s="11"/>
      <c r="W1609" s="124"/>
      <c r="X1609" s="128"/>
      <c r="Y1609" s="129"/>
    </row>
    <row r="1610" spans="14:25" x14ac:dyDescent="0.25">
      <c r="N1610" s="125"/>
      <c r="O1610" s="125"/>
      <c r="P1610" s="126"/>
      <c r="Q1610" s="62"/>
      <c r="R1610" s="62"/>
      <c r="S1610" s="127"/>
      <c r="T1610" s="11"/>
      <c r="U1610" s="124"/>
      <c r="V1610" s="11"/>
      <c r="W1610" s="124"/>
      <c r="X1610" s="128"/>
      <c r="Y1610" s="129"/>
    </row>
    <row r="1611" spans="14:25" x14ac:dyDescent="0.25">
      <c r="N1611" s="125"/>
      <c r="O1611" s="125"/>
      <c r="P1611" s="126"/>
      <c r="Q1611" s="62"/>
      <c r="R1611" s="62"/>
      <c r="S1611" s="127"/>
      <c r="T1611" s="11"/>
      <c r="U1611" s="124"/>
      <c r="V1611" s="11"/>
      <c r="W1611" s="124"/>
      <c r="X1611" s="128"/>
      <c r="Y1611" s="129"/>
    </row>
    <row r="1612" spans="14:25" x14ac:dyDescent="0.25">
      <c r="N1612" s="125"/>
      <c r="O1612" s="125"/>
      <c r="P1612" s="126"/>
      <c r="Q1612" s="62"/>
      <c r="R1612" s="62"/>
      <c r="S1612" s="127"/>
      <c r="T1612" s="11"/>
      <c r="U1612" s="124"/>
      <c r="V1612" s="11"/>
      <c r="W1612" s="124"/>
      <c r="X1612" s="128"/>
      <c r="Y1612" s="129"/>
    </row>
    <row r="1613" spans="14:25" x14ac:dyDescent="0.25">
      <c r="N1613" s="125"/>
      <c r="O1613" s="125"/>
      <c r="P1613" s="126"/>
      <c r="Q1613" s="62"/>
      <c r="R1613" s="62"/>
      <c r="S1613" s="127"/>
      <c r="T1613" s="11"/>
      <c r="U1613" s="124"/>
      <c r="V1613" s="11"/>
      <c r="W1613" s="124"/>
      <c r="X1613" s="128"/>
      <c r="Y1613" s="129"/>
    </row>
    <row r="1614" spans="14:25" x14ac:dyDescent="0.25">
      <c r="N1614" s="125"/>
      <c r="O1614" s="125"/>
      <c r="P1614" s="126"/>
      <c r="Q1614" s="62"/>
      <c r="R1614" s="62"/>
      <c r="S1614" s="127"/>
      <c r="T1614" s="11"/>
      <c r="U1614" s="124"/>
      <c r="V1614" s="11"/>
      <c r="W1614" s="124"/>
      <c r="X1614" s="128"/>
      <c r="Y1614" s="129"/>
    </row>
    <row r="1615" spans="14:25" x14ac:dyDescent="0.25">
      <c r="N1615" s="125"/>
      <c r="O1615" s="125"/>
      <c r="P1615" s="126"/>
      <c r="Q1615" s="62"/>
      <c r="R1615" s="62"/>
      <c r="S1615" s="127"/>
      <c r="T1615" s="11"/>
      <c r="U1615" s="124"/>
      <c r="V1615" s="11"/>
      <c r="W1615" s="124"/>
      <c r="X1615" s="128"/>
      <c r="Y1615" s="129"/>
    </row>
    <row r="1616" spans="14:25" x14ac:dyDescent="0.25">
      <c r="N1616" s="125"/>
      <c r="O1616" s="125"/>
      <c r="P1616" s="126"/>
      <c r="Q1616" s="62"/>
      <c r="R1616" s="62"/>
      <c r="S1616" s="127"/>
      <c r="T1616" s="11"/>
      <c r="U1616" s="124"/>
      <c r="V1616" s="11"/>
      <c r="W1616" s="124"/>
      <c r="X1616" s="128"/>
      <c r="Y1616" s="129"/>
    </row>
    <row r="1617" spans="14:25" x14ac:dyDescent="0.25">
      <c r="N1617" s="125"/>
      <c r="O1617" s="125"/>
      <c r="P1617" s="126"/>
      <c r="Q1617" s="62"/>
      <c r="R1617" s="62"/>
      <c r="S1617" s="127"/>
      <c r="T1617" s="11"/>
      <c r="U1617" s="124"/>
      <c r="V1617" s="11"/>
      <c r="W1617" s="124"/>
      <c r="X1617" s="128"/>
      <c r="Y1617" s="129"/>
    </row>
    <row r="1618" spans="14:25" x14ac:dyDescent="0.25">
      <c r="N1618" s="125"/>
      <c r="O1618" s="125"/>
      <c r="P1618" s="126"/>
      <c r="Q1618" s="62"/>
      <c r="R1618" s="62"/>
      <c r="S1618" s="127"/>
      <c r="T1618" s="11"/>
      <c r="U1618" s="124"/>
      <c r="V1618" s="11"/>
      <c r="W1618" s="124"/>
      <c r="X1618" s="128"/>
      <c r="Y1618" s="129"/>
    </row>
    <row r="1619" spans="14:25" x14ac:dyDescent="0.25">
      <c r="N1619" s="125"/>
      <c r="O1619" s="125"/>
      <c r="P1619" s="126"/>
      <c r="Q1619" s="62"/>
      <c r="R1619" s="62"/>
      <c r="S1619" s="127"/>
      <c r="T1619" s="11"/>
      <c r="U1619" s="124"/>
      <c r="V1619" s="11"/>
      <c r="W1619" s="124"/>
      <c r="X1619" s="128"/>
      <c r="Y1619" s="129"/>
    </row>
    <row r="1620" spans="14:25" x14ac:dyDescent="0.25">
      <c r="N1620" s="125"/>
      <c r="O1620" s="125"/>
      <c r="P1620" s="126"/>
      <c r="Q1620" s="62"/>
      <c r="R1620" s="62"/>
      <c r="S1620" s="127"/>
      <c r="T1620" s="11"/>
      <c r="U1620" s="124"/>
      <c r="V1620" s="11"/>
      <c r="W1620" s="124"/>
      <c r="X1620" s="128"/>
      <c r="Y1620" s="129"/>
    </row>
    <row r="1621" spans="14:25" x14ac:dyDescent="0.25">
      <c r="N1621" s="125"/>
      <c r="O1621" s="125"/>
      <c r="P1621" s="126"/>
      <c r="Q1621" s="62"/>
      <c r="R1621" s="62"/>
      <c r="S1621" s="127"/>
      <c r="T1621" s="11"/>
      <c r="U1621" s="124"/>
      <c r="V1621" s="11"/>
      <c r="W1621" s="124"/>
      <c r="X1621" s="128"/>
      <c r="Y1621" s="129"/>
    </row>
    <row r="1622" spans="14:25" x14ac:dyDescent="0.25">
      <c r="N1622" s="125"/>
      <c r="O1622" s="125"/>
      <c r="P1622" s="126"/>
      <c r="Q1622" s="62"/>
      <c r="R1622" s="62"/>
      <c r="S1622" s="127"/>
      <c r="T1622" s="11"/>
      <c r="U1622" s="124"/>
      <c r="V1622" s="11"/>
      <c r="W1622" s="124"/>
      <c r="X1622" s="128"/>
      <c r="Y1622" s="129"/>
    </row>
    <row r="1623" spans="14:25" x14ac:dyDescent="0.25">
      <c r="N1623" s="125"/>
      <c r="O1623" s="125"/>
      <c r="P1623" s="126"/>
      <c r="Q1623" s="62"/>
      <c r="R1623" s="62"/>
      <c r="S1623" s="127"/>
      <c r="T1623" s="11"/>
      <c r="U1623" s="124"/>
      <c r="V1623" s="11"/>
      <c r="W1623" s="124"/>
      <c r="X1623" s="128"/>
      <c r="Y1623" s="129"/>
    </row>
    <row r="1624" spans="14:25" x14ac:dyDescent="0.25">
      <c r="N1624" s="125"/>
      <c r="O1624" s="125"/>
      <c r="P1624" s="126"/>
      <c r="Q1624" s="62"/>
      <c r="R1624" s="62"/>
      <c r="S1624" s="127"/>
      <c r="T1624" s="11"/>
      <c r="U1624" s="124"/>
      <c r="V1624" s="11"/>
      <c r="W1624" s="124"/>
      <c r="X1624" s="128"/>
      <c r="Y1624" s="129"/>
    </row>
    <row r="1625" spans="14:25" x14ac:dyDescent="0.25">
      <c r="N1625" s="125"/>
      <c r="O1625" s="125"/>
      <c r="P1625" s="126"/>
      <c r="Q1625" s="62"/>
      <c r="R1625" s="62"/>
      <c r="S1625" s="127"/>
      <c r="T1625" s="11"/>
      <c r="U1625" s="124"/>
      <c r="V1625" s="11"/>
      <c r="W1625" s="124"/>
      <c r="X1625" s="128"/>
      <c r="Y1625" s="129"/>
    </row>
    <row r="1626" spans="14:25" x14ac:dyDescent="0.25">
      <c r="N1626" s="125"/>
      <c r="O1626" s="125"/>
      <c r="P1626" s="126"/>
      <c r="Q1626" s="62"/>
      <c r="R1626" s="62"/>
      <c r="S1626" s="127"/>
      <c r="T1626" s="11"/>
      <c r="U1626" s="124"/>
      <c r="V1626" s="11"/>
      <c r="W1626" s="124"/>
      <c r="X1626" s="128"/>
      <c r="Y1626" s="129"/>
    </row>
    <row r="1627" spans="14:25" x14ac:dyDescent="0.25">
      <c r="N1627" s="125"/>
      <c r="O1627" s="125"/>
      <c r="P1627" s="126"/>
      <c r="Q1627" s="62"/>
      <c r="R1627" s="62"/>
      <c r="S1627" s="127"/>
      <c r="T1627" s="11"/>
      <c r="U1627" s="124"/>
      <c r="V1627" s="11"/>
      <c r="W1627" s="124"/>
      <c r="X1627" s="128"/>
      <c r="Y1627" s="129"/>
    </row>
    <row r="1628" spans="14:25" x14ac:dyDescent="0.25">
      <c r="N1628" s="125"/>
      <c r="O1628" s="125"/>
      <c r="P1628" s="126"/>
      <c r="Q1628" s="62"/>
      <c r="R1628" s="62"/>
      <c r="S1628" s="127"/>
      <c r="T1628" s="11"/>
      <c r="U1628" s="124"/>
      <c r="V1628" s="11"/>
      <c r="W1628" s="124"/>
      <c r="X1628" s="128"/>
      <c r="Y1628" s="129"/>
    </row>
    <row r="1629" spans="14:25" x14ac:dyDescent="0.25">
      <c r="N1629" s="125"/>
      <c r="O1629" s="125"/>
      <c r="P1629" s="126"/>
      <c r="Q1629" s="62"/>
      <c r="R1629" s="62"/>
      <c r="S1629" s="127"/>
      <c r="T1629" s="11"/>
      <c r="U1629" s="124"/>
      <c r="V1629" s="11"/>
      <c r="W1629" s="124"/>
      <c r="X1629" s="128"/>
      <c r="Y1629" s="129"/>
    </row>
    <row r="1630" spans="14:25" x14ac:dyDescent="0.25">
      <c r="N1630" s="125"/>
      <c r="O1630" s="125"/>
      <c r="P1630" s="126"/>
      <c r="Q1630" s="62"/>
      <c r="R1630" s="62"/>
      <c r="S1630" s="127"/>
      <c r="T1630" s="11"/>
      <c r="U1630" s="124"/>
      <c r="V1630" s="11"/>
      <c r="W1630" s="124"/>
      <c r="X1630" s="128"/>
      <c r="Y1630" s="129"/>
    </row>
    <row r="1631" spans="14:25" x14ac:dyDescent="0.25">
      <c r="N1631" s="125"/>
      <c r="O1631" s="125"/>
      <c r="P1631" s="126"/>
      <c r="Q1631" s="62"/>
      <c r="R1631" s="62"/>
      <c r="S1631" s="127"/>
      <c r="T1631" s="11"/>
      <c r="U1631" s="124"/>
      <c r="V1631" s="11"/>
      <c r="W1631" s="124"/>
      <c r="X1631" s="128"/>
      <c r="Y1631" s="129"/>
    </row>
    <row r="1632" spans="14:25" x14ac:dyDescent="0.25">
      <c r="N1632" s="125"/>
      <c r="O1632" s="125"/>
      <c r="P1632" s="126"/>
      <c r="Q1632" s="62"/>
      <c r="R1632" s="62"/>
      <c r="S1632" s="127"/>
      <c r="T1632" s="11"/>
      <c r="U1632" s="124"/>
      <c r="V1632" s="11"/>
      <c r="W1632" s="124"/>
      <c r="X1632" s="128"/>
      <c r="Y1632" s="129"/>
    </row>
    <row r="1633" spans="14:25" x14ac:dyDescent="0.25">
      <c r="N1633" s="125"/>
      <c r="O1633" s="125"/>
      <c r="P1633" s="126"/>
      <c r="Q1633" s="62"/>
      <c r="R1633" s="62"/>
      <c r="S1633" s="127"/>
      <c r="T1633" s="11"/>
      <c r="U1633" s="124"/>
      <c r="V1633" s="11"/>
      <c r="W1633" s="124"/>
      <c r="X1633" s="128"/>
      <c r="Y1633" s="129"/>
    </row>
    <row r="1634" spans="14:25" x14ac:dyDescent="0.25">
      <c r="N1634" s="125"/>
      <c r="O1634" s="125"/>
      <c r="P1634" s="126"/>
      <c r="Q1634" s="62"/>
      <c r="R1634" s="62"/>
      <c r="S1634" s="127"/>
      <c r="T1634" s="11"/>
      <c r="U1634" s="124"/>
      <c r="V1634" s="11"/>
      <c r="W1634" s="124"/>
      <c r="X1634" s="128"/>
      <c r="Y1634" s="129"/>
    </row>
    <row r="1635" spans="14:25" x14ac:dyDescent="0.25">
      <c r="N1635" s="125"/>
      <c r="O1635" s="125"/>
      <c r="P1635" s="126"/>
      <c r="Q1635" s="62"/>
      <c r="R1635" s="62"/>
      <c r="S1635" s="127"/>
      <c r="T1635" s="11"/>
      <c r="U1635" s="124"/>
      <c r="V1635" s="11"/>
      <c r="W1635" s="124"/>
      <c r="X1635" s="128"/>
      <c r="Y1635" s="129"/>
    </row>
    <row r="1636" spans="14:25" x14ac:dyDescent="0.25">
      <c r="N1636" s="125"/>
      <c r="O1636" s="125"/>
      <c r="P1636" s="126"/>
      <c r="Q1636" s="62"/>
      <c r="R1636" s="62"/>
      <c r="S1636" s="127"/>
      <c r="T1636" s="11"/>
      <c r="U1636" s="124"/>
      <c r="V1636" s="11"/>
      <c r="W1636" s="124"/>
      <c r="X1636" s="128"/>
      <c r="Y1636" s="129"/>
    </row>
    <row r="1637" spans="14:25" x14ac:dyDescent="0.25">
      <c r="N1637" s="125"/>
      <c r="O1637" s="125"/>
      <c r="P1637" s="126"/>
      <c r="Q1637" s="62"/>
      <c r="R1637" s="62"/>
      <c r="S1637" s="127"/>
      <c r="T1637" s="11"/>
      <c r="U1637" s="124"/>
      <c r="V1637" s="11"/>
      <c r="W1637" s="124"/>
      <c r="X1637" s="128"/>
      <c r="Y1637" s="129"/>
    </row>
    <row r="1638" spans="14:25" x14ac:dyDescent="0.25">
      <c r="N1638" s="125"/>
      <c r="O1638" s="125"/>
      <c r="P1638" s="126"/>
      <c r="Q1638" s="62"/>
      <c r="R1638" s="62"/>
      <c r="S1638" s="127"/>
      <c r="T1638" s="11"/>
      <c r="U1638" s="124"/>
      <c r="V1638" s="11"/>
      <c r="W1638" s="124"/>
      <c r="X1638" s="128"/>
      <c r="Y1638" s="129"/>
    </row>
    <row r="1639" spans="14:25" x14ac:dyDescent="0.25">
      <c r="N1639" s="125"/>
      <c r="O1639" s="125"/>
      <c r="P1639" s="126"/>
      <c r="Q1639" s="62"/>
      <c r="R1639" s="62"/>
      <c r="S1639" s="127"/>
      <c r="T1639" s="11"/>
      <c r="U1639" s="124"/>
      <c r="V1639" s="11"/>
      <c r="W1639" s="124"/>
      <c r="X1639" s="128"/>
      <c r="Y1639" s="129"/>
    </row>
    <row r="1640" spans="14:25" x14ac:dyDescent="0.25">
      <c r="N1640" s="125"/>
      <c r="O1640" s="125"/>
      <c r="P1640" s="126"/>
      <c r="Q1640" s="62"/>
      <c r="R1640" s="62"/>
      <c r="S1640" s="127"/>
      <c r="T1640" s="11"/>
      <c r="U1640" s="124"/>
      <c r="V1640" s="11"/>
      <c r="W1640" s="124"/>
      <c r="X1640" s="128"/>
      <c r="Y1640" s="129"/>
    </row>
    <row r="1641" spans="14:25" x14ac:dyDescent="0.25">
      <c r="N1641" s="125"/>
      <c r="O1641" s="125"/>
      <c r="P1641" s="126"/>
      <c r="Q1641" s="62"/>
      <c r="R1641" s="62"/>
      <c r="S1641" s="127"/>
      <c r="T1641" s="11"/>
      <c r="U1641" s="124"/>
      <c r="V1641" s="11"/>
      <c r="W1641" s="124"/>
      <c r="X1641" s="128"/>
      <c r="Y1641" s="129"/>
    </row>
    <row r="1642" spans="14:25" x14ac:dyDescent="0.25">
      <c r="N1642" s="125"/>
      <c r="O1642" s="125"/>
      <c r="P1642" s="126"/>
      <c r="Q1642" s="62"/>
      <c r="R1642" s="62"/>
      <c r="S1642" s="127"/>
      <c r="T1642" s="11"/>
      <c r="U1642" s="124"/>
      <c r="V1642" s="11"/>
      <c r="W1642" s="124"/>
      <c r="X1642" s="128"/>
      <c r="Y1642" s="129"/>
    </row>
    <row r="1643" spans="14:25" x14ac:dyDescent="0.25">
      <c r="N1643" s="125"/>
      <c r="O1643" s="125"/>
      <c r="P1643" s="126"/>
      <c r="Q1643" s="62"/>
      <c r="R1643" s="62"/>
      <c r="S1643" s="127"/>
      <c r="T1643" s="11"/>
      <c r="U1643" s="124"/>
      <c r="V1643" s="11"/>
      <c r="W1643" s="124"/>
      <c r="X1643" s="128"/>
      <c r="Y1643" s="129"/>
    </row>
    <row r="1644" spans="14:25" x14ac:dyDescent="0.25">
      <c r="N1644" s="125"/>
      <c r="O1644" s="125"/>
      <c r="P1644" s="126"/>
      <c r="Q1644" s="62"/>
      <c r="R1644" s="62"/>
      <c r="S1644" s="127"/>
      <c r="T1644" s="11"/>
      <c r="U1644" s="124"/>
      <c r="V1644" s="11"/>
      <c r="W1644" s="124"/>
      <c r="X1644" s="128"/>
      <c r="Y1644" s="129"/>
    </row>
    <row r="1645" spans="14:25" x14ac:dyDescent="0.25">
      <c r="N1645" s="125"/>
      <c r="O1645" s="125"/>
      <c r="P1645" s="126"/>
      <c r="Q1645" s="62"/>
      <c r="R1645" s="62"/>
      <c r="S1645" s="127"/>
      <c r="T1645" s="11"/>
      <c r="U1645" s="124"/>
      <c r="V1645" s="11"/>
      <c r="W1645" s="124"/>
      <c r="X1645" s="128"/>
      <c r="Y1645" s="129"/>
    </row>
    <row r="1646" spans="14:25" x14ac:dyDescent="0.25">
      <c r="N1646" s="125"/>
      <c r="O1646" s="125"/>
      <c r="P1646" s="126"/>
      <c r="Q1646" s="62"/>
      <c r="R1646" s="62"/>
      <c r="S1646" s="127"/>
      <c r="T1646" s="11"/>
      <c r="U1646" s="124"/>
      <c r="V1646" s="11"/>
      <c r="W1646" s="124"/>
      <c r="X1646" s="128"/>
      <c r="Y1646" s="129"/>
    </row>
    <row r="1647" spans="14:25" x14ac:dyDescent="0.25">
      <c r="N1647" s="125"/>
      <c r="O1647" s="125"/>
      <c r="P1647" s="126"/>
      <c r="Q1647" s="62"/>
      <c r="R1647" s="62"/>
      <c r="S1647" s="127"/>
      <c r="T1647" s="11"/>
      <c r="U1647" s="124"/>
      <c r="V1647" s="11"/>
      <c r="W1647" s="124"/>
      <c r="X1647" s="128"/>
      <c r="Y1647" s="129"/>
    </row>
    <row r="1648" spans="14:25" x14ac:dyDescent="0.25">
      <c r="N1648" s="125"/>
      <c r="O1648" s="125"/>
      <c r="P1648" s="126"/>
      <c r="Q1648" s="62"/>
      <c r="R1648" s="62"/>
      <c r="S1648" s="127"/>
      <c r="T1648" s="11"/>
      <c r="U1648" s="124"/>
      <c r="V1648" s="11"/>
      <c r="W1648" s="124"/>
      <c r="X1648" s="128"/>
      <c r="Y1648" s="129"/>
    </row>
    <row r="1649" spans="14:25" x14ac:dyDescent="0.25">
      <c r="N1649" s="125"/>
      <c r="O1649" s="125"/>
      <c r="P1649" s="126"/>
      <c r="Q1649" s="62"/>
      <c r="R1649" s="62"/>
      <c r="S1649" s="127"/>
      <c r="T1649" s="11"/>
      <c r="U1649" s="124"/>
      <c r="V1649" s="11"/>
      <c r="W1649" s="124"/>
      <c r="X1649" s="128"/>
      <c r="Y1649" s="129"/>
    </row>
    <row r="1650" spans="14:25" x14ac:dyDescent="0.25">
      <c r="N1650" s="125"/>
      <c r="O1650" s="125"/>
      <c r="P1650" s="126"/>
      <c r="Q1650" s="62"/>
      <c r="R1650" s="62"/>
      <c r="S1650" s="127"/>
      <c r="T1650" s="11"/>
      <c r="U1650" s="124"/>
      <c r="V1650" s="11"/>
      <c r="W1650" s="124"/>
      <c r="X1650" s="128"/>
      <c r="Y1650" s="129"/>
    </row>
    <row r="1651" spans="14:25" x14ac:dyDescent="0.25">
      <c r="N1651" s="125"/>
      <c r="O1651" s="125"/>
      <c r="P1651" s="126"/>
      <c r="Q1651" s="62"/>
      <c r="R1651" s="62"/>
      <c r="S1651" s="127"/>
      <c r="T1651" s="11"/>
      <c r="U1651" s="124"/>
      <c r="V1651" s="11"/>
      <c r="W1651" s="124"/>
      <c r="X1651" s="128"/>
      <c r="Y1651" s="129"/>
    </row>
    <row r="1652" spans="14:25" x14ac:dyDescent="0.25">
      <c r="N1652" s="125"/>
      <c r="O1652" s="125"/>
      <c r="P1652" s="126"/>
      <c r="Q1652" s="62"/>
      <c r="R1652" s="62"/>
      <c r="S1652" s="127"/>
      <c r="T1652" s="11"/>
      <c r="U1652" s="124"/>
      <c r="V1652" s="11"/>
      <c r="W1652" s="124"/>
      <c r="X1652" s="128"/>
      <c r="Y1652" s="129"/>
    </row>
    <row r="1653" spans="14:25" x14ac:dyDescent="0.25">
      <c r="N1653" s="125"/>
      <c r="O1653" s="125"/>
      <c r="P1653" s="126"/>
      <c r="Q1653" s="62"/>
      <c r="R1653" s="62"/>
      <c r="S1653" s="127"/>
      <c r="T1653" s="11"/>
      <c r="U1653" s="124"/>
      <c r="V1653" s="11"/>
      <c r="W1653" s="124"/>
      <c r="X1653" s="128"/>
      <c r="Y1653" s="129"/>
    </row>
    <row r="1654" spans="14:25" x14ac:dyDescent="0.25">
      <c r="N1654" s="125"/>
      <c r="O1654" s="125"/>
      <c r="P1654" s="126"/>
      <c r="Q1654" s="62"/>
      <c r="R1654" s="62"/>
      <c r="S1654" s="127"/>
      <c r="T1654" s="11"/>
      <c r="U1654" s="124"/>
      <c r="V1654" s="11"/>
      <c r="W1654" s="124"/>
      <c r="X1654" s="128"/>
      <c r="Y1654" s="129"/>
    </row>
    <row r="1655" spans="14:25" x14ac:dyDescent="0.25">
      <c r="N1655" s="125"/>
      <c r="O1655" s="125"/>
      <c r="P1655" s="126"/>
      <c r="Q1655" s="62"/>
      <c r="R1655" s="62"/>
      <c r="S1655" s="127"/>
      <c r="T1655" s="11"/>
      <c r="U1655" s="124"/>
      <c r="V1655" s="11"/>
      <c r="W1655" s="124"/>
      <c r="X1655" s="128"/>
      <c r="Y1655" s="129"/>
    </row>
    <row r="1656" spans="14:25" x14ac:dyDescent="0.25">
      <c r="N1656" s="125"/>
      <c r="O1656" s="125"/>
      <c r="P1656" s="126"/>
      <c r="Q1656" s="62"/>
      <c r="R1656" s="62"/>
      <c r="S1656" s="127"/>
      <c r="T1656" s="11"/>
      <c r="U1656" s="124"/>
      <c r="V1656" s="11"/>
      <c r="W1656" s="124"/>
      <c r="X1656" s="128"/>
      <c r="Y1656" s="129"/>
    </row>
    <row r="1657" spans="14:25" x14ac:dyDescent="0.25">
      <c r="N1657" s="125"/>
      <c r="O1657" s="125"/>
      <c r="P1657" s="126"/>
      <c r="Q1657" s="62"/>
      <c r="R1657" s="62"/>
      <c r="S1657" s="127"/>
      <c r="T1657" s="11"/>
      <c r="U1657" s="124"/>
      <c r="V1657" s="11"/>
      <c r="W1657" s="124"/>
      <c r="X1657" s="128"/>
      <c r="Y1657" s="129"/>
    </row>
    <row r="1658" spans="14:25" x14ac:dyDescent="0.25">
      <c r="N1658" s="125"/>
      <c r="O1658" s="125"/>
      <c r="P1658" s="126"/>
      <c r="Q1658" s="62"/>
      <c r="R1658" s="62"/>
      <c r="S1658" s="127"/>
      <c r="T1658" s="11"/>
      <c r="U1658" s="124"/>
      <c r="V1658" s="11"/>
      <c r="W1658" s="124"/>
      <c r="X1658" s="128"/>
      <c r="Y1658" s="129"/>
    </row>
    <row r="1659" spans="14:25" x14ac:dyDescent="0.25">
      <c r="N1659" s="125"/>
      <c r="O1659" s="125"/>
      <c r="P1659" s="126"/>
      <c r="Q1659" s="62"/>
      <c r="R1659" s="62"/>
      <c r="S1659" s="127"/>
      <c r="T1659" s="11"/>
      <c r="U1659" s="124"/>
      <c r="V1659" s="11"/>
      <c r="W1659" s="124"/>
      <c r="X1659" s="128"/>
      <c r="Y1659" s="129"/>
    </row>
    <row r="1660" spans="14:25" x14ac:dyDescent="0.25">
      <c r="N1660" s="125"/>
      <c r="O1660" s="125"/>
      <c r="P1660" s="126"/>
      <c r="Q1660" s="62"/>
      <c r="R1660" s="62"/>
      <c r="S1660" s="127"/>
      <c r="T1660" s="11"/>
      <c r="U1660" s="124"/>
      <c r="V1660" s="11"/>
      <c r="W1660" s="124"/>
      <c r="X1660" s="128"/>
      <c r="Y1660" s="129"/>
    </row>
    <row r="1661" spans="14:25" x14ac:dyDescent="0.25">
      <c r="N1661" s="125"/>
      <c r="O1661" s="125"/>
      <c r="P1661" s="126"/>
      <c r="Q1661" s="62"/>
      <c r="R1661" s="62"/>
      <c r="S1661" s="127"/>
      <c r="T1661" s="11"/>
      <c r="U1661" s="124"/>
      <c r="V1661" s="11"/>
      <c r="W1661" s="124"/>
      <c r="X1661" s="128"/>
      <c r="Y1661" s="129"/>
    </row>
    <row r="1662" spans="14:25" x14ac:dyDescent="0.25">
      <c r="N1662" s="125"/>
      <c r="O1662" s="125"/>
      <c r="P1662" s="126"/>
      <c r="Q1662" s="62"/>
      <c r="R1662" s="62"/>
      <c r="S1662" s="127"/>
      <c r="T1662" s="11"/>
      <c r="U1662" s="124"/>
      <c r="V1662" s="11"/>
      <c r="W1662" s="124"/>
      <c r="X1662" s="128"/>
      <c r="Y1662" s="129"/>
    </row>
    <row r="1663" spans="14:25" x14ac:dyDescent="0.25">
      <c r="N1663" s="125"/>
      <c r="O1663" s="125"/>
      <c r="P1663" s="126"/>
      <c r="Q1663" s="62"/>
      <c r="R1663" s="62"/>
      <c r="S1663" s="127"/>
      <c r="T1663" s="11"/>
      <c r="U1663" s="124"/>
      <c r="V1663" s="11"/>
      <c r="W1663" s="124"/>
      <c r="X1663" s="128"/>
      <c r="Y1663" s="129"/>
    </row>
    <row r="1664" spans="14:25" x14ac:dyDescent="0.25">
      <c r="N1664" s="125"/>
      <c r="O1664" s="125"/>
      <c r="P1664" s="126"/>
      <c r="Q1664" s="62"/>
      <c r="R1664" s="62"/>
      <c r="S1664" s="127"/>
      <c r="T1664" s="11"/>
      <c r="U1664" s="124"/>
      <c r="V1664" s="11"/>
      <c r="W1664" s="124"/>
      <c r="X1664" s="128"/>
      <c r="Y1664" s="129"/>
    </row>
    <row r="1665" spans="14:25" x14ac:dyDescent="0.25">
      <c r="N1665" s="125"/>
      <c r="O1665" s="125"/>
      <c r="P1665" s="126"/>
      <c r="Q1665" s="62"/>
      <c r="R1665" s="62"/>
      <c r="S1665" s="127"/>
      <c r="T1665" s="11"/>
      <c r="U1665" s="124"/>
      <c r="V1665" s="11"/>
      <c r="W1665" s="124"/>
      <c r="X1665" s="128"/>
      <c r="Y1665" s="129"/>
    </row>
    <row r="1666" spans="14:25" x14ac:dyDescent="0.25">
      <c r="N1666" s="125"/>
      <c r="O1666" s="125"/>
      <c r="P1666" s="126"/>
      <c r="Q1666" s="62"/>
      <c r="R1666" s="62"/>
      <c r="S1666" s="127"/>
      <c r="T1666" s="11"/>
      <c r="U1666" s="124"/>
      <c r="V1666" s="11"/>
      <c r="W1666" s="124"/>
      <c r="X1666" s="128"/>
      <c r="Y1666" s="129"/>
    </row>
    <row r="1667" spans="14:25" x14ac:dyDescent="0.25">
      <c r="N1667" s="125"/>
      <c r="O1667" s="125"/>
      <c r="P1667" s="126"/>
      <c r="Q1667" s="62"/>
      <c r="R1667" s="62"/>
      <c r="S1667" s="127"/>
      <c r="T1667" s="11"/>
      <c r="U1667" s="124"/>
      <c r="V1667" s="11"/>
      <c r="W1667" s="124"/>
      <c r="X1667" s="128"/>
      <c r="Y1667" s="129"/>
    </row>
    <row r="1668" spans="14:25" x14ac:dyDescent="0.25">
      <c r="N1668" s="125"/>
      <c r="O1668" s="125"/>
      <c r="P1668" s="126"/>
      <c r="Q1668" s="62"/>
      <c r="R1668" s="62"/>
      <c r="S1668" s="127"/>
      <c r="T1668" s="11"/>
      <c r="U1668" s="124"/>
      <c r="V1668" s="11"/>
      <c r="W1668" s="124"/>
      <c r="X1668" s="128"/>
      <c r="Y1668" s="129"/>
    </row>
    <row r="1669" spans="14:25" x14ac:dyDescent="0.25">
      <c r="N1669" s="125"/>
      <c r="O1669" s="125"/>
      <c r="P1669" s="126"/>
      <c r="Q1669" s="62"/>
      <c r="R1669" s="62"/>
      <c r="S1669" s="127"/>
      <c r="T1669" s="11"/>
      <c r="U1669" s="124"/>
      <c r="V1669" s="11"/>
      <c r="W1669" s="124"/>
      <c r="X1669" s="128"/>
      <c r="Y1669" s="129"/>
    </row>
    <row r="1670" spans="14:25" x14ac:dyDescent="0.25">
      <c r="N1670" s="125"/>
      <c r="O1670" s="125"/>
      <c r="P1670" s="126"/>
      <c r="Q1670" s="62"/>
      <c r="R1670" s="62"/>
      <c r="S1670" s="127"/>
      <c r="T1670" s="11"/>
      <c r="U1670" s="124"/>
      <c r="V1670" s="11"/>
      <c r="W1670" s="124"/>
      <c r="X1670" s="128"/>
      <c r="Y1670" s="129"/>
    </row>
    <row r="1671" spans="14:25" x14ac:dyDescent="0.25">
      <c r="N1671" s="125"/>
      <c r="O1671" s="125"/>
      <c r="P1671" s="126"/>
      <c r="Q1671" s="62"/>
      <c r="R1671" s="62"/>
      <c r="S1671" s="127"/>
      <c r="T1671" s="11"/>
      <c r="U1671" s="124"/>
      <c r="V1671" s="11"/>
      <c r="W1671" s="124"/>
      <c r="X1671" s="128"/>
      <c r="Y1671" s="129"/>
    </row>
    <row r="1672" spans="14:25" x14ac:dyDescent="0.25">
      <c r="N1672" s="125"/>
      <c r="O1672" s="125"/>
      <c r="P1672" s="126"/>
      <c r="Q1672" s="62"/>
      <c r="R1672" s="62"/>
      <c r="S1672" s="127"/>
      <c r="T1672" s="11"/>
      <c r="U1672" s="124"/>
      <c r="V1672" s="11"/>
      <c r="W1672" s="124"/>
      <c r="X1672" s="128"/>
      <c r="Y1672" s="129"/>
    </row>
    <row r="1673" spans="14:25" x14ac:dyDescent="0.25">
      <c r="N1673" s="125"/>
      <c r="O1673" s="125"/>
      <c r="P1673" s="126"/>
      <c r="Q1673" s="62"/>
      <c r="R1673" s="62"/>
      <c r="S1673" s="127"/>
      <c r="T1673" s="11"/>
      <c r="U1673" s="124"/>
      <c r="V1673" s="11"/>
      <c r="W1673" s="124"/>
      <c r="X1673" s="128"/>
      <c r="Y1673" s="129"/>
    </row>
    <row r="1674" spans="14:25" x14ac:dyDescent="0.25">
      <c r="N1674" s="125"/>
      <c r="O1674" s="125"/>
      <c r="P1674" s="126"/>
      <c r="Q1674" s="62"/>
      <c r="R1674" s="62"/>
      <c r="S1674" s="127"/>
      <c r="T1674" s="11"/>
      <c r="U1674" s="124"/>
      <c r="V1674" s="11"/>
      <c r="W1674" s="124"/>
      <c r="X1674" s="128"/>
      <c r="Y1674" s="129"/>
    </row>
    <row r="1675" spans="14:25" x14ac:dyDescent="0.25">
      <c r="N1675" s="125"/>
      <c r="O1675" s="125"/>
      <c r="P1675" s="126"/>
      <c r="Q1675" s="62"/>
      <c r="R1675" s="62"/>
      <c r="S1675" s="127"/>
      <c r="T1675" s="11"/>
      <c r="U1675" s="124"/>
      <c r="V1675" s="11"/>
      <c r="W1675" s="124"/>
      <c r="X1675" s="128"/>
      <c r="Y1675" s="129"/>
    </row>
    <row r="1676" spans="14:25" x14ac:dyDescent="0.25">
      <c r="N1676" s="125"/>
      <c r="O1676" s="125"/>
      <c r="P1676" s="126"/>
      <c r="Q1676" s="62"/>
      <c r="R1676" s="62"/>
      <c r="S1676" s="127"/>
      <c r="T1676" s="11"/>
      <c r="U1676" s="124"/>
      <c r="V1676" s="11"/>
      <c r="W1676" s="124"/>
      <c r="X1676" s="128"/>
      <c r="Y1676" s="129"/>
    </row>
    <row r="1677" spans="14:25" x14ac:dyDescent="0.25">
      <c r="N1677" s="125"/>
      <c r="O1677" s="125"/>
      <c r="P1677" s="126"/>
      <c r="Q1677" s="62"/>
      <c r="R1677" s="62"/>
      <c r="S1677" s="127"/>
      <c r="T1677" s="11"/>
      <c r="U1677" s="124"/>
      <c r="V1677" s="11"/>
      <c r="W1677" s="124"/>
      <c r="X1677" s="128"/>
      <c r="Y1677" s="129"/>
    </row>
    <row r="1678" spans="14:25" x14ac:dyDescent="0.25">
      <c r="N1678" s="125"/>
      <c r="O1678" s="125"/>
      <c r="P1678" s="126"/>
      <c r="Q1678" s="62"/>
      <c r="R1678" s="62"/>
      <c r="S1678" s="127"/>
      <c r="T1678" s="11"/>
      <c r="U1678" s="124"/>
      <c r="V1678" s="11"/>
      <c r="W1678" s="124"/>
      <c r="X1678" s="128"/>
      <c r="Y1678" s="129"/>
    </row>
    <row r="1679" spans="14:25" x14ac:dyDescent="0.25">
      <c r="N1679" s="125"/>
      <c r="O1679" s="125"/>
      <c r="P1679" s="126"/>
      <c r="Q1679" s="62"/>
      <c r="R1679" s="62"/>
      <c r="S1679" s="127"/>
      <c r="T1679" s="11"/>
      <c r="U1679" s="124"/>
      <c r="V1679" s="11"/>
      <c r="W1679" s="124"/>
      <c r="X1679" s="128"/>
      <c r="Y1679" s="129"/>
    </row>
    <row r="1680" spans="14:25" x14ac:dyDescent="0.25">
      <c r="N1680" s="125"/>
      <c r="O1680" s="125"/>
      <c r="P1680" s="126"/>
      <c r="Q1680" s="62"/>
      <c r="R1680" s="62"/>
      <c r="S1680" s="127"/>
      <c r="T1680" s="11"/>
      <c r="U1680" s="124"/>
      <c r="V1680" s="11"/>
      <c r="W1680" s="124"/>
      <c r="X1680" s="128"/>
      <c r="Y1680" s="129"/>
    </row>
    <row r="1681" spans="14:25" x14ac:dyDescent="0.25">
      <c r="N1681" s="125"/>
      <c r="O1681" s="125"/>
      <c r="P1681" s="126"/>
      <c r="Q1681" s="62"/>
      <c r="R1681" s="62"/>
      <c r="S1681" s="127"/>
      <c r="T1681" s="11"/>
      <c r="U1681" s="124"/>
      <c r="V1681" s="11"/>
      <c r="W1681" s="124"/>
      <c r="X1681" s="128"/>
      <c r="Y1681" s="129"/>
    </row>
    <row r="1682" spans="14:25" x14ac:dyDescent="0.25">
      <c r="N1682" s="125"/>
      <c r="O1682" s="125"/>
      <c r="P1682" s="126"/>
      <c r="Q1682" s="62"/>
      <c r="R1682" s="62"/>
      <c r="S1682" s="127"/>
      <c r="T1682" s="11"/>
      <c r="U1682" s="124"/>
      <c r="V1682" s="11"/>
      <c r="W1682" s="124"/>
      <c r="X1682" s="128"/>
      <c r="Y1682" s="129"/>
    </row>
    <row r="1683" spans="14:25" x14ac:dyDescent="0.25">
      <c r="N1683" s="125"/>
      <c r="O1683" s="125"/>
      <c r="P1683" s="126"/>
      <c r="Q1683" s="62"/>
      <c r="R1683" s="62"/>
      <c r="S1683" s="127"/>
      <c r="T1683" s="11"/>
      <c r="U1683" s="124"/>
      <c r="V1683" s="11"/>
      <c r="W1683" s="124"/>
      <c r="X1683" s="128"/>
      <c r="Y1683" s="129"/>
    </row>
    <row r="1684" spans="14:25" x14ac:dyDescent="0.25">
      <c r="N1684" s="125"/>
      <c r="O1684" s="125"/>
      <c r="P1684" s="126"/>
      <c r="Q1684" s="62"/>
      <c r="R1684" s="62"/>
      <c r="S1684" s="127"/>
      <c r="T1684" s="11"/>
      <c r="U1684" s="124"/>
      <c r="V1684" s="11"/>
      <c r="W1684" s="124"/>
      <c r="X1684" s="128"/>
      <c r="Y1684" s="129"/>
    </row>
    <row r="1685" spans="14:25" x14ac:dyDescent="0.25">
      <c r="N1685" s="125"/>
      <c r="O1685" s="125"/>
      <c r="P1685" s="126"/>
      <c r="Q1685" s="62"/>
      <c r="R1685" s="62"/>
      <c r="S1685" s="127"/>
      <c r="T1685" s="11"/>
      <c r="U1685" s="124"/>
      <c r="V1685" s="11"/>
      <c r="W1685" s="124"/>
      <c r="X1685" s="128"/>
      <c r="Y1685" s="129"/>
    </row>
    <row r="1686" spans="14:25" x14ac:dyDescent="0.25">
      <c r="N1686" s="125"/>
      <c r="O1686" s="125"/>
      <c r="P1686" s="126"/>
      <c r="Q1686" s="62"/>
      <c r="R1686" s="62"/>
      <c r="S1686" s="127"/>
      <c r="T1686" s="11"/>
      <c r="U1686" s="124"/>
      <c r="V1686" s="11"/>
      <c r="W1686" s="124"/>
      <c r="X1686" s="128"/>
      <c r="Y1686" s="129"/>
    </row>
    <row r="1687" spans="14:25" x14ac:dyDescent="0.25">
      <c r="N1687" s="125"/>
      <c r="O1687" s="125"/>
      <c r="P1687" s="126"/>
      <c r="Q1687" s="62"/>
      <c r="R1687" s="62"/>
      <c r="S1687" s="127"/>
      <c r="T1687" s="11"/>
      <c r="U1687" s="124"/>
      <c r="V1687" s="11"/>
      <c r="W1687" s="124"/>
      <c r="X1687" s="128"/>
      <c r="Y1687" s="129"/>
    </row>
    <row r="1688" spans="14:25" x14ac:dyDescent="0.25">
      <c r="N1688" s="125"/>
      <c r="O1688" s="125"/>
      <c r="P1688" s="126"/>
      <c r="Q1688" s="62"/>
      <c r="R1688" s="62"/>
      <c r="S1688" s="127"/>
      <c r="T1688" s="11"/>
      <c r="U1688" s="124"/>
      <c r="V1688" s="11"/>
      <c r="W1688" s="124"/>
      <c r="X1688" s="128"/>
      <c r="Y1688" s="129"/>
    </row>
    <row r="1689" spans="14:25" x14ac:dyDescent="0.25">
      <c r="N1689" s="125"/>
      <c r="O1689" s="125"/>
      <c r="P1689" s="126"/>
      <c r="Q1689" s="62"/>
      <c r="R1689" s="62"/>
      <c r="S1689" s="127"/>
      <c r="T1689" s="11"/>
      <c r="U1689" s="124"/>
      <c r="V1689" s="11"/>
      <c r="W1689" s="124"/>
      <c r="X1689" s="128"/>
      <c r="Y1689" s="129"/>
    </row>
    <row r="1690" spans="14:25" x14ac:dyDescent="0.25">
      <c r="N1690" s="125"/>
      <c r="O1690" s="125"/>
      <c r="P1690" s="126"/>
      <c r="Q1690" s="62"/>
      <c r="R1690" s="62"/>
      <c r="S1690" s="127"/>
      <c r="T1690" s="11"/>
      <c r="U1690" s="124"/>
      <c r="V1690" s="11"/>
      <c r="W1690" s="124"/>
      <c r="X1690" s="128"/>
      <c r="Y1690" s="129"/>
    </row>
    <row r="1691" spans="14:25" x14ac:dyDescent="0.25">
      <c r="N1691" s="125"/>
      <c r="O1691" s="125"/>
      <c r="P1691" s="126"/>
      <c r="Q1691" s="62"/>
      <c r="R1691" s="62"/>
      <c r="S1691" s="127"/>
      <c r="T1691" s="11"/>
      <c r="U1691" s="124"/>
      <c r="V1691" s="11"/>
      <c r="W1691" s="124"/>
      <c r="X1691" s="128"/>
      <c r="Y1691" s="129"/>
    </row>
    <row r="1692" spans="14:25" x14ac:dyDescent="0.25">
      <c r="N1692" s="125"/>
      <c r="O1692" s="125"/>
      <c r="P1692" s="126"/>
      <c r="Q1692" s="62"/>
      <c r="R1692" s="62"/>
      <c r="S1692" s="127"/>
      <c r="T1692" s="11"/>
      <c r="U1692" s="124"/>
      <c r="V1692" s="11"/>
      <c r="W1692" s="124"/>
      <c r="X1692" s="128"/>
      <c r="Y1692" s="129"/>
    </row>
    <row r="1693" spans="14:25" x14ac:dyDescent="0.25">
      <c r="N1693" s="125"/>
      <c r="O1693" s="125"/>
      <c r="P1693" s="126"/>
      <c r="Q1693" s="62"/>
      <c r="R1693" s="62"/>
      <c r="S1693" s="127"/>
      <c r="T1693" s="11"/>
      <c r="U1693" s="124"/>
      <c r="V1693" s="11"/>
      <c r="W1693" s="124"/>
      <c r="X1693" s="128"/>
      <c r="Y1693" s="129"/>
    </row>
    <row r="1694" spans="14:25" x14ac:dyDescent="0.25">
      <c r="N1694" s="125"/>
      <c r="O1694" s="125"/>
      <c r="P1694" s="126"/>
      <c r="Q1694" s="62"/>
      <c r="R1694" s="62"/>
      <c r="S1694" s="127"/>
      <c r="T1694" s="11"/>
      <c r="U1694" s="124"/>
      <c r="V1694" s="11"/>
      <c r="W1694" s="124"/>
      <c r="X1694" s="128"/>
      <c r="Y1694" s="129"/>
    </row>
    <row r="1695" spans="14:25" x14ac:dyDescent="0.25">
      <c r="N1695" s="125"/>
      <c r="O1695" s="125"/>
      <c r="P1695" s="126"/>
      <c r="Q1695" s="62"/>
      <c r="R1695" s="62"/>
      <c r="S1695" s="127"/>
      <c r="T1695" s="11"/>
      <c r="U1695" s="124"/>
      <c r="V1695" s="11"/>
      <c r="W1695" s="124"/>
      <c r="X1695" s="128"/>
      <c r="Y1695" s="129"/>
    </row>
    <row r="1696" spans="14:25" x14ac:dyDescent="0.25">
      <c r="N1696" s="125"/>
      <c r="O1696" s="125"/>
      <c r="P1696" s="126"/>
      <c r="Q1696" s="62"/>
      <c r="R1696" s="62"/>
      <c r="S1696" s="127"/>
      <c r="T1696" s="11"/>
      <c r="U1696" s="124"/>
      <c r="V1696" s="11"/>
      <c r="W1696" s="124"/>
      <c r="X1696" s="128"/>
      <c r="Y1696" s="129"/>
    </row>
    <row r="1697" spans="14:25" x14ac:dyDescent="0.25">
      <c r="N1697" s="125"/>
      <c r="O1697" s="125"/>
      <c r="P1697" s="126"/>
      <c r="Q1697" s="62"/>
      <c r="R1697" s="62"/>
      <c r="S1697" s="127"/>
      <c r="T1697" s="11"/>
      <c r="U1697" s="124"/>
      <c r="V1697" s="11"/>
      <c r="W1697" s="124"/>
      <c r="X1697" s="128"/>
      <c r="Y1697" s="129"/>
    </row>
    <row r="1698" spans="14:25" x14ac:dyDescent="0.25">
      <c r="N1698" s="125"/>
      <c r="O1698" s="125"/>
      <c r="P1698" s="126"/>
      <c r="Q1698" s="62"/>
      <c r="R1698" s="62"/>
      <c r="S1698" s="127"/>
      <c r="T1698" s="11"/>
      <c r="U1698" s="124"/>
      <c r="V1698" s="11"/>
      <c r="W1698" s="124"/>
      <c r="X1698" s="128"/>
      <c r="Y1698" s="129"/>
    </row>
    <row r="1699" spans="14:25" x14ac:dyDescent="0.25">
      <c r="N1699" s="125"/>
      <c r="O1699" s="125"/>
      <c r="P1699" s="126"/>
      <c r="Q1699" s="62"/>
      <c r="R1699" s="62"/>
      <c r="S1699" s="127"/>
      <c r="T1699" s="11"/>
      <c r="U1699" s="124"/>
      <c r="V1699" s="11"/>
      <c r="W1699" s="124"/>
      <c r="X1699" s="128"/>
      <c r="Y1699" s="129"/>
    </row>
    <row r="1700" spans="14:25" x14ac:dyDescent="0.25">
      <c r="N1700" s="125"/>
      <c r="O1700" s="125"/>
      <c r="P1700" s="126"/>
      <c r="Q1700" s="62"/>
      <c r="R1700" s="62"/>
      <c r="S1700" s="127"/>
      <c r="T1700" s="11"/>
      <c r="U1700" s="124"/>
      <c r="V1700" s="11"/>
      <c r="W1700" s="124"/>
      <c r="X1700" s="128"/>
      <c r="Y1700" s="129"/>
    </row>
    <row r="1701" spans="14:25" x14ac:dyDescent="0.25">
      <c r="N1701" s="125"/>
      <c r="O1701" s="125"/>
      <c r="P1701" s="126"/>
      <c r="Q1701" s="62"/>
      <c r="R1701" s="62"/>
      <c r="S1701" s="127"/>
      <c r="T1701" s="11"/>
      <c r="U1701" s="124"/>
      <c r="V1701" s="11"/>
      <c r="W1701" s="124"/>
      <c r="X1701" s="128"/>
      <c r="Y1701" s="129"/>
    </row>
    <row r="1702" spans="14:25" x14ac:dyDescent="0.25">
      <c r="N1702" s="125"/>
      <c r="O1702" s="125"/>
      <c r="P1702" s="126"/>
      <c r="Q1702" s="62"/>
      <c r="R1702" s="62"/>
      <c r="S1702" s="127"/>
      <c r="T1702" s="11"/>
      <c r="U1702" s="124"/>
      <c r="V1702" s="11"/>
      <c r="W1702" s="124"/>
      <c r="X1702" s="128"/>
      <c r="Y1702" s="129"/>
    </row>
    <row r="1703" spans="14:25" x14ac:dyDescent="0.25">
      <c r="N1703" s="125"/>
      <c r="O1703" s="125"/>
      <c r="P1703" s="126"/>
      <c r="Q1703" s="62"/>
      <c r="R1703" s="62"/>
      <c r="S1703" s="127"/>
      <c r="T1703" s="11"/>
      <c r="U1703" s="124"/>
      <c r="V1703" s="11"/>
      <c r="W1703" s="124"/>
      <c r="X1703" s="128"/>
      <c r="Y1703" s="129"/>
    </row>
    <row r="1704" spans="14:25" x14ac:dyDescent="0.25">
      <c r="N1704" s="125"/>
      <c r="O1704" s="125"/>
      <c r="P1704" s="126"/>
      <c r="Q1704" s="62"/>
      <c r="R1704" s="62"/>
      <c r="S1704" s="127"/>
      <c r="T1704" s="11"/>
      <c r="U1704" s="124"/>
      <c r="V1704" s="11"/>
      <c r="W1704" s="124"/>
      <c r="X1704" s="128"/>
      <c r="Y1704" s="129"/>
    </row>
    <row r="1705" spans="14:25" x14ac:dyDescent="0.25">
      <c r="N1705" s="125"/>
      <c r="O1705" s="125"/>
      <c r="P1705" s="126"/>
      <c r="Q1705" s="62"/>
      <c r="R1705" s="62"/>
      <c r="S1705" s="127"/>
      <c r="T1705" s="11"/>
      <c r="U1705" s="124"/>
      <c r="V1705" s="11"/>
      <c r="W1705" s="124"/>
      <c r="X1705" s="128"/>
      <c r="Y1705" s="129"/>
    </row>
    <row r="1706" spans="14:25" x14ac:dyDescent="0.25">
      <c r="N1706" s="125"/>
      <c r="O1706" s="125"/>
      <c r="P1706" s="126"/>
      <c r="Q1706" s="62"/>
      <c r="R1706" s="62"/>
      <c r="S1706" s="127"/>
      <c r="T1706" s="11"/>
      <c r="U1706" s="124"/>
      <c r="V1706" s="11"/>
      <c r="W1706" s="124"/>
      <c r="X1706" s="128"/>
      <c r="Y1706" s="129"/>
    </row>
    <row r="1707" spans="14:25" x14ac:dyDescent="0.25">
      <c r="N1707" s="125"/>
      <c r="O1707" s="125"/>
      <c r="P1707" s="126"/>
      <c r="Q1707" s="62"/>
      <c r="R1707" s="62"/>
      <c r="S1707" s="127"/>
      <c r="T1707" s="11"/>
      <c r="U1707" s="124"/>
      <c r="V1707" s="11"/>
      <c r="W1707" s="124"/>
      <c r="X1707" s="128"/>
      <c r="Y1707" s="129"/>
    </row>
    <row r="1708" spans="14:25" x14ac:dyDescent="0.25">
      <c r="N1708" s="125"/>
      <c r="O1708" s="125"/>
      <c r="P1708" s="126"/>
      <c r="Q1708" s="62"/>
      <c r="R1708" s="62"/>
      <c r="S1708" s="127"/>
      <c r="T1708" s="11"/>
      <c r="U1708" s="124"/>
      <c r="V1708" s="11"/>
      <c r="W1708" s="124"/>
      <c r="X1708" s="128"/>
      <c r="Y1708" s="129"/>
    </row>
    <row r="1709" spans="14:25" x14ac:dyDescent="0.25">
      <c r="N1709" s="125"/>
      <c r="O1709" s="125"/>
      <c r="P1709" s="126"/>
      <c r="Q1709" s="62"/>
      <c r="R1709" s="62"/>
      <c r="S1709" s="127"/>
      <c r="T1709" s="11"/>
      <c r="U1709" s="124"/>
      <c r="V1709" s="11"/>
      <c r="W1709" s="124"/>
      <c r="X1709" s="128"/>
      <c r="Y1709" s="129"/>
    </row>
    <row r="1710" spans="14:25" x14ac:dyDescent="0.25">
      <c r="N1710" s="125"/>
      <c r="O1710" s="125"/>
      <c r="P1710" s="126"/>
      <c r="Q1710" s="62"/>
      <c r="R1710" s="62"/>
      <c r="S1710" s="127"/>
      <c r="T1710" s="11"/>
      <c r="U1710" s="124"/>
      <c r="V1710" s="11"/>
      <c r="W1710" s="124"/>
      <c r="X1710" s="128"/>
      <c r="Y1710" s="129"/>
    </row>
    <row r="1711" spans="14:25" x14ac:dyDescent="0.25">
      <c r="N1711" s="125"/>
      <c r="O1711" s="125"/>
      <c r="P1711" s="126"/>
      <c r="Q1711" s="62"/>
      <c r="R1711" s="62"/>
      <c r="S1711" s="127"/>
      <c r="T1711" s="11"/>
      <c r="U1711" s="124"/>
      <c r="V1711" s="11"/>
      <c r="W1711" s="124"/>
      <c r="X1711" s="128"/>
      <c r="Y1711" s="129"/>
    </row>
    <row r="1712" spans="14:25" x14ac:dyDescent="0.25">
      <c r="N1712" s="125"/>
      <c r="O1712" s="125"/>
      <c r="P1712" s="126"/>
      <c r="Q1712" s="62"/>
      <c r="R1712" s="62"/>
      <c r="S1712" s="127"/>
      <c r="T1712" s="11"/>
      <c r="U1712" s="124"/>
      <c r="V1712" s="11"/>
      <c r="W1712" s="124"/>
      <c r="X1712" s="128"/>
      <c r="Y1712" s="129"/>
    </row>
    <row r="1713" spans="14:25" x14ac:dyDescent="0.25">
      <c r="N1713" s="125"/>
      <c r="O1713" s="125"/>
      <c r="P1713" s="126"/>
      <c r="Q1713" s="62"/>
      <c r="R1713" s="62"/>
      <c r="S1713" s="127"/>
      <c r="T1713" s="11"/>
      <c r="U1713" s="124"/>
      <c r="V1713" s="11"/>
      <c r="W1713" s="124"/>
      <c r="X1713" s="128"/>
      <c r="Y1713" s="129"/>
    </row>
    <row r="1714" spans="14:25" x14ac:dyDescent="0.25">
      <c r="N1714" s="125"/>
      <c r="O1714" s="125"/>
      <c r="P1714" s="126"/>
      <c r="Q1714" s="62"/>
      <c r="R1714" s="62"/>
      <c r="S1714" s="127"/>
      <c r="T1714" s="11"/>
      <c r="U1714" s="124"/>
      <c r="V1714" s="11"/>
      <c r="W1714" s="124"/>
      <c r="X1714" s="128"/>
      <c r="Y1714" s="129"/>
    </row>
    <row r="1715" spans="14:25" x14ac:dyDescent="0.25">
      <c r="N1715" s="125"/>
      <c r="O1715" s="125"/>
      <c r="P1715" s="126"/>
      <c r="Q1715" s="62"/>
      <c r="R1715" s="62"/>
      <c r="S1715" s="127"/>
      <c r="T1715" s="11"/>
      <c r="U1715" s="124"/>
      <c r="V1715" s="11"/>
      <c r="W1715" s="124"/>
      <c r="X1715" s="128"/>
      <c r="Y1715" s="129"/>
    </row>
    <row r="1716" spans="14:25" x14ac:dyDescent="0.25">
      <c r="N1716" s="125"/>
      <c r="O1716" s="125"/>
      <c r="P1716" s="126"/>
      <c r="Q1716" s="62"/>
      <c r="R1716" s="62"/>
      <c r="S1716" s="127"/>
      <c r="T1716" s="11"/>
      <c r="U1716" s="124"/>
      <c r="V1716" s="11"/>
      <c r="W1716" s="124"/>
      <c r="X1716" s="128"/>
      <c r="Y1716" s="129"/>
    </row>
    <row r="1717" spans="14:25" x14ac:dyDescent="0.25">
      <c r="N1717" s="125"/>
      <c r="O1717" s="125"/>
      <c r="P1717" s="126"/>
      <c r="Q1717" s="62"/>
      <c r="R1717" s="62"/>
      <c r="S1717" s="127"/>
      <c r="T1717" s="11"/>
      <c r="U1717" s="124"/>
      <c r="V1717" s="11"/>
      <c r="W1717" s="124"/>
      <c r="X1717" s="128"/>
      <c r="Y1717" s="129"/>
    </row>
    <row r="1718" spans="14:25" x14ac:dyDescent="0.25">
      <c r="N1718" s="125"/>
      <c r="O1718" s="125"/>
      <c r="P1718" s="126"/>
      <c r="Q1718" s="62"/>
      <c r="R1718" s="62"/>
      <c r="S1718" s="127"/>
      <c r="T1718" s="11"/>
      <c r="U1718" s="124"/>
      <c r="V1718" s="11"/>
      <c r="W1718" s="124"/>
      <c r="X1718" s="128"/>
      <c r="Y1718" s="129"/>
    </row>
    <row r="1719" spans="14:25" x14ac:dyDescent="0.25">
      <c r="N1719" s="125"/>
      <c r="O1719" s="125"/>
      <c r="P1719" s="126"/>
      <c r="Q1719" s="62"/>
      <c r="R1719" s="62"/>
      <c r="S1719" s="127"/>
      <c r="T1719" s="11"/>
      <c r="U1719" s="124"/>
      <c r="V1719" s="11"/>
      <c r="W1719" s="124"/>
      <c r="X1719" s="128"/>
      <c r="Y1719" s="129"/>
    </row>
    <row r="1720" spans="14:25" x14ac:dyDescent="0.25">
      <c r="N1720" s="125"/>
      <c r="O1720" s="125"/>
      <c r="P1720" s="126"/>
      <c r="Q1720" s="62"/>
      <c r="R1720" s="62"/>
      <c r="S1720" s="127"/>
      <c r="T1720" s="11"/>
      <c r="U1720" s="124"/>
      <c r="V1720" s="11"/>
      <c r="W1720" s="124"/>
      <c r="X1720" s="128"/>
      <c r="Y1720" s="129"/>
    </row>
    <row r="1721" spans="14:25" x14ac:dyDescent="0.25">
      <c r="N1721" s="125"/>
      <c r="O1721" s="125"/>
      <c r="P1721" s="126"/>
      <c r="Q1721" s="62"/>
      <c r="R1721" s="62"/>
      <c r="S1721" s="127"/>
      <c r="T1721" s="11"/>
      <c r="U1721" s="124"/>
      <c r="V1721" s="11"/>
      <c r="W1721" s="124"/>
      <c r="X1721" s="128"/>
      <c r="Y1721" s="129"/>
    </row>
    <row r="1722" spans="14:25" x14ac:dyDescent="0.25">
      <c r="N1722" s="125"/>
      <c r="O1722" s="125"/>
      <c r="P1722" s="126"/>
      <c r="Q1722" s="62"/>
      <c r="R1722" s="62"/>
      <c r="S1722" s="127"/>
      <c r="T1722" s="11"/>
      <c r="U1722" s="124"/>
      <c r="V1722" s="11"/>
      <c r="W1722" s="124"/>
      <c r="X1722" s="128"/>
      <c r="Y1722" s="129"/>
    </row>
    <row r="1723" spans="14:25" x14ac:dyDescent="0.25">
      <c r="N1723" s="125"/>
      <c r="O1723" s="125"/>
      <c r="P1723" s="126"/>
      <c r="Q1723" s="62"/>
      <c r="R1723" s="62"/>
      <c r="S1723" s="127"/>
      <c r="T1723" s="11"/>
      <c r="U1723" s="124"/>
      <c r="V1723" s="11"/>
      <c r="W1723" s="124"/>
      <c r="X1723" s="128"/>
      <c r="Y1723" s="129"/>
    </row>
    <row r="1724" spans="14:25" x14ac:dyDescent="0.25">
      <c r="N1724" s="125"/>
      <c r="O1724" s="125"/>
      <c r="P1724" s="126"/>
      <c r="Q1724" s="62"/>
      <c r="R1724" s="62"/>
      <c r="S1724" s="127"/>
      <c r="T1724" s="11"/>
      <c r="U1724" s="124"/>
      <c r="V1724" s="11"/>
      <c r="W1724" s="124"/>
      <c r="X1724" s="128"/>
      <c r="Y1724" s="129"/>
    </row>
    <row r="1725" spans="14:25" x14ac:dyDescent="0.25">
      <c r="N1725" s="125"/>
      <c r="O1725" s="125"/>
      <c r="P1725" s="126"/>
      <c r="Q1725" s="62"/>
      <c r="R1725" s="62"/>
      <c r="S1725" s="127"/>
      <c r="T1725" s="11"/>
      <c r="U1725" s="124"/>
      <c r="V1725" s="11"/>
      <c r="W1725" s="124"/>
      <c r="X1725" s="128"/>
      <c r="Y1725" s="129"/>
    </row>
    <row r="1726" spans="14:25" x14ac:dyDescent="0.25">
      <c r="N1726" s="125"/>
      <c r="O1726" s="125"/>
      <c r="P1726" s="126"/>
      <c r="Q1726" s="62"/>
      <c r="R1726" s="62"/>
      <c r="S1726" s="127"/>
      <c r="T1726" s="11"/>
      <c r="U1726" s="124"/>
      <c r="V1726" s="11"/>
      <c r="W1726" s="124"/>
      <c r="X1726" s="128"/>
      <c r="Y1726" s="129"/>
    </row>
    <row r="1727" spans="14:25" x14ac:dyDescent="0.25">
      <c r="N1727" s="125"/>
      <c r="O1727" s="125"/>
      <c r="P1727" s="126"/>
      <c r="Q1727" s="62"/>
      <c r="R1727" s="62"/>
      <c r="S1727" s="127"/>
      <c r="T1727" s="11"/>
      <c r="U1727" s="124"/>
      <c r="V1727" s="11"/>
      <c r="W1727" s="124"/>
      <c r="X1727" s="128"/>
      <c r="Y1727" s="129"/>
    </row>
    <row r="1728" spans="14:25" x14ac:dyDescent="0.25">
      <c r="N1728" s="125"/>
      <c r="O1728" s="125"/>
      <c r="P1728" s="126"/>
      <c r="Q1728" s="62"/>
      <c r="R1728" s="62"/>
      <c r="S1728" s="127"/>
      <c r="T1728" s="11"/>
      <c r="U1728" s="124"/>
      <c r="V1728" s="11"/>
      <c r="W1728" s="124"/>
      <c r="X1728" s="128"/>
      <c r="Y1728" s="129"/>
    </row>
    <row r="1729" spans="14:25" x14ac:dyDescent="0.25">
      <c r="N1729" s="125"/>
      <c r="O1729" s="125"/>
      <c r="P1729" s="126"/>
      <c r="Q1729" s="62"/>
      <c r="R1729" s="62"/>
      <c r="S1729" s="127"/>
      <c r="T1729" s="11"/>
      <c r="U1729" s="124"/>
      <c r="V1729" s="11"/>
      <c r="W1729" s="124"/>
      <c r="X1729" s="128"/>
      <c r="Y1729" s="129"/>
    </row>
    <row r="1730" spans="14:25" x14ac:dyDescent="0.25">
      <c r="N1730" s="125"/>
      <c r="O1730" s="125"/>
      <c r="P1730" s="126"/>
      <c r="Q1730" s="62"/>
      <c r="R1730" s="62"/>
      <c r="S1730" s="127"/>
      <c r="T1730" s="11"/>
      <c r="U1730" s="124"/>
      <c r="V1730" s="11"/>
      <c r="W1730" s="124"/>
      <c r="X1730" s="128"/>
      <c r="Y1730" s="129"/>
    </row>
    <row r="1731" spans="14:25" x14ac:dyDescent="0.25">
      <c r="N1731" s="125"/>
      <c r="O1731" s="125"/>
      <c r="P1731" s="126"/>
      <c r="Q1731" s="62"/>
      <c r="R1731" s="62"/>
      <c r="S1731" s="127"/>
      <c r="T1731" s="11"/>
      <c r="U1731" s="124"/>
      <c r="V1731" s="11"/>
      <c r="W1731" s="124"/>
      <c r="X1731" s="128"/>
      <c r="Y1731" s="129"/>
    </row>
    <row r="1732" spans="14:25" x14ac:dyDescent="0.25">
      <c r="N1732" s="125"/>
      <c r="O1732" s="125"/>
      <c r="P1732" s="126"/>
      <c r="Q1732" s="62"/>
      <c r="R1732" s="62"/>
      <c r="S1732" s="127"/>
      <c r="T1732" s="11"/>
      <c r="U1732" s="124"/>
      <c r="V1732" s="11"/>
      <c r="W1732" s="124"/>
      <c r="X1732" s="128"/>
      <c r="Y1732" s="129"/>
    </row>
    <row r="1733" spans="14:25" x14ac:dyDescent="0.25">
      <c r="N1733" s="125"/>
      <c r="O1733" s="125"/>
      <c r="P1733" s="126"/>
      <c r="Q1733" s="62"/>
      <c r="R1733" s="62"/>
      <c r="S1733" s="127"/>
      <c r="T1733" s="11"/>
      <c r="U1733" s="124"/>
      <c r="V1733" s="11"/>
      <c r="W1733" s="124"/>
      <c r="X1733" s="128"/>
      <c r="Y1733" s="129"/>
    </row>
    <row r="1734" spans="14:25" x14ac:dyDescent="0.25">
      <c r="N1734" s="125"/>
      <c r="O1734" s="125"/>
      <c r="P1734" s="126"/>
      <c r="Q1734" s="62"/>
      <c r="R1734" s="62"/>
      <c r="S1734" s="127"/>
      <c r="T1734" s="11"/>
      <c r="U1734" s="124"/>
      <c r="V1734" s="11"/>
      <c r="W1734" s="124"/>
      <c r="X1734" s="128"/>
      <c r="Y1734" s="129"/>
    </row>
    <row r="1735" spans="14:25" x14ac:dyDescent="0.25">
      <c r="N1735" s="125"/>
      <c r="O1735" s="125"/>
      <c r="P1735" s="126"/>
      <c r="Q1735" s="62"/>
      <c r="R1735" s="62"/>
      <c r="S1735" s="127"/>
      <c r="T1735" s="11"/>
      <c r="U1735" s="124"/>
      <c r="V1735" s="11"/>
      <c r="W1735" s="124"/>
      <c r="X1735" s="128"/>
      <c r="Y1735" s="129"/>
    </row>
    <row r="1736" spans="14:25" x14ac:dyDescent="0.25">
      <c r="N1736" s="125"/>
      <c r="O1736" s="125"/>
      <c r="P1736" s="126"/>
      <c r="Q1736" s="62"/>
      <c r="R1736" s="62"/>
      <c r="S1736" s="127"/>
      <c r="T1736" s="11"/>
      <c r="U1736" s="124"/>
      <c r="V1736" s="11"/>
      <c r="W1736" s="124"/>
      <c r="X1736" s="128"/>
      <c r="Y1736" s="129"/>
    </row>
    <row r="1737" spans="14:25" x14ac:dyDescent="0.25">
      <c r="N1737" s="125"/>
      <c r="O1737" s="125"/>
      <c r="P1737" s="126"/>
      <c r="Q1737" s="62"/>
      <c r="R1737" s="62"/>
      <c r="S1737" s="127"/>
      <c r="T1737" s="11"/>
      <c r="U1737" s="124"/>
      <c r="V1737" s="11"/>
      <c r="W1737" s="124"/>
      <c r="X1737" s="128"/>
      <c r="Y1737" s="129"/>
    </row>
    <row r="1738" spans="14:25" x14ac:dyDescent="0.25">
      <c r="N1738" s="125"/>
      <c r="O1738" s="125"/>
      <c r="P1738" s="126"/>
      <c r="Q1738" s="62"/>
      <c r="R1738" s="62"/>
      <c r="S1738" s="127"/>
      <c r="T1738" s="11"/>
      <c r="U1738" s="124"/>
      <c r="V1738" s="11"/>
      <c r="W1738" s="124"/>
      <c r="X1738" s="128"/>
      <c r="Y1738" s="129"/>
    </row>
    <row r="1739" spans="14:25" x14ac:dyDescent="0.25">
      <c r="N1739" s="125"/>
      <c r="O1739" s="125"/>
      <c r="P1739" s="126"/>
      <c r="Q1739" s="62"/>
      <c r="R1739" s="62"/>
      <c r="S1739" s="127"/>
      <c r="T1739" s="11"/>
      <c r="U1739" s="124"/>
      <c r="V1739" s="11"/>
      <c r="W1739" s="124"/>
      <c r="X1739" s="128"/>
      <c r="Y1739" s="129"/>
    </row>
    <row r="1740" spans="14:25" x14ac:dyDescent="0.25">
      <c r="N1740" s="125"/>
      <c r="O1740" s="125"/>
      <c r="P1740" s="126"/>
      <c r="Q1740" s="62"/>
      <c r="R1740" s="62"/>
      <c r="S1740" s="127"/>
      <c r="T1740" s="11"/>
      <c r="U1740" s="124"/>
      <c r="V1740" s="11"/>
      <c r="W1740" s="124"/>
      <c r="X1740" s="128"/>
      <c r="Y1740" s="129"/>
    </row>
    <row r="1741" spans="14:25" x14ac:dyDescent="0.25">
      <c r="N1741" s="125"/>
      <c r="O1741" s="125"/>
      <c r="P1741" s="126"/>
      <c r="Q1741" s="62"/>
      <c r="R1741" s="62"/>
      <c r="S1741" s="127"/>
      <c r="T1741" s="11"/>
      <c r="U1741" s="124"/>
      <c r="V1741" s="11"/>
      <c r="W1741" s="124"/>
      <c r="X1741" s="128"/>
      <c r="Y1741" s="129"/>
    </row>
    <row r="1742" spans="14:25" x14ac:dyDescent="0.25">
      <c r="N1742" s="125"/>
      <c r="O1742" s="125"/>
      <c r="P1742" s="126"/>
      <c r="Q1742" s="62"/>
      <c r="R1742" s="62"/>
      <c r="S1742" s="127"/>
      <c r="T1742" s="11"/>
      <c r="U1742" s="124"/>
      <c r="V1742" s="11"/>
      <c r="W1742" s="124"/>
      <c r="X1742" s="128"/>
      <c r="Y1742" s="129"/>
    </row>
    <row r="1743" spans="14:25" x14ac:dyDescent="0.25">
      <c r="N1743" s="125"/>
      <c r="O1743" s="125"/>
      <c r="P1743" s="126"/>
      <c r="Q1743" s="62"/>
      <c r="R1743" s="62"/>
      <c r="S1743" s="127"/>
      <c r="T1743" s="11"/>
      <c r="U1743" s="124"/>
      <c r="V1743" s="11"/>
      <c r="W1743" s="124"/>
      <c r="X1743" s="128"/>
      <c r="Y1743" s="129"/>
    </row>
    <row r="1744" spans="14:25" x14ac:dyDescent="0.25">
      <c r="N1744" s="125"/>
      <c r="O1744" s="125"/>
      <c r="P1744" s="126"/>
      <c r="Q1744" s="62"/>
      <c r="R1744" s="62"/>
      <c r="S1744" s="127"/>
      <c r="T1744" s="11"/>
      <c r="U1744" s="124"/>
      <c r="V1744" s="11"/>
      <c r="W1744" s="124"/>
      <c r="X1744" s="128"/>
      <c r="Y1744" s="129"/>
    </row>
    <row r="1745" spans="14:25" x14ac:dyDescent="0.25">
      <c r="N1745" s="125"/>
      <c r="O1745" s="125"/>
      <c r="P1745" s="126"/>
      <c r="Q1745" s="62"/>
      <c r="R1745" s="62"/>
      <c r="S1745" s="127"/>
      <c r="T1745" s="11"/>
      <c r="U1745" s="124"/>
      <c r="V1745" s="11"/>
      <c r="W1745" s="124"/>
      <c r="X1745" s="128"/>
      <c r="Y1745" s="129"/>
    </row>
    <row r="1746" spans="14:25" x14ac:dyDescent="0.25">
      <c r="N1746" s="125"/>
      <c r="O1746" s="125"/>
      <c r="P1746" s="126"/>
      <c r="Q1746" s="62"/>
      <c r="R1746" s="62"/>
      <c r="S1746" s="127"/>
      <c r="T1746" s="11"/>
      <c r="U1746" s="124"/>
      <c r="V1746" s="11"/>
      <c r="W1746" s="124"/>
      <c r="X1746" s="128"/>
      <c r="Y1746" s="129"/>
    </row>
    <row r="1747" spans="14:25" x14ac:dyDescent="0.25">
      <c r="N1747" s="125"/>
      <c r="O1747" s="125"/>
      <c r="P1747" s="126"/>
      <c r="Q1747" s="62"/>
      <c r="R1747" s="62"/>
      <c r="S1747" s="127"/>
      <c r="T1747" s="11"/>
      <c r="U1747" s="124"/>
      <c r="V1747" s="11"/>
      <c r="W1747" s="124"/>
      <c r="X1747" s="128"/>
      <c r="Y1747" s="129"/>
    </row>
    <row r="1748" spans="14:25" x14ac:dyDescent="0.25">
      <c r="N1748" s="125"/>
      <c r="O1748" s="125"/>
      <c r="P1748" s="126"/>
      <c r="Q1748" s="62"/>
      <c r="R1748" s="62"/>
      <c r="S1748" s="127"/>
      <c r="T1748" s="11"/>
      <c r="U1748" s="124"/>
      <c r="V1748" s="11"/>
      <c r="W1748" s="124"/>
      <c r="X1748" s="128"/>
      <c r="Y1748" s="129"/>
    </row>
    <row r="1749" spans="14:25" x14ac:dyDescent="0.25">
      <c r="N1749" s="125"/>
      <c r="O1749" s="125"/>
      <c r="P1749" s="126"/>
      <c r="Q1749" s="62"/>
      <c r="R1749" s="62"/>
      <c r="S1749" s="127"/>
      <c r="T1749" s="11"/>
      <c r="U1749" s="124"/>
      <c r="V1749" s="11"/>
      <c r="W1749" s="124"/>
      <c r="X1749" s="128"/>
      <c r="Y1749" s="129"/>
    </row>
    <row r="1750" spans="14:25" x14ac:dyDescent="0.25">
      <c r="N1750" s="125"/>
      <c r="O1750" s="125"/>
      <c r="P1750" s="126"/>
      <c r="Q1750" s="62"/>
      <c r="R1750" s="62"/>
      <c r="S1750" s="127"/>
      <c r="T1750" s="11"/>
      <c r="U1750" s="124"/>
      <c r="V1750" s="11"/>
      <c r="W1750" s="124"/>
      <c r="X1750" s="128"/>
      <c r="Y1750" s="129"/>
    </row>
    <row r="1751" spans="14:25" x14ac:dyDescent="0.25">
      <c r="N1751" s="125"/>
      <c r="O1751" s="125"/>
      <c r="P1751" s="126"/>
      <c r="Q1751" s="62"/>
      <c r="R1751" s="62"/>
      <c r="S1751" s="127"/>
      <c r="T1751" s="11"/>
      <c r="U1751" s="124"/>
      <c r="V1751" s="11"/>
      <c r="W1751" s="124"/>
      <c r="X1751" s="128"/>
      <c r="Y1751" s="129"/>
    </row>
    <row r="1752" spans="14:25" x14ac:dyDescent="0.25">
      <c r="N1752" s="125"/>
      <c r="O1752" s="125"/>
      <c r="P1752" s="126"/>
      <c r="Q1752" s="62"/>
      <c r="R1752" s="62"/>
      <c r="S1752" s="127"/>
      <c r="T1752" s="11"/>
      <c r="U1752" s="124"/>
      <c r="V1752" s="11"/>
      <c r="W1752" s="124"/>
      <c r="X1752" s="128"/>
      <c r="Y1752" s="129"/>
    </row>
    <row r="1753" spans="14:25" x14ac:dyDescent="0.25">
      <c r="N1753" s="125"/>
      <c r="O1753" s="125"/>
      <c r="P1753" s="126"/>
      <c r="Q1753" s="62"/>
      <c r="R1753" s="62"/>
      <c r="S1753" s="127"/>
      <c r="T1753" s="11"/>
      <c r="U1753" s="124"/>
      <c r="V1753" s="11"/>
      <c r="W1753" s="124"/>
      <c r="X1753" s="128"/>
      <c r="Y1753" s="129"/>
    </row>
    <row r="1754" spans="14:25" x14ac:dyDescent="0.25">
      <c r="N1754" s="125"/>
      <c r="O1754" s="125"/>
      <c r="P1754" s="126"/>
      <c r="Q1754" s="62"/>
      <c r="R1754" s="62"/>
      <c r="S1754" s="127"/>
      <c r="T1754" s="11"/>
      <c r="U1754" s="124"/>
      <c r="V1754" s="11"/>
      <c r="W1754" s="124"/>
      <c r="X1754" s="128"/>
      <c r="Y1754" s="129"/>
    </row>
    <row r="1755" spans="14:25" x14ac:dyDescent="0.25">
      <c r="N1755" s="125"/>
      <c r="O1755" s="125"/>
      <c r="P1755" s="126"/>
      <c r="Q1755" s="62"/>
      <c r="R1755" s="62"/>
      <c r="S1755" s="127"/>
      <c r="T1755" s="11"/>
      <c r="U1755" s="124"/>
      <c r="V1755" s="11"/>
      <c r="W1755" s="124"/>
      <c r="X1755" s="128"/>
      <c r="Y1755" s="129"/>
    </row>
    <row r="1756" spans="14:25" x14ac:dyDescent="0.25">
      <c r="N1756" s="125"/>
      <c r="O1756" s="125"/>
      <c r="P1756" s="126"/>
      <c r="Q1756" s="62"/>
      <c r="R1756" s="62"/>
      <c r="S1756" s="127"/>
      <c r="T1756" s="11"/>
      <c r="U1756" s="124"/>
      <c r="V1756" s="11"/>
      <c r="W1756" s="124"/>
      <c r="X1756" s="128"/>
      <c r="Y1756" s="129"/>
    </row>
    <row r="1757" spans="14:25" x14ac:dyDescent="0.25">
      <c r="N1757" s="125"/>
      <c r="O1757" s="125"/>
      <c r="P1757" s="126"/>
      <c r="Q1757" s="62"/>
      <c r="R1757" s="62"/>
      <c r="S1757" s="127"/>
      <c r="T1757" s="11"/>
      <c r="U1757" s="124"/>
      <c r="V1757" s="11"/>
      <c r="W1757" s="124"/>
      <c r="X1757" s="128"/>
      <c r="Y1757" s="129"/>
    </row>
    <row r="1758" spans="14:25" x14ac:dyDescent="0.25">
      <c r="N1758" s="125"/>
      <c r="O1758" s="125"/>
      <c r="P1758" s="126"/>
      <c r="Q1758" s="62"/>
      <c r="R1758" s="62"/>
      <c r="S1758" s="127"/>
      <c r="T1758" s="11"/>
      <c r="U1758" s="124"/>
      <c r="V1758" s="11"/>
      <c r="W1758" s="124"/>
      <c r="X1758" s="128"/>
      <c r="Y1758" s="129"/>
    </row>
    <row r="1759" spans="14:25" x14ac:dyDescent="0.25">
      <c r="N1759" s="125"/>
      <c r="O1759" s="125"/>
      <c r="P1759" s="126"/>
      <c r="Q1759" s="62"/>
      <c r="R1759" s="62"/>
      <c r="S1759" s="127"/>
      <c r="T1759" s="11"/>
      <c r="U1759" s="124"/>
      <c r="V1759" s="11"/>
      <c r="W1759" s="124"/>
      <c r="X1759" s="128"/>
      <c r="Y1759" s="129"/>
    </row>
    <row r="1760" spans="14:25" x14ac:dyDescent="0.25">
      <c r="N1760" s="125"/>
      <c r="O1760" s="125"/>
      <c r="P1760" s="126"/>
      <c r="Q1760" s="62"/>
      <c r="R1760" s="62"/>
      <c r="S1760" s="127"/>
      <c r="T1760" s="11"/>
      <c r="U1760" s="124"/>
      <c r="V1760" s="11"/>
      <c r="W1760" s="124"/>
      <c r="X1760" s="128"/>
      <c r="Y1760" s="129"/>
    </row>
    <row r="1761" spans="14:25" x14ac:dyDescent="0.25">
      <c r="N1761" s="125"/>
      <c r="O1761" s="125"/>
      <c r="P1761" s="126"/>
      <c r="Q1761" s="62"/>
      <c r="R1761" s="62"/>
      <c r="S1761" s="127"/>
      <c r="T1761" s="11"/>
      <c r="U1761" s="124"/>
      <c r="V1761" s="11"/>
      <c r="W1761" s="124"/>
      <c r="X1761" s="128"/>
      <c r="Y1761" s="129"/>
    </row>
    <row r="1762" spans="14:25" x14ac:dyDescent="0.25">
      <c r="N1762" s="125"/>
      <c r="O1762" s="125"/>
      <c r="P1762" s="126"/>
      <c r="Q1762" s="62"/>
      <c r="R1762" s="62"/>
      <c r="S1762" s="127"/>
      <c r="T1762" s="11"/>
      <c r="U1762" s="124"/>
      <c r="V1762" s="11"/>
      <c r="W1762" s="124"/>
      <c r="X1762" s="128"/>
      <c r="Y1762" s="129"/>
    </row>
    <row r="1763" spans="14:25" x14ac:dyDescent="0.25">
      <c r="N1763" s="125"/>
      <c r="O1763" s="125"/>
      <c r="P1763" s="126"/>
      <c r="Q1763" s="62"/>
      <c r="R1763" s="62"/>
      <c r="S1763" s="127"/>
      <c r="T1763" s="11"/>
      <c r="U1763" s="124"/>
      <c r="V1763" s="11"/>
      <c r="W1763" s="124"/>
      <c r="X1763" s="128"/>
      <c r="Y1763" s="129"/>
    </row>
    <row r="1764" spans="14:25" x14ac:dyDescent="0.25">
      <c r="N1764" s="125"/>
      <c r="O1764" s="125"/>
      <c r="P1764" s="126"/>
      <c r="Q1764" s="62"/>
      <c r="R1764" s="62"/>
      <c r="S1764" s="127"/>
      <c r="T1764" s="11"/>
      <c r="U1764" s="124"/>
      <c r="V1764" s="11"/>
      <c r="W1764" s="124"/>
      <c r="X1764" s="128"/>
      <c r="Y1764" s="129"/>
    </row>
    <row r="1765" spans="14:25" x14ac:dyDescent="0.25">
      <c r="N1765" s="125"/>
      <c r="O1765" s="125"/>
      <c r="P1765" s="126"/>
      <c r="Q1765" s="62"/>
      <c r="R1765" s="62"/>
      <c r="S1765" s="127"/>
      <c r="T1765" s="11"/>
      <c r="U1765" s="124"/>
      <c r="V1765" s="11"/>
      <c r="W1765" s="124"/>
      <c r="X1765" s="128"/>
      <c r="Y1765" s="129"/>
    </row>
    <row r="1766" spans="14:25" x14ac:dyDescent="0.25">
      <c r="N1766" s="125"/>
      <c r="O1766" s="125"/>
      <c r="P1766" s="126"/>
      <c r="Q1766" s="62"/>
      <c r="R1766" s="62"/>
      <c r="S1766" s="127"/>
      <c r="T1766" s="11"/>
      <c r="U1766" s="124"/>
      <c r="V1766" s="11"/>
      <c r="W1766" s="124"/>
      <c r="X1766" s="128"/>
      <c r="Y1766" s="129"/>
    </row>
    <row r="1767" spans="14:25" x14ac:dyDescent="0.25">
      <c r="N1767" s="125"/>
      <c r="O1767" s="125"/>
      <c r="P1767" s="126"/>
      <c r="Q1767" s="62"/>
      <c r="R1767" s="62"/>
      <c r="S1767" s="127"/>
      <c r="T1767" s="11"/>
      <c r="U1767" s="124"/>
      <c r="V1767" s="11"/>
      <c r="W1767" s="124"/>
      <c r="X1767" s="128"/>
      <c r="Y1767" s="129"/>
    </row>
    <row r="1768" spans="14:25" x14ac:dyDescent="0.25">
      <c r="N1768" s="125"/>
      <c r="O1768" s="125"/>
      <c r="P1768" s="126"/>
      <c r="Q1768" s="62"/>
      <c r="R1768" s="62"/>
      <c r="S1768" s="127"/>
      <c r="T1768" s="11"/>
      <c r="U1768" s="124"/>
      <c r="V1768" s="11"/>
      <c r="W1768" s="124"/>
      <c r="X1768" s="128"/>
      <c r="Y1768" s="129"/>
    </row>
    <row r="1769" spans="14:25" x14ac:dyDescent="0.25">
      <c r="N1769" s="125"/>
      <c r="O1769" s="125"/>
      <c r="P1769" s="126"/>
      <c r="Q1769" s="62"/>
      <c r="R1769" s="62"/>
      <c r="S1769" s="127"/>
      <c r="T1769" s="11"/>
      <c r="U1769" s="124"/>
      <c r="V1769" s="11"/>
      <c r="W1769" s="124"/>
      <c r="X1769" s="128"/>
      <c r="Y1769" s="129"/>
    </row>
    <row r="1770" spans="14:25" x14ac:dyDescent="0.25">
      <c r="N1770" s="125"/>
      <c r="O1770" s="125"/>
      <c r="P1770" s="126"/>
      <c r="Q1770" s="62"/>
      <c r="R1770" s="62"/>
      <c r="S1770" s="127"/>
      <c r="T1770" s="11"/>
      <c r="U1770" s="124"/>
      <c r="V1770" s="11"/>
      <c r="W1770" s="124"/>
      <c r="X1770" s="128"/>
      <c r="Y1770" s="129"/>
    </row>
    <row r="1771" spans="14:25" x14ac:dyDescent="0.25">
      <c r="N1771" s="125"/>
      <c r="O1771" s="125"/>
      <c r="P1771" s="126"/>
      <c r="Q1771" s="62"/>
      <c r="R1771" s="62"/>
      <c r="S1771" s="127"/>
      <c r="T1771" s="11"/>
      <c r="U1771" s="124"/>
      <c r="V1771" s="11"/>
      <c r="W1771" s="124"/>
      <c r="X1771" s="128"/>
      <c r="Y1771" s="129"/>
    </row>
    <row r="1772" spans="14:25" x14ac:dyDescent="0.25">
      <c r="N1772" s="125"/>
      <c r="O1772" s="125"/>
      <c r="P1772" s="126"/>
      <c r="Q1772" s="62"/>
      <c r="R1772" s="62"/>
      <c r="S1772" s="127"/>
      <c r="T1772" s="11"/>
      <c r="U1772" s="124"/>
      <c r="V1772" s="11"/>
      <c r="W1772" s="124"/>
      <c r="X1772" s="128"/>
      <c r="Y1772" s="129"/>
    </row>
    <row r="1773" spans="14:25" x14ac:dyDescent="0.25">
      <c r="N1773" s="125"/>
      <c r="O1773" s="125"/>
      <c r="P1773" s="126"/>
      <c r="Q1773" s="62"/>
      <c r="R1773" s="62"/>
      <c r="S1773" s="127"/>
      <c r="T1773" s="11"/>
      <c r="U1773" s="124"/>
      <c r="V1773" s="11"/>
      <c r="W1773" s="124"/>
      <c r="X1773" s="128"/>
      <c r="Y1773" s="129"/>
    </row>
    <row r="1774" spans="14:25" x14ac:dyDescent="0.25">
      <c r="N1774" s="125"/>
      <c r="O1774" s="125"/>
      <c r="P1774" s="126"/>
      <c r="Q1774" s="62"/>
      <c r="R1774" s="62"/>
      <c r="S1774" s="127"/>
      <c r="T1774" s="11"/>
      <c r="U1774" s="124"/>
      <c r="V1774" s="11"/>
      <c r="W1774" s="124"/>
      <c r="X1774" s="128"/>
      <c r="Y1774" s="129"/>
    </row>
    <row r="1775" spans="14:25" x14ac:dyDescent="0.25">
      <c r="N1775" s="125"/>
      <c r="O1775" s="125"/>
      <c r="P1775" s="126"/>
      <c r="Q1775" s="62"/>
      <c r="R1775" s="62"/>
      <c r="S1775" s="127"/>
      <c r="T1775" s="11"/>
      <c r="U1775" s="124"/>
      <c r="V1775" s="11"/>
      <c r="W1775" s="124"/>
      <c r="X1775" s="128"/>
      <c r="Y1775" s="129"/>
    </row>
    <row r="1776" spans="14:25" x14ac:dyDescent="0.25">
      <c r="N1776" s="125"/>
      <c r="O1776" s="125"/>
      <c r="P1776" s="126"/>
      <c r="Q1776" s="62"/>
      <c r="R1776" s="62"/>
      <c r="S1776" s="127"/>
      <c r="T1776" s="11"/>
      <c r="U1776" s="124"/>
      <c r="V1776" s="11"/>
      <c r="W1776" s="124"/>
      <c r="X1776" s="128"/>
      <c r="Y1776" s="129"/>
    </row>
    <row r="1777" spans="14:25" x14ac:dyDescent="0.25">
      <c r="N1777" s="125"/>
      <c r="O1777" s="125"/>
      <c r="P1777" s="126"/>
      <c r="Q1777" s="62"/>
      <c r="R1777" s="62"/>
      <c r="S1777" s="127"/>
      <c r="T1777" s="11"/>
      <c r="U1777" s="124"/>
      <c r="V1777" s="11"/>
      <c r="W1777" s="124"/>
      <c r="X1777" s="128"/>
      <c r="Y1777" s="129"/>
    </row>
    <row r="1778" spans="14:25" x14ac:dyDescent="0.25">
      <c r="N1778" s="125"/>
      <c r="O1778" s="125"/>
      <c r="P1778" s="126"/>
      <c r="Q1778" s="62"/>
      <c r="R1778" s="62"/>
      <c r="S1778" s="127"/>
      <c r="T1778" s="11"/>
      <c r="U1778" s="124"/>
      <c r="V1778" s="11"/>
      <c r="W1778" s="124"/>
      <c r="X1778" s="128"/>
      <c r="Y1778" s="129"/>
    </row>
    <row r="1779" spans="14:25" x14ac:dyDescent="0.25">
      <c r="N1779" s="125"/>
      <c r="O1779" s="125"/>
      <c r="P1779" s="126"/>
      <c r="Q1779" s="62"/>
      <c r="R1779" s="62"/>
      <c r="S1779" s="127"/>
      <c r="T1779" s="11"/>
      <c r="U1779" s="124"/>
      <c r="V1779" s="11"/>
      <c r="W1779" s="124"/>
      <c r="X1779" s="128"/>
      <c r="Y1779" s="129"/>
    </row>
    <row r="1780" spans="14:25" x14ac:dyDescent="0.25">
      <c r="N1780" s="125"/>
      <c r="O1780" s="125"/>
      <c r="P1780" s="126"/>
      <c r="Q1780" s="62"/>
      <c r="R1780" s="62"/>
      <c r="S1780" s="127"/>
      <c r="T1780" s="11"/>
      <c r="U1780" s="124"/>
      <c r="V1780" s="11"/>
      <c r="W1780" s="124"/>
      <c r="X1780" s="128"/>
      <c r="Y1780" s="129"/>
    </row>
    <row r="1781" spans="14:25" x14ac:dyDescent="0.25">
      <c r="N1781" s="125"/>
      <c r="O1781" s="125"/>
      <c r="P1781" s="126"/>
      <c r="Q1781" s="62"/>
      <c r="R1781" s="62"/>
      <c r="S1781" s="127"/>
      <c r="T1781" s="11"/>
      <c r="U1781" s="124"/>
      <c r="V1781" s="11"/>
      <c r="W1781" s="124"/>
      <c r="X1781" s="128"/>
      <c r="Y1781" s="129"/>
    </row>
    <row r="1782" spans="14:25" x14ac:dyDescent="0.25">
      <c r="N1782" s="125"/>
      <c r="O1782" s="125"/>
      <c r="P1782" s="126"/>
      <c r="Q1782" s="62"/>
      <c r="R1782" s="62"/>
      <c r="S1782" s="127"/>
      <c r="T1782" s="11"/>
      <c r="U1782" s="124"/>
      <c r="V1782" s="11"/>
      <c r="W1782" s="124"/>
      <c r="X1782" s="128"/>
      <c r="Y1782" s="129"/>
    </row>
    <row r="1783" spans="14:25" x14ac:dyDescent="0.25">
      <c r="N1783" s="125"/>
      <c r="O1783" s="125"/>
      <c r="P1783" s="126"/>
      <c r="Q1783" s="62"/>
      <c r="R1783" s="62"/>
      <c r="S1783" s="127"/>
      <c r="T1783" s="11"/>
      <c r="U1783" s="124"/>
      <c r="V1783" s="11"/>
      <c r="W1783" s="124"/>
      <c r="X1783" s="128"/>
      <c r="Y1783" s="129"/>
    </row>
    <row r="1784" spans="14:25" x14ac:dyDescent="0.25">
      <c r="N1784" s="125"/>
      <c r="O1784" s="125"/>
      <c r="P1784" s="126"/>
      <c r="Q1784" s="62"/>
      <c r="R1784" s="62"/>
      <c r="S1784" s="127"/>
      <c r="T1784" s="11"/>
      <c r="U1784" s="124"/>
      <c r="V1784" s="11"/>
      <c r="W1784" s="124"/>
      <c r="X1784" s="128"/>
      <c r="Y1784" s="129"/>
    </row>
    <row r="1785" spans="14:25" x14ac:dyDescent="0.25">
      <c r="N1785" s="125"/>
      <c r="O1785" s="125"/>
      <c r="P1785" s="126"/>
      <c r="Q1785" s="62"/>
      <c r="R1785" s="62"/>
      <c r="S1785" s="127"/>
      <c r="T1785" s="11"/>
      <c r="U1785" s="124"/>
      <c r="V1785" s="11"/>
      <c r="W1785" s="124"/>
      <c r="X1785" s="128"/>
      <c r="Y1785" s="129"/>
    </row>
    <row r="1786" spans="14:25" x14ac:dyDescent="0.25">
      <c r="N1786" s="125"/>
      <c r="O1786" s="125"/>
      <c r="P1786" s="126"/>
      <c r="Q1786" s="62"/>
      <c r="R1786" s="62"/>
      <c r="S1786" s="127"/>
      <c r="T1786" s="11"/>
      <c r="U1786" s="124"/>
      <c r="V1786" s="11"/>
      <c r="W1786" s="124"/>
      <c r="X1786" s="128"/>
      <c r="Y1786" s="129"/>
    </row>
    <row r="1787" spans="14:25" x14ac:dyDescent="0.25">
      <c r="N1787" s="125"/>
      <c r="O1787" s="125"/>
      <c r="P1787" s="126"/>
      <c r="Q1787" s="62"/>
      <c r="R1787" s="62"/>
      <c r="S1787" s="127"/>
      <c r="T1787" s="11"/>
      <c r="U1787" s="124"/>
      <c r="V1787" s="11"/>
      <c r="W1787" s="124"/>
      <c r="X1787" s="128"/>
      <c r="Y1787" s="129"/>
    </row>
    <row r="1788" spans="14:25" x14ac:dyDescent="0.25">
      <c r="N1788" s="125"/>
      <c r="O1788" s="125"/>
      <c r="P1788" s="126"/>
      <c r="Q1788" s="62"/>
      <c r="R1788" s="62"/>
      <c r="S1788" s="127"/>
      <c r="T1788" s="11"/>
      <c r="U1788" s="124"/>
      <c r="V1788" s="11"/>
      <c r="W1788" s="124"/>
      <c r="X1788" s="128"/>
      <c r="Y1788" s="129"/>
    </row>
    <row r="1789" spans="14:25" x14ac:dyDescent="0.25">
      <c r="N1789" s="125"/>
      <c r="O1789" s="125"/>
      <c r="P1789" s="126"/>
      <c r="Q1789" s="62"/>
      <c r="R1789" s="62"/>
      <c r="S1789" s="127"/>
      <c r="T1789" s="11"/>
      <c r="U1789" s="124"/>
      <c r="V1789" s="11"/>
      <c r="W1789" s="124"/>
      <c r="X1789" s="128"/>
      <c r="Y1789" s="129"/>
    </row>
    <row r="1790" spans="14:25" x14ac:dyDescent="0.25">
      <c r="N1790" s="125"/>
      <c r="O1790" s="125"/>
      <c r="P1790" s="126"/>
      <c r="Q1790" s="62"/>
      <c r="R1790" s="62"/>
      <c r="S1790" s="127"/>
      <c r="T1790" s="11"/>
      <c r="U1790" s="124"/>
      <c r="V1790" s="11"/>
      <c r="W1790" s="124"/>
      <c r="X1790" s="128"/>
      <c r="Y1790" s="129"/>
    </row>
    <row r="1791" spans="14:25" x14ac:dyDescent="0.25">
      <c r="N1791" s="125"/>
      <c r="O1791" s="125"/>
      <c r="P1791" s="126"/>
      <c r="Q1791" s="62"/>
      <c r="R1791" s="62"/>
      <c r="S1791" s="127"/>
      <c r="T1791" s="11"/>
      <c r="U1791" s="124"/>
      <c r="V1791" s="11"/>
      <c r="W1791" s="124"/>
      <c r="X1791" s="128"/>
      <c r="Y1791" s="129"/>
    </row>
    <row r="1792" spans="14:25" x14ac:dyDescent="0.25">
      <c r="N1792" s="125"/>
      <c r="O1792" s="125"/>
      <c r="P1792" s="126"/>
      <c r="Q1792" s="62"/>
      <c r="R1792" s="62"/>
      <c r="S1792" s="127"/>
      <c r="T1792" s="11"/>
      <c r="U1792" s="124"/>
      <c r="V1792" s="11"/>
      <c r="W1792" s="124"/>
      <c r="X1792" s="128"/>
      <c r="Y1792" s="129"/>
    </row>
    <row r="1793" spans="14:25" x14ac:dyDescent="0.25">
      <c r="N1793" s="125"/>
      <c r="O1793" s="125"/>
      <c r="P1793" s="126"/>
      <c r="Q1793" s="62"/>
      <c r="R1793" s="62"/>
      <c r="S1793" s="127"/>
      <c r="T1793" s="11"/>
      <c r="U1793" s="124"/>
      <c r="V1793" s="11"/>
      <c r="W1793" s="124"/>
      <c r="X1793" s="128"/>
      <c r="Y1793" s="129"/>
    </row>
    <row r="1794" spans="14:25" x14ac:dyDescent="0.25">
      <c r="N1794" s="125"/>
      <c r="O1794" s="125"/>
      <c r="P1794" s="126"/>
      <c r="Q1794" s="62"/>
      <c r="R1794" s="62"/>
      <c r="S1794" s="127"/>
      <c r="T1794" s="11"/>
      <c r="U1794" s="124"/>
      <c r="V1794" s="11"/>
      <c r="W1794" s="124"/>
      <c r="X1794" s="128"/>
      <c r="Y1794" s="129"/>
    </row>
    <row r="1795" spans="14:25" x14ac:dyDescent="0.25">
      <c r="N1795" s="125"/>
      <c r="O1795" s="125"/>
      <c r="P1795" s="126"/>
      <c r="Q1795" s="62"/>
      <c r="R1795" s="62"/>
      <c r="S1795" s="127"/>
      <c r="T1795" s="11"/>
      <c r="U1795" s="124"/>
      <c r="V1795" s="11"/>
      <c r="W1795" s="124"/>
      <c r="X1795" s="128"/>
      <c r="Y1795" s="129"/>
    </row>
    <row r="1796" spans="14:25" x14ac:dyDescent="0.25">
      <c r="N1796" s="125"/>
      <c r="O1796" s="125"/>
      <c r="P1796" s="126"/>
      <c r="Q1796" s="62"/>
      <c r="R1796" s="62"/>
      <c r="S1796" s="127"/>
      <c r="T1796" s="11"/>
      <c r="U1796" s="124"/>
      <c r="V1796" s="11"/>
      <c r="W1796" s="124"/>
      <c r="X1796" s="128"/>
      <c r="Y1796" s="129"/>
    </row>
    <row r="1797" spans="14:25" x14ac:dyDescent="0.25">
      <c r="N1797" s="125"/>
      <c r="O1797" s="125"/>
      <c r="P1797" s="126"/>
      <c r="Q1797" s="62"/>
      <c r="R1797" s="62"/>
      <c r="S1797" s="127"/>
      <c r="T1797" s="11"/>
      <c r="U1797" s="124"/>
      <c r="V1797" s="11"/>
      <c r="W1797" s="124"/>
      <c r="X1797" s="128"/>
      <c r="Y1797" s="129"/>
    </row>
    <row r="1798" spans="14:25" x14ac:dyDescent="0.25">
      <c r="N1798" s="125"/>
      <c r="O1798" s="125"/>
      <c r="P1798" s="126"/>
      <c r="Q1798" s="62"/>
      <c r="R1798" s="62"/>
      <c r="S1798" s="127"/>
      <c r="T1798" s="11"/>
      <c r="U1798" s="124"/>
      <c r="V1798" s="11"/>
      <c r="W1798" s="124"/>
      <c r="X1798" s="128"/>
      <c r="Y1798" s="129"/>
    </row>
    <row r="1799" spans="14:25" x14ac:dyDescent="0.25">
      <c r="N1799" s="125"/>
      <c r="O1799" s="125"/>
      <c r="P1799" s="126"/>
      <c r="Q1799" s="62"/>
      <c r="R1799" s="62"/>
      <c r="S1799" s="127"/>
      <c r="T1799" s="11"/>
      <c r="U1799" s="124"/>
      <c r="V1799" s="11"/>
      <c r="W1799" s="124"/>
      <c r="X1799" s="128"/>
      <c r="Y1799" s="129"/>
    </row>
    <row r="1800" spans="14:25" x14ac:dyDescent="0.25">
      <c r="N1800" s="125"/>
      <c r="O1800" s="125"/>
      <c r="P1800" s="126"/>
      <c r="Q1800" s="62"/>
      <c r="R1800" s="62"/>
      <c r="S1800" s="127"/>
      <c r="T1800" s="11"/>
      <c r="U1800" s="124"/>
      <c r="V1800" s="11"/>
      <c r="W1800" s="124"/>
      <c r="X1800" s="128"/>
      <c r="Y1800" s="129"/>
    </row>
    <row r="1801" spans="14:25" x14ac:dyDescent="0.25">
      <c r="N1801" s="125"/>
      <c r="O1801" s="125"/>
      <c r="P1801" s="126"/>
      <c r="Q1801" s="62"/>
      <c r="R1801" s="62"/>
      <c r="S1801" s="127"/>
      <c r="T1801" s="11"/>
      <c r="U1801" s="124"/>
      <c r="V1801" s="11"/>
      <c r="W1801" s="124"/>
      <c r="X1801" s="128"/>
      <c r="Y1801" s="129"/>
    </row>
    <row r="1802" spans="14:25" x14ac:dyDescent="0.25">
      <c r="N1802" s="125"/>
      <c r="O1802" s="125"/>
      <c r="P1802" s="126"/>
      <c r="Q1802" s="62"/>
      <c r="R1802" s="62"/>
      <c r="S1802" s="127"/>
      <c r="T1802" s="11"/>
      <c r="U1802" s="124"/>
      <c r="V1802" s="11"/>
      <c r="W1802" s="124"/>
      <c r="X1802" s="128"/>
      <c r="Y1802" s="129"/>
    </row>
    <row r="1803" spans="14:25" x14ac:dyDescent="0.25">
      <c r="N1803" s="125"/>
      <c r="O1803" s="125"/>
      <c r="P1803" s="126"/>
      <c r="Q1803" s="62"/>
      <c r="R1803" s="62"/>
      <c r="S1803" s="127"/>
      <c r="T1803" s="11"/>
      <c r="U1803" s="124"/>
      <c r="V1803" s="11"/>
      <c r="W1803" s="124"/>
      <c r="X1803" s="128"/>
      <c r="Y1803" s="129"/>
    </row>
    <row r="1804" spans="14:25" x14ac:dyDescent="0.25">
      <c r="N1804" s="125"/>
      <c r="O1804" s="125"/>
      <c r="P1804" s="126"/>
      <c r="Q1804" s="62"/>
      <c r="R1804" s="62"/>
      <c r="S1804" s="127"/>
      <c r="T1804" s="11"/>
      <c r="U1804" s="124"/>
      <c r="V1804" s="11"/>
      <c r="W1804" s="124"/>
      <c r="X1804" s="128"/>
      <c r="Y1804" s="129"/>
    </row>
    <row r="1805" spans="14:25" x14ac:dyDescent="0.25">
      <c r="N1805" s="125"/>
      <c r="O1805" s="125"/>
      <c r="P1805" s="126"/>
      <c r="Q1805" s="62"/>
      <c r="R1805" s="62"/>
      <c r="S1805" s="127"/>
      <c r="T1805" s="11"/>
      <c r="U1805" s="124"/>
      <c r="V1805" s="11"/>
      <c r="W1805" s="124"/>
      <c r="X1805" s="128"/>
      <c r="Y1805" s="129"/>
    </row>
    <row r="1806" spans="14:25" x14ac:dyDescent="0.25">
      <c r="N1806" s="125"/>
      <c r="O1806" s="125"/>
      <c r="P1806" s="126"/>
      <c r="Q1806" s="62"/>
      <c r="R1806" s="62"/>
      <c r="S1806" s="127"/>
      <c r="T1806" s="11"/>
      <c r="U1806" s="124"/>
      <c r="V1806" s="11"/>
      <c r="W1806" s="124"/>
      <c r="X1806" s="128"/>
      <c r="Y1806" s="129"/>
    </row>
    <row r="1807" spans="14:25" x14ac:dyDescent="0.25">
      <c r="N1807" s="125"/>
      <c r="O1807" s="125"/>
      <c r="P1807" s="126"/>
      <c r="Q1807" s="62"/>
      <c r="R1807" s="62"/>
      <c r="S1807" s="127"/>
      <c r="T1807" s="11"/>
      <c r="U1807" s="124"/>
      <c r="V1807" s="11"/>
      <c r="W1807" s="124"/>
      <c r="X1807" s="128"/>
      <c r="Y1807" s="129"/>
    </row>
    <row r="1808" spans="14:25" x14ac:dyDescent="0.25">
      <c r="N1808" s="125"/>
      <c r="O1808" s="125"/>
      <c r="P1808" s="126"/>
      <c r="Q1808" s="62"/>
      <c r="R1808" s="62"/>
      <c r="S1808" s="127"/>
      <c r="T1808" s="11"/>
      <c r="U1808" s="124"/>
      <c r="V1808" s="11"/>
      <c r="W1808" s="124"/>
      <c r="X1808" s="128"/>
      <c r="Y1808" s="129"/>
    </row>
    <row r="1809" spans="14:25" x14ac:dyDescent="0.25">
      <c r="N1809" s="125"/>
      <c r="O1809" s="125"/>
      <c r="P1809" s="126"/>
      <c r="Q1809" s="62"/>
      <c r="R1809" s="62"/>
      <c r="S1809" s="127"/>
      <c r="T1809" s="11"/>
      <c r="U1809" s="124"/>
      <c r="V1809" s="11"/>
      <c r="W1809" s="124"/>
      <c r="X1809" s="128"/>
      <c r="Y1809" s="129"/>
    </row>
    <row r="1810" spans="14:25" x14ac:dyDescent="0.25">
      <c r="N1810" s="125"/>
      <c r="O1810" s="125"/>
      <c r="P1810" s="126"/>
      <c r="Q1810" s="62"/>
      <c r="R1810" s="62"/>
      <c r="S1810" s="127"/>
      <c r="T1810" s="11"/>
      <c r="U1810" s="124"/>
      <c r="V1810" s="11"/>
      <c r="W1810" s="124"/>
      <c r="X1810" s="128"/>
      <c r="Y1810" s="129"/>
    </row>
    <row r="1811" spans="14:25" x14ac:dyDescent="0.25">
      <c r="N1811" s="125"/>
      <c r="O1811" s="125"/>
      <c r="P1811" s="126"/>
      <c r="Q1811" s="62"/>
      <c r="R1811" s="62"/>
      <c r="S1811" s="127"/>
      <c r="T1811" s="11"/>
      <c r="U1811" s="124"/>
      <c r="V1811" s="11"/>
      <c r="W1811" s="124"/>
      <c r="X1811" s="128"/>
      <c r="Y1811" s="129"/>
    </row>
    <row r="1812" spans="14:25" x14ac:dyDescent="0.25">
      <c r="N1812" s="125"/>
      <c r="O1812" s="125"/>
      <c r="P1812" s="126"/>
      <c r="Q1812" s="62"/>
      <c r="R1812" s="62"/>
      <c r="S1812" s="127"/>
      <c r="T1812" s="11"/>
      <c r="U1812" s="124"/>
      <c r="V1812" s="11"/>
      <c r="W1812" s="124"/>
      <c r="X1812" s="128"/>
      <c r="Y1812" s="129"/>
    </row>
    <row r="1813" spans="14:25" x14ac:dyDescent="0.25">
      <c r="N1813" s="125"/>
      <c r="O1813" s="125"/>
      <c r="P1813" s="126"/>
      <c r="Q1813" s="62"/>
      <c r="R1813" s="62"/>
      <c r="S1813" s="127"/>
      <c r="T1813" s="11"/>
      <c r="U1813" s="124"/>
      <c r="V1813" s="11"/>
      <c r="W1813" s="124"/>
      <c r="X1813" s="128"/>
      <c r="Y1813" s="129"/>
    </row>
    <row r="1814" spans="14:25" x14ac:dyDescent="0.25">
      <c r="N1814" s="125"/>
      <c r="O1814" s="125"/>
      <c r="P1814" s="126"/>
      <c r="Q1814" s="62"/>
      <c r="R1814" s="62"/>
      <c r="S1814" s="127"/>
      <c r="T1814" s="11"/>
      <c r="U1814" s="124"/>
      <c r="V1814" s="11"/>
      <c r="W1814" s="124"/>
      <c r="X1814" s="128"/>
      <c r="Y1814" s="129"/>
    </row>
    <row r="1815" spans="14:25" x14ac:dyDescent="0.25">
      <c r="N1815" s="125"/>
      <c r="O1815" s="125"/>
      <c r="P1815" s="126"/>
      <c r="Q1815" s="62"/>
      <c r="R1815" s="62"/>
      <c r="S1815" s="127"/>
      <c r="T1815" s="11"/>
      <c r="U1815" s="124"/>
      <c r="V1815" s="11"/>
      <c r="W1815" s="124"/>
      <c r="X1815" s="128"/>
      <c r="Y1815" s="129"/>
    </row>
    <row r="1816" spans="14:25" x14ac:dyDescent="0.25">
      <c r="N1816" s="125"/>
      <c r="O1816" s="125"/>
      <c r="P1816" s="126"/>
      <c r="Q1816" s="62"/>
      <c r="R1816" s="62"/>
      <c r="S1816" s="127"/>
      <c r="T1816" s="11"/>
      <c r="U1816" s="124"/>
      <c r="V1816" s="11"/>
      <c r="W1816" s="124"/>
      <c r="X1816" s="128"/>
      <c r="Y1816" s="129"/>
    </row>
    <row r="1817" spans="14:25" x14ac:dyDescent="0.25">
      <c r="N1817" s="125"/>
      <c r="O1817" s="125"/>
      <c r="P1817" s="126"/>
      <c r="Q1817" s="62"/>
      <c r="R1817" s="62"/>
      <c r="S1817" s="127"/>
      <c r="T1817" s="11"/>
      <c r="U1817" s="124"/>
      <c r="V1817" s="11"/>
      <c r="W1817" s="124"/>
      <c r="X1817" s="128"/>
      <c r="Y1817" s="129"/>
    </row>
    <row r="1818" spans="14:25" x14ac:dyDescent="0.25">
      <c r="N1818" s="125"/>
      <c r="O1818" s="125"/>
      <c r="P1818" s="126"/>
      <c r="Q1818" s="62"/>
      <c r="R1818" s="62"/>
      <c r="S1818" s="127"/>
      <c r="T1818" s="11"/>
      <c r="U1818" s="124"/>
      <c r="V1818" s="11"/>
      <c r="W1818" s="124"/>
      <c r="X1818" s="128"/>
      <c r="Y1818" s="129"/>
    </row>
    <row r="1819" spans="14:25" x14ac:dyDescent="0.25">
      <c r="N1819" s="125"/>
      <c r="O1819" s="125"/>
      <c r="P1819" s="126"/>
      <c r="Q1819" s="62"/>
      <c r="R1819" s="62"/>
      <c r="S1819" s="127"/>
      <c r="T1819" s="11"/>
      <c r="U1819" s="124"/>
      <c r="V1819" s="11"/>
      <c r="W1819" s="124"/>
      <c r="X1819" s="128"/>
      <c r="Y1819" s="129"/>
    </row>
    <row r="1820" spans="14:25" x14ac:dyDescent="0.25">
      <c r="N1820" s="125"/>
      <c r="O1820" s="125"/>
      <c r="P1820" s="126"/>
      <c r="Q1820" s="62"/>
      <c r="R1820" s="62"/>
      <c r="S1820" s="127"/>
      <c r="T1820" s="11"/>
      <c r="U1820" s="124"/>
      <c r="V1820" s="11"/>
      <c r="W1820" s="124"/>
      <c r="X1820" s="128"/>
      <c r="Y1820" s="129"/>
    </row>
    <row r="1821" spans="14:25" x14ac:dyDescent="0.25">
      <c r="N1821" s="125"/>
      <c r="O1821" s="125"/>
      <c r="P1821" s="126"/>
      <c r="Q1821" s="62"/>
      <c r="R1821" s="62"/>
      <c r="S1821" s="127"/>
      <c r="T1821" s="11"/>
      <c r="U1821" s="124"/>
      <c r="V1821" s="11"/>
      <c r="W1821" s="124"/>
      <c r="X1821" s="128"/>
      <c r="Y1821" s="129"/>
    </row>
    <row r="1822" spans="14:25" x14ac:dyDescent="0.25">
      <c r="N1822" s="125"/>
      <c r="O1822" s="125"/>
      <c r="P1822" s="126"/>
      <c r="Q1822" s="62"/>
      <c r="R1822" s="62"/>
      <c r="S1822" s="127"/>
      <c r="T1822" s="11"/>
      <c r="U1822" s="124"/>
      <c r="V1822" s="11"/>
      <c r="W1822" s="124"/>
      <c r="X1822" s="128"/>
      <c r="Y1822" s="129"/>
    </row>
    <row r="1823" spans="14:25" x14ac:dyDescent="0.25">
      <c r="N1823" s="125"/>
      <c r="O1823" s="125"/>
      <c r="P1823" s="126"/>
      <c r="Q1823" s="62"/>
      <c r="R1823" s="62"/>
      <c r="S1823" s="127"/>
      <c r="T1823" s="11"/>
      <c r="U1823" s="124"/>
      <c r="V1823" s="11"/>
      <c r="W1823" s="124"/>
      <c r="X1823" s="128"/>
      <c r="Y1823" s="129"/>
    </row>
    <row r="1824" spans="14:25" x14ac:dyDescent="0.25">
      <c r="N1824" s="125"/>
      <c r="O1824" s="125"/>
      <c r="P1824" s="126"/>
      <c r="Q1824" s="62"/>
      <c r="R1824" s="62"/>
      <c r="S1824" s="127"/>
      <c r="T1824" s="11"/>
      <c r="U1824" s="124"/>
      <c r="V1824" s="11"/>
      <c r="W1824" s="124"/>
      <c r="X1824" s="128"/>
      <c r="Y1824" s="129"/>
    </row>
    <row r="1825" spans="14:25" x14ac:dyDescent="0.25">
      <c r="N1825" s="125"/>
      <c r="O1825" s="125"/>
      <c r="P1825" s="126"/>
      <c r="Q1825" s="62"/>
      <c r="R1825" s="62"/>
      <c r="S1825" s="127"/>
      <c r="T1825" s="11"/>
      <c r="U1825" s="124"/>
      <c r="V1825" s="11"/>
      <c r="W1825" s="124"/>
      <c r="X1825" s="128"/>
      <c r="Y1825" s="129"/>
    </row>
    <row r="1826" spans="14:25" x14ac:dyDescent="0.25">
      <c r="N1826" s="125"/>
      <c r="O1826" s="125"/>
      <c r="P1826" s="126"/>
      <c r="Q1826" s="62"/>
      <c r="R1826" s="62"/>
      <c r="S1826" s="127"/>
      <c r="T1826" s="11"/>
      <c r="U1826" s="124"/>
      <c r="V1826" s="11"/>
      <c r="W1826" s="124"/>
      <c r="X1826" s="128"/>
      <c r="Y1826" s="129"/>
    </row>
    <row r="1827" spans="14:25" x14ac:dyDescent="0.25">
      <c r="N1827" s="125"/>
      <c r="O1827" s="125"/>
      <c r="P1827" s="126"/>
      <c r="Q1827" s="62"/>
      <c r="R1827" s="62"/>
      <c r="S1827" s="127"/>
      <c r="T1827" s="11"/>
      <c r="U1827" s="124"/>
      <c r="V1827" s="11"/>
      <c r="W1827" s="124"/>
      <c r="X1827" s="128"/>
      <c r="Y1827" s="129"/>
    </row>
    <row r="1828" spans="14:25" x14ac:dyDescent="0.25">
      <c r="N1828" s="125"/>
      <c r="O1828" s="125"/>
      <c r="P1828" s="126"/>
      <c r="Q1828" s="62"/>
      <c r="R1828" s="62"/>
      <c r="S1828" s="127"/>
      <c r="T1828" s="11"/>
      <c r="U1828" s="124"/>
      <c r="V1828" s="11"/>
      <c r="W1828" s="124"/>
      <c r="X1828" s="128"/>
      <c r="Y1828" s="129"/>
    </row>
    <row r="1829" spans="14:25" x14ac:dyDescent="0.25">
      <c r="N1829" s="125"/>
      <c r="O1829" s="125"/>
      <c r="P1829" s="126"/>
      <c r="Q1829" s="62"/>
      <c r="R1829" s="62"/>
      <c r="S1829" s="127"/>
      <c r="T1829" s="11"/>
      <c r="U1829" s="124"/>
      <c r="V1829" s="11"/>
      <c r="W1829" s="124"/>
      <c r="X1829" s="128"/>
      <c r="Y1829" s="129"/>
    </row>
    <row r="1830" spans="14:25" x14ac:dyDescent="0.25">
      <c r="N1830" s="125"/>
      <c r="O1830" s="125"/>
      <c r="P1830" s="126"/>
      <c r="Q1830" s="62"/>
      <c r="R1830" s="62"/>
      <c r="S1830" s="127"/>
      <c r="T1830" s="11"/>
      <c r="U1830" s="124"/>
      <c r="V1830" s="11"/>
      <c r="W1830" s="124"/>
      <c r="X1830" s="128"/>
      <c r="Y1830" s="129"/>
    </row>
    <row r="1831" spans="14:25" x14ac:dyDescent="0.25">
      <c r="N1831" s="125"/>
      <c r="O1831" s="125"/>
      <c r="P1831" s="126"/>
      <c r="Q1831" s="62"/>
      <c r="R1831" s="62"/>
      <c r="S1831" s="127"/>
      <c r="T1831" s="11"/>
      <c r="U1831" s="124"/>
      <c r="V1831" s="11"/>
      <c r="W1831" s="124"/>
      <c r="X1831" s="128"/>
      <c r="Y1831" s="129"/>
    </row>
    <row r="1832" spans="14:25" x14ac:dyDescent="0.25">
      <c r="N1832" s="125"/>
      <c r="O1832" s="125"/>
      <c r="P1832" s="126"/>
      <c r="Q1832" s="62"/>
      <c r="R1832" s="62"/>
      <c r="S1832" s="127"/>
      <c r="T1832" s="11"/>
      <c r="U1832" s="124"/>
      <c r="V1832" s="11"/>
      <c r="W1832" s="124"/>
      <c r="X1832" s="128"/>
      <c r="Y1832" s="129"/>
    </row>
    <row r="1833" spans="14:25" x14ac:dyDescent="0.25">
      <c r="N1833" s="125"/>
      <c r="O1833" s="125"/>
      <c r="P1833" s="126"/>
      <c r="Q1833" s="62"/>
      <c r="R1833" s="62"/>
      <c r="S1833" s="127"/>
      <c r="T1833" s="11"/>
      <c r="U1833" s="124"/>
      <c r="V1833" s="11"/>
      <c r="W1833" s="124"/>
      <c r="X1833" s="128"/>
      <c r="Y1833" s="129"/>
    </row>
    <row r="1834" spans="14:25" x14ac:dyDescent="0.25">
      <c r="N1834" s="125"/>
      <c r="O1834" s="125"/>
      <c r="P1834" s="126"/>
      <c r="Q1834" s="62"/>
      <c r="R1834" s="62"/>
      <c r="S1834" s="127"/>
      <c r="T1834" s="11"/>
      <c r="U1834" s="124"/>
      <c r="V1834" s="11"/>
      <c r="W1834" s="124"/>
      <c r="X1834" s="128"/>
      <c r="Y1834" s="129"/>
    </row>
    <row r="1835" spans="14:25" x14ac:dyDescent="0.25">
      <c r="N1835" s="125"/>
      <c r="O1835" s="125"/>
      <c r="P1835" s="126"/>
      <c r="Q1835" s="62"/>
      <c r="R1835" s="62"/>
      <c r="S1835" s="127"/>
      <c r="T1835" s="11"/>
      <c r="U1835" s="124"/>
      <c r="V1835" s="11"/>
      <c r="W1835" s="124"/>
      <c r="X1835" s="128"/>
      <c r="Y1835" s="129"/>
    </row>
    <row r="1836" spans="14:25" x14ac:dyDescent="0.25">
      <c r="N1836" s="125"/>
      <c r="O1836" s="125"/>
      <c r="P1836" s="126"/>
      <c r="Q1836" s="62"/>
      <c r="R1836" s="62"/>
      <c r="S1836" s="127"/>
      <c r="T1836" s="11"/>
      <c r="U1836" s="124"/>
      <c r="V1836" s="11"/>
      <c r="W1836" s="124"/>
      <c r="X1836" s="128"/>
      <c r="Y1836" s="129"/>
    </row>
    <row r="1837" spans="14:25" x14ac:dyDescent="0.25">
      <c r="N1837" s="125"/>
      <c r="O1837" s="125"/>
      <c r="P1837" s="126"/>
      <c r="Q1837" s="62"/>
      <c r="R1837" s="62"/>
      <c r="S1837" s="127"/>
      <c r="T1837" s="11"/>
      <c r="U1837" s="124"/>
      <c r="V1837" s="11"/>
      <c r="W1837" s="124"/>
      <c r="X1837" s="128"/>
      <c r="Y1837" s="129"/>
    </row>
    <row r="1838" spans="14:25" x14ac:dyDescent="0.25">
      <c r="N1838" s="125"/>
      <c r="O1838" s="125"/>
      <c r="P1838" s="126"/>
      <c r="Q1838" s="62"/>
      <c r="R1838" s="62"/>
      <c r="S1838" s="127"/>
      <c r="T1838" s="11"/>
      <c r="U1838" s="124"/>
      <c r="V1838" s="11"/>
      <c r="W1838" s="124"/>
      <c r="X1838" s="128"/>
      <c r="Y1838" s="129"/>
    </row>
    <row r="1839" spans="14:25" x14ac:dyDescent="0.25">
      <c r="N1839" s="125"/>
      <c r="O1839" s="125"/>
      <c r="P1839" s="126"/>
      <c r="Q1839" s="62"/>
      <c r="R1839" s="62"/>
      <c r="S1839" s="127"/>
      <c r="T1839" s="11"/>
      <c r="U1839" s="124"/>
      <c r="V1839" s="11"/>
      <c r="W1839" s="124"/>
      <c r="X1839" s="128"/>
      <c r="Y1839" s="129"/>
    </row>
    <row r="1840" spans="14:25" x14ac:dyDescent="0.25">
      <c r="N1840" s="125"/>
      <c r="O1840" s="125"/>
      <c r="P1840" s="126"/>
      <c r="Q1840" s="62"/>
      <c r="R1840" s="62"/>
      <c r="S1840" s="127"/>
      <c r="T1840" s="11"/>
      <c r="U1840" s="124"/>
      <c r="V1840" s="11"/>
      <c r="W1840" s="124"/>
      <c r="X1840" s="128"/>
      <c r="Y1840" s="129"/>
    </row>
    <row r="1841" spans="14:25" x14ac:dyDescent="0.25">
      <c r="N1841" s="125"/>
      <c r="O1841" s="125"/>
      <c r="P1841" s="126"/>
      <c r="Q1841" s="62"/>
      <c r="R1841" s="62"/>
      <c r="S1841" s="127"/>
      <c r="T1841" s="11"/>
      <c r="U1841" s="124"/>
      <c r="V1841" s="11"/>
      <c r="W1841" s="124"/>
      <c r="X1841" s="128"/>
      <c r="Y1841" s="129"/>
    </row>
    <row r="1842" spans="14:25" x14ac:dyDescent="0.25">
      <c r="N1842" s="125"/>
      <c r="O1842" s="125"/>
      <c r="P1842" s="126"/>
      <c r="Q1842" s="62"/>
      <c r="R1842" s="62"/>
      <c r="S1842" s="127"/>
      <c r="T1842" s="11"/>
      <c r="U1842" s="124"/>
      <c r="V1842" s="11"/>
      <c r="W1842" s="124"/>
      <c r="X1842" s="128"/>
      <c r="Y1842" s="129"/>
    </row>
    <row r="1843" spans="14:25" x14ac:dyDescent="0.25">
      <c r="N1843" s="125"/>
      <c r="O1843" s="125"/>
      <c r="P1843" s="126"/>
      <c r="Q1843" s="62"/>
      <c r="R1843" s="62"/>
      <c r="S1843" s="127"/>
      <c r="T1843" s="11"/>
      <c r="U1843" s="124"/>
      <c r="V1843" s="11"/>
      <c r="W1843" s="124"/>
      <c r="X1843" s="128"/>
      <c r="Y1843" s="129"/>
    </row>
    <row r="1844" spans="14:25" x14ac:dyDescent="0.25">
      <c r="N1844" s="125"/>
      <c r="O1844" s="125"/>
      <c r="P1844" s="126"/>
      <c r="Q1844" s="62"/>
      <c r="R1844" s="62"/>
      <c r="S1844" s="127"/>
      <c r="T1844" s="11"/>
      <c r="U1844" s="124"/>
      <c r="V1844" s="11"/>
      <c r="W1844" s="124"/>
      <c r="X1844" s="128"/>
      <c r="Y1844" s="129"/>
    </row>
    <row r="1845" spans="14:25" x14ac:dyDescent="0.25">
      <c r="N1845" s="125"/>
      <c r="O1845" s="125"/>
      <c r="P1845" s="126"/>
      <c r="Q1845" s="62"/>
      <c r="R1845" s="62"/>
      <c r="S1845" s="127"/>
      <c r="T1845" s="11"/>
      <c r="U1845" s="124"/>
      <c r="V1845" s="11"/>
      <c r="W1845" s="124"/>
      <c r="X1845" s="128"/>
      <c r="Y1845" s="129"/>
    </row>
    <row r="1846" spans="14:25" x14ac:dyDescent="0.25">
      <c r="N1846" s="125"/>
      <c r="O1846" s="125"/>
      <c r="P1846" s="126"/>
      <c r="Q1846" s="62"/>
      <c r="R1846" s="62"/>
      <c r="S1846" s="127"/>
      <c r="T1846" s="11"/>
      <c r="U1846" s="124"/>
      <c r="V1846" s="11"/>
      <c r="W1846" s="124"/>
      <c r="X1846" s="128"/>
      <c r="Y1846" s="129"/>
    </row>
    <row r="1847" spans="14:25" x14ac:dyDescent="0.25">
      <c r="N1847" s="125"/>
      <c r="O1847" s="125"/>
      <c r="P1847" s="126"/>
      <c r="Q1847" s="62"/>
      <c r="R1847" s="62"/>
      <c r="S1847" s="127"/>
      <c r="T1847" s="11"/>
      <c r="U1847" s="124"/>
      <c r="V1847" s="11"/>
      <c r="W1847" s="124"/>
      <c r="X1847" s="128"/>
      <c r="Y1847" s="129"/>
    </row>
    <row r="1848" spans="14:25" x14ac:dyDescent="0.25">
      <c r="N1848" s="125"/>
      <c r="O1848" s="125"/>
      <c r="P1848" s="126"/>
      <c r="Q1848" s="62"/>
      <c r="R1848" s="62"/>
      <c r="S1848" s="127"/>
      <c r="T1848" s="11"/>
      <c r="U1848" s="124"/>
      <c r="V1848" s="11"/>
      <c r="W1848" s="124"/>
      <c r="X1848" s="128"/>
      <c r="Y1848" s="129"/>
    </row>
    <row r="1849" spans="14:25" x14ac:dyDescent="0.25">
      <c r="N1849" s="125"/>
      <c r="O1849" s="125"/>
      <c r="P1849" s="126"/>
      <c r="Q1849" s="62"/>
      <c r="R1849" s="62"/>
      <c r="S1849" s="127"/>
      <c r="T1849" s="11"/>
      <c r="U1849" s="124"/>
      <c r="V1849" s="11"/>
      <c r="W1849" s="124"/>
      <c r="X1849" s="128"/>
      <c r="Y1849" s="129"/>
    </row>
    <row r="1850" spans="14:25" x14ac:dyDescent="0.25">
      <c r="N1850" s="125"/>
      <c r="O1850" s="125"/>
      <c r="P1850" s="126"/>
      <c r="Q1850" s="62"/>
      <c r="R1850" s="62"/>
      <c r="S1850" s="127"/>
      <c r="T1850" s="11"/>
      <c r="U1850" s="124"/>
      <c r="V1850" s="11"/>
      <c r="W1850" s="124"/>
      <c r="X1850" s="128"/>
      <c r="Y1850" s="129"/>
    </row>
    <row r="1851" spans="14:25" x14ac:dyDescent="0.25">
      <c r="N1851" s="125"/>
      <c r="O1851" s="125"/>
      <c r="P1851" s="126"/>
      <c r="Q1851" s="62"/>
      <c r="R1851" s="62"/>
      <c r="S1851" s="127"/>
      <c r="T1851" s="11"/>
      <c r="U1851" s="124"/>
      <c r="V1851" s="11"/>
      <c r="W1851" s="124"/>
      <c r="X1851" s="128"/>
      <c r="Y1851" s="129"/>
    </row>
    <row r="1852" spans="14:25" x14ac:dyDescent="0.25">
      <c r="N1852" s="125"/>
      <c r="O1852" s="125"/>
      <c r="P1852" s="126"/>
      <c r="Q1852" s="62"/>
      <c r="R1852" s="62"/>
      <c r="S1852" s="127"/>
      <c r="T1852" s="11"/>
      <c r="U1852" s="124"/>
      <c r="V1852" s="11"/>
      <c r="W1852" s="124"/>
      <c r="X1852" s="128"/>
      <c r="Y1852" s="129"/>
    </row>
    <row r="1853" spans="14:25" x14ac:dyDescent="0.25">
      <c r="N1853" s="125"/>
      <c r="O1853" s="125"/>
      <c r="P1853" s="126"/>
      <c r="Q1853" s="62"/>
      <c r="R1853" s="62"/>
      <c r="S1853" s="127"/>
      <c r="T1853" s="11"/>
      <c r="U1853" s="124"/>
      <c r="V1853" s="11"/>
      <c r="W1853" s="124"/>
      <c r="X1853" s="128"/>
      <c r="Y1853" s="129"/>
    </row>
    <row r="1854" spans="14:25" x14ac:dyDescent="0.25">
      <c r="N1854" s="125"/>
      <c r="O1854" s="125"/>
      <c r="P1854" s="126"/>
      <c r="Q1854" s="62"/>
      <c r="R1854" s="62"/>
      <c r="S1854" s="127"/>
      <c r="T1854" s="11"/>
      <c r="U1854" s="124"/>
      <c r="V1854" s="11"/>
      <c r="W1854" s="124"/>
      <c r="X1854" s="128"/>
      <c r="Y1854" s="129"/>
    </row>
    <row r="1855" spans="14:25" x14ac:dyDescent="0.25">
      <c r="N1855" s="125"/>
      <c r="O1855" s="125"/>
      <c r="P1855" s="126"/>
      <c r="Q1855" s="62"/>
      <c r="R1855" s="62"/>
      <c r="S1855" s="127"/>
      <c r="T1855" s="11"/>
      <c r="U1855" s="124"/>
      <c r="V1855" s="11"/>
      <c r="W1855" s="124"/>
      <c r="X1855" s="128"/>
      <c r="Y1855" s="129"/>
    </row>
    <row r="1856" spans="14:25" x14ac:dyDescent="0.25">
      <c r="N1856" s="125"/>
      <c r="O1856" s="125"/>
      <c r="P1856" s="126"/>
      <c r="Q1856" s="62"/>
      <c r="R1856" s="62"/>
      <c r="S1856" s="127"/>
      <c r="T1856" s="11"/>
      <c r="U1856" s="124"/>
      <c r="V1856" s="11"/>
      <c r="W1856" s="124"/>
      <c r="X1856" s="128"/>
      <c r="Y1856" s="129"/>
    </row>
    <row r="1857" spans="14:25" x14ac:dyDescent="0.25">
      <c r="N1857" s="125"/>
      <c r="O1857" s="125"/>
      <c r="P1857" s="126"/>
      <c r="Q1857" s="62"/>
      <c r="R1857" s="62"/>
      <c r="S1857" s="127"/>
      <c r="T1857" s="11"/>
      <c r="U1857" s="124"/>
      <c r="V1857" s="11"/>
      <c r="W1857" s="124"/>
      <c r="X1857" s="128"/>
      <c r="Y1857" s="129"/>
    </row>
    <row r="1858" spans="14:25" x14ac:dyDescent="0.25">
      <c r="N1858" s="125"/>
      <c r="O1858" s="125"/>
      <c r="P1858" s="126"/>
      <c r="Q1858" s="62"/>
      <c r="R1858" s="62"/>
      <c r="S1858" s="127"/>
      <c r="T1858" s="11"/>
      <c r="U1858" s="124"/>
      <c r="V1858" s="11"/>
      <c r="W1858" s="124"/>
      <c r="X1858" s="128"/>
      <c r="Y1858" s="129"/>
    </row>
    <row r="1859" spans="14:25" x14ac:dyDescent="0.25">
      <c r="N1859" s="125"/>
      <c r="O1859" s="125"/>
      <c r="P1859" s="126"/>
      <c r="Q1859" s="62"/>
      <c r="R1859" s="62"/>
      <c r="S1859" s="127"/>
      <c r="T1859" s="11"/>
      <c r="U1859" s="124"/>
      <c r="V1859" s="11"/>
      <c r="W1859" s="124"/>
      <c r="X1859" s="128"/>
      <c r="Y1859" s="129"/>
    </row>
    <row r="1860" spans="14:25" x14ac:dyDescent="0.25">
      <c r="N1860" s="125"/>
      <c r="O1860" s="125"/>
      <c r="P1860" s="126"/>
      <c r="Q1860" s="62"/>
      <c r="R1860" s="62"/>
      <c r="S1860" s="127"/>
      <c r="T1860" s="11"/>
      <c r="U1860" s="124"/>
      <c r="V1860" s="11"/>
      <c r="W1860" s="124"/>
      <c r="X1860" s="128"/>
      <c r="Y1860" s="129"/>
    </row>
    <row r="1861" spans="14:25" x14ac:dyDescent="0.25">
      <c r="N1861" s="125"/>
      <c r="O1861" s="125"/>
      <c r="P1861" s="126"/>
      <c r="Q1861" s="62"/>
      <c r="R1861" s="62"/>
      <c r="S1861" s="127"/>
      <c r="T1861" s="11"/>
      <c r="U1861" s="124"/>
      <c r="V1861" s="11"/>
      <c r="W1861" s="124"/>
      <c r="X1861" s="128"/>
      <c r="Y1861" s="129"/>
    </row>
    <row r="1862" spans="14:25" x14ac:dyDescent="0.25">
      <c r="N1862" s="125"/>
      <c r="O1862" s="125"/>
      <c r="P1862" s="126"/>
      <c r="Q1862" s="62"/>
      <c r="R1862" s="62"/>
      <c r="S1862" s="127"/>
      <c r="T1862" s="11"/>
      <c r="U1862" s="124"/>
      <c r="V1862" s="11"/>
      <c r="W1862" s="124"/>
      <c r="X1862" s="128"/>
      <c r="Y1862" s="129"/>
    </row>
    <row r="1863" spans="14:25" x14ac:dyDescent="0.25">
      <c r="N1863" s="125"/>
      <c r="O1863" s="125"/>
      <c r="P1863" s="126"/>
      <c r="Q1863" s="62"/>
      <c r="R1863" s="62"/>
      <c r="S1863" s="127"/>
      <c r="T1863" s="11"/>
      <c r="U1863" s="124"/>
      <c r="V1863" s="11"/>
      <c r="W1863" s="124"/>
      <c r="X1863" s="128"/>
      <c r="Y1863" s="129"/>
    </row>
    <row r="1864" spans="14:25" x14ac:dyDescent="0.25">
      <c r="N1864" s="125"/>
      <c r="O1864" s="125"/>
      <c r="P1864" s="126"/>
      <c r="Q1864" s="62"/>
      <c r="R1864" s="62"/>
      <c r="S1864" s="127"/>
      <c r="T1864" s="11"/>
      <c r="U1864" s="124"/>
      <c r="V1864" s="11"/>
      <c r="W1864" s="124"/>
      <c r="X1864" s="128"/>
      <c r="Y1864" s="129"/>
    </row>
    <row r="1865" spans="14:25" x14ac:dyDescent="0.25">
      <c r="N1865" s="125"/>
      <c r="O1865" s="125"/>
      <c r="P1865" s="126"/>
      <c r="Q1865" s="62"/>
      <c r="R1865" s="62"/>
      <c r="S1865" s="127"/>
      <c r="T1865" s="11"/>
      <c r="U1865" s="124"/>
      <c r="V1865" s="11"/>
      <c r="W1865" s="124"/>
      <c r="X1865" s="128"/>
      <c r="Y1865" s="129"/>
    </row>
    <row r="1866" spans="14:25" x14ac:dyDescent="0.25">
      <c r="N1866" s="125"/>
      <c r="O1866" s="125"/>
      <c r="P1866" s="126"/>
      <c r="Q1866" s="62"/>
      <c r="R1866" s="62"/>
      <c r="S1866" s="127"/>
      <c r="T1866" s="11"/>
      <c r="U1866" s="124"/>
      <c r="V1866" s="11"/>
      <c r="W1866" s="124"/>
      <c r="X1866" s="128"/>
      <c r="Y1866" s="129"/>
    </row>
    <row r="1867" spans="14:25" x14ac:dyDescent="0.25">
      <c r="N1867" s="125"/>
      <c r="O1867" s="125"/>
      <c r="P1867" s="126"/>
      <c r="Q1867" s="62"/>
      <c r="R1867" s="62"/>
      <c r="S1867" s="127"/>
      <c r="T1867" s="11"/>
      <c r="U1867" s="124"/>
      <c r="V1867" s="11"/>
      <c r="W1867" s="124"/>
      <c r="X1867" s="128"/>
      <c r="Y1867" s="129"/>
    </row>
    <row r="1868" spans="14:25" x14ac:dyDescent="0.25">
      <c r="N1868" s="125"/>
      <c r="O1868" s="125"/>
      <c r="P1868" s="126"/>
      <c r="Q1868" s="62"/>
      <c r="R1868" s="62"/>
      <c r="S1868" s="127"/>
      <c r="T1868" s="11"/>
      <c r="U1868" s="124"/>
      <c r="V1868" s="11"/>
      <c r="W1868" s="124"/>
      <c r="X1868" s="128"/>
      <c r="Y1868" s="129"/>
    </row>
    <row r="1869" spans="14:25" x14ac:dyDescent="0.25">
      <c r="N1869" s="125"/>
      <c r="O1869" s="125"/>
      <c r="P1869" s="126"/>
      <c r="Q1869" s="62"/>
      <c r="R1869" s="62"/>
      <c r="S1869" s="127"/>
      <c r="T1869" s="11"/>
      <c r="U1869" s="124"/>
      <c r="V1869" s="11"/>
      <c r="W1869" s="124"/>
      <c r="X1869" s="128"/>
      <c r="Y1869" s="129"/>
    </row>
    <row r="1870" spans="14:25" x14ac:dyDescent="0.25">
      <c r="N1870" s="125"/>
      <c r="O1870" s="125"/>
      <c r="P1870" s="126"/>
      <c r="Q1870" s="62"/>
      <c r="R1870" s="62"/>
      <c r="S1870" s="127"/>
      <c r="T1870" s="11"/>
      <c r="U1870" s="124"/>
      <c r="V1870" s="11"/>
      <c r="W1870" s="124"/>
      <c r="X1870" s="128"/>
      <c r="Y1870" s="129"/>
    </row>
    <row r="1871" spans="14:25" x14ac:dyDescent="0.25">
      <c r="N1871" s="125"/>
      <c r="O1871" s="125"/>
      <c r="P1871" s="126"/>
      <c r="Q1871" s="62"/>
      <c r="R1871" s="62"/>
      <c r="S1871" s="127"/>
      <c r="T1871" s="11"/>
      <c r="U1871" s="124"/>
      <c r="V1871" s="11"/>
      <c r="W1871" s="124"/>
      <c r="X1871" s="128"/>
      <c r="Y1871" s="129"/>
    </row>
    <row r="1872" spans="14:25" x14ac:dyDescent="0.25">
      <c r="N1872" s="125"/>
      <c r="O1872" s="125"/>
      <c r="P1872" s="126"/>
      <c r="Q1872" s="62"/>
      <c r="R1872" s="62"/>
      <c r="S1872" s="127"/>
      <c r="T1872" s="11"/>
      <c r="U1872" s="124"/>
      <c r="V1872" s="11"/>
      <c r="W1872" s="124"/>
      <c r="X1872" s="128"/>
      <c r="Y1872" s="129"/>
    </row>
    <row r="1873" spans="14:25" x14ac:dyDescent="0.25">
      <c r="N1873" s="125"/>
      <c r="O1873" s="125"/>
      <c r="P1873" s="126"/>
      <c r="Q1873" s="62"/>
      <c r="R1873" s="62"/>
      <c r="S1873" s="127"/>
      <c r="T1873" s="11"/>
      <c r="U1873" s="124"/>
      <c r="V1873" s="11"/>
      <c r="W1873" s="124"/>
      <c r="X1873" s="128"/>
      <c r="Y1873" s="129"/>
    </row>
    <row r="1874" spans="14:25" x14ac:dyDescent="0.25">
      <c r="N1874" s="125"/>
      <c r="O1874" s="125"/>
      <c r="P1874" s="126"/>
      <c r="Q1874" s="62"/>
      <c r="R1874" s="62"/>
      <c r="S1874" s="127"/>
      <c r="T1874" s="11"/>
      <c r="U1874" s="124"/>
      <c r="V1874" s="11"/>
      <c r="W1874" s="124"/>
      <c r="X1874" s="128"/>
      <c r="Y1874" s="129"/>
    </row>
    <row r="1875" spans="14:25" x14ac:dyDescent="0.25">
      <c r="N1875" s="125"/>
      <c r="O1875" s="125"/>
      <c r="P1875" s="126"/>
      <c r="Q1875" s="62"/>
      <c r="R1875" s="62"/>
      <c r="S1875" s="127"/>
      <c r="T1875" s="11"/>
      <c r="U1875" s="124"/>
      <c r="V1875" s="11"/>
      <c r="W1875" s="124"/>
      <c r="X1875" s="128"/>
      <c r="Y1875" s="129"/>
    </row>
    <row r="1876" spans="14:25" x14ac:dyDescent="0.25">
      <c r="N1876" s="125"/>
      <c r="O1876" s="125"/>
      <c r="P1876" s="126"/>
      <c r="Q1876" s="62"/>
      <c r="R1876" s="62"/>
      <c r="S1876" s="127"/>
      <c r="T1876" s="11"/>
      <c r="U1876" s="124"/>
      <c r="V1876" s="11"/>
      <c r="W1876" s="124"/>
      <c r="X1876" s="128"/>
      <c r="Y1876" s="129"/>
    </row>
    <row r="1877" spans="14:25" x14ac:dyDescent="0.25">
      <c r="N1877" s="125"/>
      <c r="O1877" s="125"/>
      <c r="P1877" s="126"/>
      <c r="Q1877" s="62"/>
      <c r="R1877" s="62"/>
      <c r="S1877" s="127"/>
      <c r="T1877" s="11"/>
      <c r="U1877" s="124"/>
      <c r="V1877" s="11"/>
      <c r="W1877" s="124"/>
      <c r="X1877" s="128"/>
      <c r="Y1877" s="129"/>
    </row>
    <row r="1878" spans="14:25" x14ac:dyDescent="0.25">
      <c r="N1878" s="125"/>
      <c r="O1878" s="125"/>
      <c r="P1878" s="126"/>
      <c r="Q1878" s="62"/>
      <c r="R1878" s="62"/>
      <c r="S1878" s="127"/>
      <c r="T1878" s="11"/>
      <c r="U1878" s="124"/>
      <c r="V1878" s="11"/>
      <c r="W1878" s="124"/>
      <c r="X1878" s="128"/>
      <c r="Y1878" s="129"/>
    </row>
    <row r="1879" spans="14:25" x14ac:dyDescent="0.25">
      <c r="N1879" s="125"/>
      <c r="O1879" s="125"/>
      <c r="P1879" s="126"/>
      <c r="Q1879" s="62"/>
      <c r="R1879" s="62"/>
      <c r="S1879" s="127"/>
      <c r="T1879" s="11"/>
      <c r="U1879" s="124"/>
      <c r="V1879" s="11"/>
      <c r="W1879" s="124"/>
      <c r="X1879" s="128"/>
      <c r="Y1879" s="129"/>
    </row>
    <row r="1880" spans="14:25" x14ac:dyDescent="0.25">
      <c r="N1880" s="125"/>
      <c r="O1880" s="125"/>
      <c r="P1880" s="126"/>
      <c r="Q1880" s="62"/>
      <c r="R1880" s="62"/>
      <c r="S1880" s="127"/>
      <c r="T1880" s="11"/>
      <c r="U1880" s="124"/>
      <c r="V1880" s="11"/>
      <c r="W1880" s="124"/>
      <c r="X1880" s="128"/>
      <c r="Y1880" s="129"/>
    </row>
    <row r="1881" spans="14:25" x14ac:dyDescent="0.25">
      <c r="N1881" s="125"/>
      <c r="O1881" s="125"/>
      <c r="P1881" s="126"/>
      <c r="Q1881" s="62"/>
      <c r="R1881" s="62"/>
      <c r="S1881" s="127"/>
      <c r="T1881" s="11"/>
      <c r="U1881" s="124"/>
      <c r="V1881" s="11"/>
      <c r="W1881" s="124"/>
      <c r="X1881" s="128"/>
      <c r="Y1881" s="129"/>
    </row>
    <row r="1882" spans="14:25" x14ac:dyDescent="0.25">
      <c r="N1882" s="125"/>
      <c r="O1882" s="125"/>
      <c r="P1882" s="126"/>
      <c r="Q1882" s="62"/>
      <c r="R1882" s="62"/>
      <c r="S1882" s="127"/>
      <c r="T1882" s="11"/>
      <c r="U1882" s="124"/>
      <c r="V1882" s="11"/>
      <c r="W1882" s="124"/>
      <c r="X1882" s="128"/>
      <c r="Y1882" s="129"/>
    </row>
    <row r="1883" spans="14:25" x14ac:dyDescent="0.25">
      <c r="N1883" s="125"/>
      <c r="O1883" s="125"/>
      <c r="P1883" s="126"/>
      <c r="Q1883" s="62"/>
      <c r="R1883" s="62"/>
      <c r="S1883" s="127"/>
      <c r="T1883" s="11"/>
      <c r="U1883" s="124"/>
      <c r="V1883" s="11"/>
      <c r="W1883" s="124"/>
      <c r="X1883" s="128"/>
      <c r="Y1883" s="129"/>
    </row>
    <row r="1884" spans="14:25" x14ac:dyDescent="0.25">
      <c r="N1884" s="125"/>
      <c r="O1884" s="125"/>
      <c r="P1884" s="126"/>
      <c r="Q1884" s="62"/>
      <c r="R1884" s="62"/>
      <c r="S1884" s="127"/>
      <c r="T1884" s="11"/>
      <c r="U1884" s="124"/>
      <c r="V1884" s="11"/>
      <c r="W1884" s="124"/>
      <c r="X1884" s="128"/>
      <c r="Y1884" s="129"/>
    </row>
    <row r="1885" spans="14:25" x14ac:dyDescent="0.25">
      <c r="N1885" s="125"/>
      <c r="O1885" s="125"/>
      <c r="P1885" s="126"/>
      <c r="Q1885" s="62"/>
      <c r="R1885" s="62"/>
      <c r="S1885" s="127"/>
      <c r="T1885" s="11"/>
      <c r="U1885" s="124"/>
      <c r="V1885" s="11"/>
      <c r="W1885" s="124"/>
      <c r="X1885" s="128"/>
      <c r="Y1885" s="129"/>
    </row>
    <row r="1886" spans="14:25" x14ac:dyDescent="0.25">
      <c r="N1886" s="125"/>
      <c r="O1886" s="125"/>
      <c r="P1886" s="126"/>
      <c r="Q1886" s="62"/>
      <c r="R1886" s="62"/>
      <c r="S1886" s="127"/>
      <c r="T1886" s="11"/>
      <c r="U1886" s="124"/>
      <c r="V1886" s="11"/>
      <c r="W1886" s="124"/>
      <c r="X1886" s="128"/>
      <c r="Y1886" s="129"/>
    </row>
    <row r="1887" spans="14:25" x14ac:dyDescent="0.25">
      <c r="N1887" s="125"/>
      <c r="O1887" s="125"/>
      <c r="P1887" s="126"/>
      <c r="Q1887" s="62"/>
      <c r="R1887" s="62"/>
      <c r="S1887" s="127"/>
      <c r="T1887" s="11"/>
      <c r="U1887" s="124"/>
      <c r="V1887" s="11"/>
      <c r="W1887" s="124"/>
      <c r="X1887" s="128"/>
      <c r="Y1887" s="129"/>
    </row>
    <row r="1888" spans="14:25" x14ac:dyDescent="0.25">
      <c r="N1888" s="125"/>
      <c r="O1888" s="125"/>
      <c r="P1888" s="126"/>
      <c r="Q1888" s="62"/>
      <c r="R1888" s="62"/>
      <c r="S1888" s="127"/>
      <c r="T1888" s="11"/>
      <c r="U1888" s="124"/>
      <c r="V1888" s="11"/>
      <c r="W1888" s="124"/>
      <c r="X1888" s="128"/>
      <c r="Y1888" s="129"/>
    </row>
    <row r="1889" spans="14:25" x14ac:dyDescent="0.25">
      <c r="N1889" s="125"/>
      <c r="O1889" s="125"/>
      <c r="P1889" s="126"/>
      <c r="Q1889" s="62"/>
      <c r="R1889" s="62"/>
      <c r="S1889" s="127"/>
      <c r="T1889" s="11"/>
      <c r="U1889" s="124"/>
      <c r="V1889" s="11"/>
      <c r="W1889" s="124"/>
      <c r="X1889" s="128"/>
      <c r="Y1889" s="129"/>
    </row>
    <row r="1890" spans="14:25" x14ac:dyDescent="0.25">
      <c r="N1890" s="125"/>
      <c r="O1890" s="125"/>
      <c r="P1890" s="126"/>
      <c r="Q1890" s="62"/>
      <c r="R1890" s="62"/>
      <c r="S1890" s="127"/>
      <c r="T1890" s="11"/>
      <c r="U1890" s="124"/>
      <c r="V1890" s="11"/>
      <c r="W1890" s="124"/>
      <c r="X1890" s="128"/>
      <c r="Y1890" s="129"/>
    </row>
    <row r="1891" spans="14:25" x14ac:dyDescent="0.25">
      <c r="N1891" s="125"/>
      <c r="O1891" s="125"/>
      <c r="P1891" s="126"/>
      <c r="Q1891" s="62"/>
      <c r="R1891" s="62"/>
      <c r="S1891" s="127"/>
      <c r="T1891" s="11"/>
      <c r="U1891" s="124"/>
      <c r="V1891" s="11"/>
      <c r="W1891" s="124"/>
      <c r="X1891" s="128"/>
      <c r="Y1891" s="129"/>
    </row>
    <row r="1892" spans="14:25" x14ac:dyDescent="0.25">
      <c r="N1892" s="125"/>
      <c r="O1892" s="125"/>
      <c r="P1892" s="126"/>
      <c r="Q1892" s="62"/>
      <c r="R1892" s="62"/>
      <c r="S1892" s="127"/>
      <c r="T1892" s="11"/>
      <c r="U1892" s="124"/>
      <c r="V1892" s="11"/>
      <c r="W1892" s="124"/>
      <c r="X1892" s="128"/>
      <c r="Y1892" s="129"/>
    </row>
    <row r="1893" spans="14:25" x14ac:dyDescent="0.25">
      <c r="N1893" s="125"/>
      <c r="O1893" s="125"/>
      <c r="P1893" s="126"/>
      <c r="Q1893" s="62"/>
      <c r="R1893" s="62"/>
      <c r="S1893" s="127"/>
      <c r="T1893" s="11"/>
      <c r="U1893" s="124"/>
      <c r="V1893" s="11"/>
      <c r="W1893" s="124"/>
      <c r="X1893" s="128"/>
      <c r="Y1893" s="129"/>
    </row>
    <row r="1894" spans="14:25" x14ac:dyDescent="0.25">
      <c r="N1894" s="125"/>
      <c r="O1894" s="125"/>
      <c r="P1894" s="126"/>
      <c r="Q1894" s="62"/>
      <c r="R1894" s="62"/>
      <c r="S1894" s="127"/>
      <c r="T1894" s="11"/>
      <c r="U1894" s="124"/>
      <c r="V1894" s="11"/>
      <c r="W1894" s="124"/>
      <c r="X1894" s="128"/>
      <c r="Y1894" s="129"/>
    </row>
    <row r="1895" spans="14:25" x14ac:dyDescent="0.25">
      <c r="N1895" s="125"/>
      <c r="O1895" s="125"/>
      <c r="P1895" s="126"/>
      <c r="Q1895" s="62"/>
      <c r="R1895" s="62"/>
      <c r="S1895" s="127"/>
      <c r="T1895" s="11"/>
      <c r="U1895" s="124"/>
      <c r="V1895" s="11"/>
      <c r="W1895" s="124"/>
      <c r="X1895" s="128"/>
      <c r="Y1895" s="129"/>
    </row>
    <row r="1896" spans="14:25" x14ac:dyDescent="0.25">
      <c r="N1896" s="125"/>
      <c r="O1896" s="125"/>
      <c r="P1896" s="126"/>
      <c r="Q1896" s="62"/>
      <c r="R1896" s="62"/>
      <c r="S1896" s="127"/>
      <c r="T1896" s="11"/>
      <c r="U1896" s="124"/>
      <c r="V1896" s="11"/>
      <c r="W1896" s="124"/>
      <c r="X1896" s="128"/>
      <c r="Y1896" s="129"/>
    </row>
    <row r="1897" spans="14:25" x14ac:dyDescent="0.25">
      <c r="N1897" s="125"/>
      <c r="O1897" s="125"/>
      <c r="P1897" s="126"/>
      <c r="Q1897" s="62"/>
      <c r="R1897" s="62"/>
      <c r="S1897" s="127"/>
      <c r="T1897" s="11"/>
      <c r="U1897" s="124"/>
      <c r="V1897" s="11"/>
      <c r="W1897" s="124"/>
      <c r="X1897" s="128"/>
      <c r="Y1897" s="129"/>
    </row>
    <row r="1898" spans="14:25" x14ac:dyDescent="0.25">
      <c r="N1898" s="125"/>
      <c r="O1898" s="125"/>
      <c r="P1898" s="126"/>
      <c r="Q1898" s="62"/>
      <c r="R1898" s="62"/>
      <c r="S1898" s="127"/>
      <c r="T1898" s="11"/>
      <c r="U1898" s="124"/>
      <c r="V1898" s="11"/>
      <c r="W1898" s="124"/>
      <c r="X1898" s="128"/>
      <c r="Y1898" s="129"/>
    </row>
    <row r="1899" spans="14:25" x14ac:dyDescent="0.25">
      <c r="N1899" s="125"/>
      <c r="O1899" s="125"/>
      <c r="P1899" s="126"/>
      <c r="Q1899" s="62"/>
      <c r="R1899" s="62"/>
      <c r="S1899" s="127"/>
      <c r="T1899" s="11"/>
      <c r="U1899" s="124"/>
      <c r="V1899" s="11"/>
      <c r="W1899" s="124"/>
      <c r="X1899" s="128"/>
      <c r="Y1899" s="129"/>
    </row>
    <row r="1900" spans="14:25" x14ac:dyDescent="0.25">
      <c r="N1900" s="125"/>
      <c r="O1900" s="125"/>
      <c r="P1900" s="126"/>
      <c r="Q1900" s="62"/>
      <c r="R1900" s="62"/>
      <c r="S1900" s="127"/>
      <c r="T1900" s="11"/>
      <c r="U1900" s="124"/>
      <c r="V1900" s="11"/>
      <c r="W1900" s="124"/>
      <c r="X1900" s="128"/>
      <c r="Y1900" s="129"/>
    </row>
    <row r="1901" spans="14:25" x14ac:dyDescent="0.25">
      <c r="N1901" s="125"/>
      <c r="O1901" s="125"/>
      <c r="P1901" s="126"/>
      <c r="Q1901" s="62"/>
      <c r="R1901" s="62"/>
      <c r="S1901" s="127"/>
      <c r="T1901" s="11"/>
      <c r="U1901" s="124"/>
      <c r="V1901" s="11"/>
      <c r="W1901" s="124"/>
      <c r="X1901" s="128"/>
      <c r="Y1901" s="129"/>
    </row>
    <row r="1902" spans="14:25" x14ac:dyDescent="0.25">
      <c r="N1902" s="125"/>
      <c r="O1902" s="125"/>
      <c r="P1902" s="126"/>
      <c r="Q1902" s="62"/>
      <c r="R1902" s="62"/>
      <c r="S1902" s="127"/>
      <c r="T1902" s="11"/>
      <c r="U1902" s="124"/>
      <c r="V1902" s="11"/>
      <c r="W1902" s="124"/>
      <c r="X1902" s="128"/>
      <c r="Y1902" s="129"/>
    </row>
    <row r="1903" spans="14:25" x14ac:dyDescent="0.25">
      <c r="N1903" s="125"/>
      <c r="O1903" s="125"/>
      <c r="P1903" s="126"/>
      <c r="Q1903" s="62"/>
      <c r="R1903" s="62"/>
      <c r="S1903" s="127"/>
      <c r="T1903" s="11"/>
      <c r="U1903" s="124"/>
      <c r="V1903" s="11"/>
      <c r="W1903" s="124"/>
      <c r="X1903" s="128"/>
      <c r="Y1903" s="129"/>
    </row>
    <row r="1904" spans="14:25" x14ac:dyDescent="0.25">
      <c r="N1904" s="125"/>
      <c r="O1904" s="125"/>
      <c r="P1904" s="126"/>
      <c r="Q1904" s="62"/>
      <c r="R1904" s="62"/>
      <c r="S1904" s="127"/>
      <c r="T1904" s="11"/>
      <c r="U1904" s="124"/>
      <c r="V1904" s="11"/>
      <c r="W1904" s="124"/>
      <c r="X1904" s="128"/>
      <c r="Y1904" s="129"/>
    </row>
    <row r="1905" spans="14:25" x14ac:dyDescent="0.25">
      <c r="N1905" s="125"/>
      <c r="O1905" s="125"/>
      <c r="P1905" s="126"/>
      <c r="Q1905" s="62"/>
      <c r="R1905" s="62"/>
      <c r="S1905" s="127"/>
      <c r="T1905" s="11"/>
      <c r="U1905" s="124"/>
      <c r="V1905" s="11"/>
      <c r="W1905" s="124"/>
      <c r="X1905" s="128"/>
      <c r="Y1905" s="129"/>
    </row>
    <row r="1906" spans="14:25" x14ac:dyDescent="0.25">
      <c r="N1906" s="125"/>
      <c r="O1906" s="125"/>
      <c r="P1906" s="126"/>
      <c r="Q1906" s="62"/>
      <c r="R1906" s="62"/>
      <c r="S1906" s="127"/>
      <c r="T1906" s="11"/>
      <c r="U1906" s="124"/>
      <c r="V1906" s="11"/>
      <c r="W1906" s="124"/>
      <c r="X1906" s="128"/>
      <c r="Y1906" s="129"/>
    </row>
    <row r="1907" spans="14:25" x14ac:dyDescent="0.25">
      <c r="N1907" s="125"/>
      <c r="O1907" s="125"/>
      <c r="P1907" s="126"/>
      <c r="Q1907" s="62"/>
      <c r="R1907" s="62"/>
      <c r="S1907" s="127"/>
      <c r="T1907" s="11"/>
      <c r="U1907" s="124"/>
      <c r="V1907" s="11"/>
      <c r="W1907" s="124"/>
      <c r="X1907" s="128"/>
      <c r="Y1907" s="129"/>
    </row>
    <row r="1908" spans="14:25" x14ac:dyDescent="0.25">
      <c r="N1908" s="125"/>
      <c r="O1908" s="125"/>
      <c r="P1908" s="126"/>
      <c r="Q1908" s="62"/>
      <c r="R1908" s="62"/>
      <c r="S1908" s="127"/>
      <c r="T1908" s="11"/>
      <c r="U1908" s="124"/>
      <c r="V1908" s="11"/>
      <c r="W1908" s="124"/>
      <c r="X1908" s="128"/>
      <c r="Y1908" s="129"/>
    </row>
    <row r="1909" spans="14:25" x14ac:dyDescent="0.25">
      <c r="N1909" s="125"/>
      <c r="O1909" s="125"/>
      <c r="P1909" s="126"/>
      <c r="Q1909" s="62"/>
      <c r="R1909" s="62"/>
      <c r="S1909" s="127"/>
      <c r="T1909" s="11"/>
      <c r="U1909" s="124"/>
      <c r="V1909" s="11"/>
      <c r="W1909" s="124"/>
      <c r="X1909" s="128"/>
      <c r="Y1909" s="129"/>
    </row>
    <row r="1910" spans="14:25" x14ac:dyDescent="0.25">
      <c r="N1910" s="125"/>
      <c r="O1910" s="125"/>
      <c r="P1910" s="126"/>
      <c r="Q1910" s="62"/>
      <c r="R1910" s="62"/>
      <c r="S1910" s="127"/>
      <c r="T1910" s="11"/>
      <c r="U1910" s="124"/>
      <c r="V1910" s="11"/>
      <c r="W1910" s="124"/>
      <c r="X1910" s="128"/>
      <c r="Y1910" s="129"/>
    </row>
    <row r="1911" spans="14:25" x14ac:dyDescent="0.25">
      <c r="N1911" s="125"/>
      <c r="O1911" s="125"/>
      <c r="P1911" s="126"/>
      <c r="Q1911" s="62"/>
      <c r="R1911" s="62"/>
      <c r="S1911" s="127"/>
      <c r="T1911" s="11"/>
      <c r="U1911" s="124"/>
      <c r="V1911" s="11"/>
      <c r="W1911" s="124"/>
      <c r="X1911" s="128"/>
      <c r="Y1911" s="129"/>
    </row>
    <row r="1912" spans="14:25" x14ac:dyDescent="0.25">
      <c r="N1912" s="125"/>
      <c r="O1912" s="125"/>
      <c r="P1912" s="126"/>
      <c r="Q1912" s="62"/>
      <c r="R1912" s="62"/>
      <c r="S1912" s="127"/>
      <c r="T1912" s="11"/>
      <c r="U1912" s="124"/>
      <c r="V1912" s="11"/>
      <c r="W1912" s="124"/>
      <c r="X1912" s="128"/>
      <c r="Y1912" s="129"/>
    </row>
    <row r="1913" spans="14:25" x14ac:dyDescent="0.25">
      <c r="N1913" s="125"/>
      <c r="O1913" s="125"/>
      <c r="P1913" s="126"/>
      <c r="Q1913" s="62"/>
      <c r="R1913" s="62"/>
      <c r="S1913" s="127"/>
      <c r="T1913" s="11"/>
      <c r="U1913" s="124"/>
      <c r="V1913" s="11"/>
      <c r="W1913" s="124"/>
      <c r="X1913" s="128"/>
      <c r="Y1913" s="129"/>
    </row>
    <row r="1914" spans="14:25" x14ac:dyDescent="0.25">
      <c r="N1914" s="125"/>
      <c r="O1914" s="125"/>
      <c r="P1914" s="126"/>
      <c r="Q1914" s="62"/>
      <c r="R1914" s="62"/>
      <c r="S1914" s="127"/>
      <c r="T1914" s="11"/>
      <c r="U1914" s="124"/>
      <c r="V1914" s="11"/>
      <c r="W1914" s="124"/>
      <c r="X1914" s="128"/>
      <c r="Y1914" s="129"/>
    </row>
    <row r="1915" spans="14:25" x14ac:dyDescent="0.25">
      <c r="N1915" s="125"/>
      <c r="O1915" s="125"/>
      <c r="P1915" s="126"/>
      <c r="Q1915" s="62"/>
      <c r="R1915" s="62"/>
      <c r="S1915" s="127"/>
      <c r="T1915" s="11"/>
      <c r="U1915" s="124"/>
      <c r="V1915" s="11"/>
      <c r="W1915" s="124"/>
      <c r="X1915" s="128"/>
      <c r="Y1915" s="129"/>
    </row>
    <row r="1916" spans="14:25" x14ac:dyDescent="0.25">
      <c r="N1916" s="125"/>
      <c r="O1916" s="125"/>
      <c r="P1916" s="126"/>
      <c r="Q1916" s="62"/>
      <c r="R1916" s="62"/>
      <c r="S1916" s="127"/>
      <c r="T1916" s="11"/>
      <c r="U1916" s="124"/>
      <c r="V1916" s="11"/>
      <c r="W1916" s="124"/>
      <c r="X1916" s="128"/>
      <c r="Y1916" s="129"/>
    </row>
    <row r="1917" spans="14:25" x14ac:dyDescent="0.25">
      <c r="N1917" s="125"/>
      <c r="O1917" s="125"/>
      <c r="P1917" s="126"/>
      <c r="Q1917" s="62"/>
      <c r="R1917" s="62"/>
      <c r="S1917" s="127"/>
      <c r="T1917" s="11"/>
      <c r="U1917" s="124"/>
      <c r="V1917" s="11"/>
      <c r="W1917" s="124"/>
      <c r="X1917" s="128"/>
      <c r="Y1917" s="129"/>
    </row>
    <row r="1918" spans="14:25" x14ac:dyDescent="0.25">
      <c r="N1918" s="125"/>
      <c r="O1918" s="125"/>
      <c r="P1918" s="126"/>
      <c r="Q1918" s="62"/>
      <c r="R1918" s="62"/>
      <c r="S1918" s="127"/>
      <c r="T1918" s="11"/>
      <c r="U1918" s="124"/>
      <c r="V1918" s="11"/>
      <c r="W1918" s="124"/>
      <c r="X1918" s="128"/>
      <c r="Y1918" s="129"/>
    </row>
    <row r="1919" spans="14:25" x14ac:dyDescent="0.25">
      <c r="N1919" s="125"/>
      <c r="O1919" s="125"/>
      <c r="P1919" s="126"/>
      <c r="Q1919" s="62"/>
      <c r="R1919" s="62"/>
      <c r="S1919" s="127"/>
      <c r="T1919" s="11"/>
      <c r="U1919" s="124"/>
      <c r="V1919" s="11"/>
      <c r="W1919" s="124"/>
      <c r="X1919" s="128"/>
      <c r="Y1919" s="129"/>
    </row>
    <row r="1920" spans="14:25" x14ac:dyDescent="0.25">
      <c r="N1920" s="125"/>
      <c r="O1920" s="125"/>
      <c r="P1920" s="126"/>
      <c r="Q1920" s="62"/>
      <c r="R1920" s="62"/>
      <c r="S1920" s="127"/>
      <c r="T1920" s="11"/>
      <c r="U1920" s="124"/>
      <c r="V1920" s="11"/>
      <c r="W1920" s="124"/>
      <c r="X1920" s="128"/>
      <c r="Y1920" s="129"/>
    </row>
    <row r="1921" spans="14:25" x14ac:dyDescent="0.25">
      <c r="N1921" s="125"/>
      <c r="O1921" s="125"/>
      <c r="P1921" s="126"/>
      <c r="Q1921" s="62"/>
      <c r="R1921" s="62"/>
      <c r="S1921" s="127"/>
      <c r="T1921" s="11"/>
      <c r="U1921" s="124"/>
      <c r="V1921" s="11"/>
      <c r="W1921" s="124"/>
      <c r="X1921" s="128"/>
      <c r="Y1921" s="129"/>
    </row>
    <row r="1922" spans="14:25" x14ac:dyDescent="0.25">
      <c r="N1922" s="125"/>
      <c r="O1922" s="125"/>
      <c r="P1922" s="126"/>
      <c r="Q1922" s="62"/>
      <c r="R1922" s="62"/>
      <c r="S1922" s="127"/>
      <c r="T1922" s="11"/>
      <c r="U1922" s="124"/>
      <c r="V1922" s="11"/>
      <c r="W1922" s="124"/>
      <c r="X1922" s="128"/>
      <c r="Y1922" s="129"/>
    </row>
    <row r="1923" spans="14:25" x14ac:dyDescent="0.25">
      <c r="N1923" s="125"/>
      <c r="O1923" s="125"/>
      <c r="P1923" s="126"/>
      <c r="Q1923" s="62"/>
      <c r="R1923" s="62"/>
      <c r="S1923" s="127"/>
      <c r="T1923" s="11"/>
      <c r="U1923" s="124"/>
      <c r="V1923" s="11"/>
      <c r="W1923" s="124"/>
      <c r="X1923" s="128"/>
      <c r="Y1923" s="129"/>
    </row>
    <row r="1924" spans="14:25" x14ac:dyDescent="0.25">
      <c r="N1924" s="125"/>
      <c r="O1924" s="125"/>
      <c r="P1924" s="126"/>
      <c r="Q1924" s="62"/>
      <c r="R1924" s="62"/>
      <c r="S1924" s="127"/>
      <c r="T1924" s="11"/>
      <c r="U1924" s="124"/>
      <c r="V1924" s="11"/>
      <c r="W1924" s="124"/>
      <c r="X1924" s="128"/>
      <c r="Y1924" s="129"/>
    </row>
    <row r="1925" spans="14:25" x14ac:dyDescent="0.25">
      <c r="N1925" s="125"/>
      <c r="O1925" s="125"/>
      <c r="P1925" s="126"/>
      <c r="Q1925" s="62"/>
      <c r="R1925" s="62"/>
      <c r="S1925" s="127"/>
      <c r="T1925" s="11"/>
      <c r="U1925" s="124"/>
      <c r="V1925" s="11"/>
      <c r="W1925" s="124"/>
      <c r="X1925" s="128"/>
      <c r="Y1925" s="129"/>
    </row>
    <row r="1926" spans="14:25" x14ac:dyDescent="0.25">
      <c r="N1926" s="125"/>
      <c r="O1926" s="125"/>
      <c r="P1926" s="126"/>
      <c r="Q1926" s="62"/>
      <c r="R1926" s="62"/>
      <c r="S1926" s="127"/>
      <c r="T1926" s="11"/>
      <c r="U1926" s="124"/>
      <c r="V1926" s="11"/>
      <c r="W1926" s="124"/>
      <c r="X1926" s="128"/>
      <c r="Y1926" s="129"/>
    </row>
    <row r="1927" spans="14:25" x14ac:dyDescent="0.25">
      <c r="N1927" s="125"/>
      <c r="O1927" s="125"/>
      <c r="P1927" s="126"/>
      <c r="Q1927" s="62"/>
      <c r="R1927" s="62"/>
      <c r="S1927" s="127"/>
      <c r="T1927" s="11"/>
      <c r="U1927" s="124"/>
      <c r="V1927" s="11"/>
      <c r="W1927" s="124"/>
      <c r="X1927" s="128"/>
      <c r="Y1927" s="129"/>
    </row>
    <row r="1928" spans="14:25" x14ac:dyDescent="0.25">
      <c r="N1928" s="125"/>
      <c r="O1928" s="125"/>
      <c r="P1928" s="126"/>
      <c r="Q1928" s="62"/>
      <c r="R1928" s="62"/>
      <c r="S1928" s="127"/>
      <c r="T1928" s="11"/>
      <c r="U1928" s="124"/>
      <c r="V1928" s="11"/>
      <c r="W1928" s="124"/>
      <c r="X1928" s="128"/>
      <c r="Y1928" s="129"/>
    </row>
    <row r="1929" spans="14:25" x14ac:dyDescent="0.25">
      <c r="N1929" s="125"/>
      <c r="O1929" s="125"/>
      <c r="P1929" s="126"/>
      <c r="Q1929" s="62"/>
      <c r="R1929" s="62"/>
      <c r="S1929" s="127"/>
      <c r="T1929" s="11"/>
      <c r="U1929" s="124"/>
      <c r="V1929" s="11"/>
      <c r="W1929" s="124"/>
      <c r="X1929" s="128"/>
      <c r="Y1929" s="129"/>
    </row>
    <row r="1930" spans="14:25" x14ac:dyDescent="0.25">
      <c r="N1930" s="125"/>
      <c r="O1930" s="125"/>
      <c r="P1930" s="126"/>
      <c r="Q1930" s="62"/>
      <c r="R1930" s="62"/>
      <c r="S1930" s="127"/>
      <c r="T1930" s="11"/>
      <c r="U1930" s="124"/>
      <c r="V1930" s="11"/>
      <c r="W1930" s="124"/>
      <c r="X1930" s="128"/>
      <c r="Y1930" s="129"/>
    </row>
    <row r="1931" spans="14:25" x14ac:dyDescent="0.25">
      <c r="N1931" s="125"/>
      <c r="O1931" s="125"/>
      <c r="P1931" s="126"/>
      <c r="Q1931" s="62"/>
      <c r="R1931" s="62"/>
      <c r="S1931" s="127"/>
      <c r="T1931" s="11"/>
      <c r="U1931" s="124"/>
      <c r="V1931" s="11"/>
      <c r="W1931" s="124"/>
      <c r="X1931" s="128"/>
      <c r="Y1931" s="129"/>
    </row>
    <row r="1932" spans="14:25" x14ac:dyDescent="0.25">
      <c r="N1932" s="125"/>
      <c r="O1932" s="125"/>
      <c r="P1932" s="126"/>
      <c r="Q1932" s="62"/>
      <c r="R1932" s="62"/>
      <c r="S1932" s="127"/>
      <c r="T1932" s="11"/>
      <c r="U1932" s="124"/>
      <c r="V1932" s="11"/>
      <c r="W1932" s="124"/>
      <c r="X1932" s="128"/>
      <c r="Y1932" s="129"/>
    </row>
    <row r="1933" spans="14:25" x14ac:dyDescent="0.25">
      <c r="N1933" s="125"/>
      <c r="O1933" s="125"/>
      <c r="P1933" s="126"/>
      <c r="Q1933" s="62"/>
      <c r="R1933" s="62"/>
      <c r="S1933" s="127"/>
      <c r="T1933" s="11"/>
      <c r="U1933" s="124"/>
      <c r="V1933" s="11"/>
      <c r="W1933" s="124"/>
      <c r="X1933" s="128"/>
      <c r="Y1933" s="129"/>
    </row>
    <row r="1934" spans="14:25" x14ac:dyDescent="0.25">
      <c r="N1934" s="125"/>
      <c r="O1934" s="125"/>
      <c r="P1934" s="126"/>
      <c r="Q1934" s="62"/>
      <c r="R1934" s="62"/>
      <c r="S1934" s="127"/>
      <c r="T1934" s="11"/>
      <c r="U1934" s="124"/>
      <c r="V1934" s="11"/>
      <c r="W1934" s="124"/>
      <c r="X1934" s="128"/>
      <c r="Y1934" s="129"/>
    </row>
    <row r="1935" spans="14:25" x14ac:dyDescent="0.25">
      <c r="N1935" s="125"/>
      <c r="O1935" s="125"/>
      <c r="P1935" s="126"/>
      <c r="Q1935" s="62"/>
      <c r="R1935" s="62"/>
      <c r="S1935" s="127"/>
      <c r="T1935" s="11"/>
      <c r="U1935" s="124"/>
      <c r="V1935" s="11"/>
      <c r="W1935" s="124"/>
      <c r="X1935" s="128"/>
      <c r="Y1935" s="129"/>
    </row>
    <row r="1936" spans="14:25" x14ac:dyDescent="0.25">
      <c r="N1936" s="125"/>
      <c r="O1936" s="125"/>
      <c r="P1936" s="126"/>
      <c r="Q1936" s="62"/>
      <c r="R1936" s="62"/>
      <c r="S1936" s="127"/>
      <c r="T1936" s="11"/>
      <c r="U1936" s="124"/>
      <c r="V1936" s="11"/>
      <c r="W1936" s="124"/>
      <c r="X1936" s="128"/>
      <c r="Y1936" s="129"/>
    </row>
    <row r="1937" spans="14:25" x14ac:dyDescent="0.25">
      <c r="N1937" s="125"/>
      <c r="O1937" s="125"/>
      <c r="P1937" s="126"/>
      <c r="Q1937" s="62"/>
      <c r="R1937" s="62"/>
      <c r="S1937" s="127"/>
      <c r="T1937" s="11"/>
      <c r="U1937" s="124"/>
      <c r="V1937" s="11"/>
      <c r="W1937" s="124"/>
      <c r="X1937" s="128"/>
      <c r="Y1937" s="129"/>
    </row>
    <row r="1938" spans="14:25" x14ac:dyDescent="0.25">
      <c r="N1938" s="125"/>
      <c r="O1938" s="125"/>
      <c r="P1938" s="126"/>
      <c r="Q1938" s="62"/>
      <c r="R1938" s="62"/>
      <c r="S1938" s="127"/>
      <c r="T1938" s="11"/>
      <c r="U1938" s="124"/>
      <c r="V1938" s="11"/>
      <c r="W1938" s="124"/>
      <c r="X1938" s="128"/>
      <c r="Y1938" s="129"/>
    </row>
    <row r="1939" spans="14:25" x14ac:dyDescent="0.25">
      <c r="N1939" s="125"/>
      <c r="O1939" s="125"/>
      <c r="P1939" s="126"/>
      <c r="Q1939" s="62"/>
      <c r="R1939" s="62"/>
      <c r="S1939" s="127"/>
      <c r="T1939" s="11"/>
      <c r="U1939" s="124"/>
      <c r="V1939" s="11"/>
      <c r="W1939" s="124"/>
      <c r="X1939" s="128"/>
      <c r="Y1939" s="129"/>
    </row>
    <row r="1940" spans="14:25" x14ac:dyDescent="0.25">
      <c r="N1940" s="125"/>
      <c r="O1940" s="125"/>
      <c r="P1940" s="126"/>
      <c r="Q1940" s="62"/>
      <c r="R1940" s="62"/>
      <c r="S1940" s="127"/>
      <c r="T1940" s="11"/>
      <c r="U1940" s="124"/>
      <c r="V1940" s="11"/>
      <c r="W1940" s="124"/>
      <c r="X1940" s="128"/>
      <c r="Y1940" s="129"/>
    </row>
    <row r="1941" spans="14:25" x14ac:dyDescent="0.25">
      <c r="N1941" s="125"/>
      <c r="O1941" s="125"/>
      <c r="P1941" s="126"/>
      <c r="Q1941" s="62"/>
      <c r="R1941" s="62"/>
      <c r="S1941" s="127"/>
      <c r="T1941" s="11"/>
      <c r="U1941" s="124"/>
      <c r="V1941" s="11"/>
      <c r="W1941" s="124"/>
      <c r="X1941" s="128"/>
      <c r="Y1941" s="129"/>
    </row>
    <row r="1942" spans="14:25" x14ac:dyDescent="0.25">
      <c r="N1942" s="125"/>
      <c r="O1942" s="125"/>
      <c r="P1942" s="126"/>
      <c r="Q1942" s="62"/>
      <c r="R1942" s="62"/>
      <c r="S1942" s="127"/>
      <c r="T1942" s="11"/>
      <c r="U1942" s="124"/>
      <c r="V1942" s="11"/>
      <c r="W1942" s="124"/>
      <c r="X1942" s="128"/>
      <c r="Y1942" s="129"/>
    </row>
    <row r="1943" spans="14:25" x14ac:dyDescent="0.25">
      <c r="N1943" s="125"/>
      <c r="O1943" s="125"/>
      <c r="P1943" s="126"/>
      <c r="Q1943" s="62"/>
      <c r="R1943" s="62"/>
      <c r="S1943" s="127"/>
      <c r="T1943" s="11"/>
      <c r="U1943" s="124"/>
      <c r="V1943" s="11"/>
      <c r="W1943" s="124"/>
      <c r="X1943" s="128"/>
      <c r="Y1943" s="129"/>
    </row>
    <row r="1944" spans="14:25" x14ac:dyDescent="0.25">
      <c r="N1944" s="125"/>
      <c r="O1944" s="125"/>
      <c r="P1944" s="126"/>
      <c r="Q1944" s="62"/>
      <c r="R1944" s="62"/>
      <c r="S1944" s="127"/>
      <c r="T1944" s="11"/>
      <c r="U1944" s="124"/>
      <c r="V1944" s="11"/>
      <c r="W1944" s="124"/>
      <c r="X1944" s="128"/>
      <c r="Y1944" s="129"/>
    </row>
    <row r="1945" spans="14:25" x14ac:dyDescent="0.25">
      <c r="N1945" s="125"/>
      <c r="O1945" s="125"/>
      <c r="P1945" s="126"/>
      <c r="Q1945" s="62"/>
      <c r="R1945" s="62"/>
      <c r="S1945" s="127"/>
      <c r="T1945" s="11"/>
      <c r="U1945" s="124"/>
      <c r="V1945" s="11"/>
      <c r="W1945" s="124"/>
      <c r="X1945" s="128"/>
      <c r="Y1945" s="129"/>
    </row>
    <row r="1946" spans="14:25" x14ac:dyDescent="0.25">
      <c r="N1946" s="125"/>
      <c r="O1946" s="125"/>
      <c r="P1946" s="126"/>
      <c r="Q1946" s="62"/>
      <c r="R1946" s="62"/>
      <c r="S1946" s="127"/>
      <c r="T1946" s="11"/>
      <c r="U1946" s="124"/>
      <c r="V1946" s="11"/>
      <c r="W1946" s="124"/>
      <c r="X1946" s="128"/>
      <c r="Y1946" s="129"/>
    </row>
    <row r="1947" spans="14:25" x14ac:dyDescent="0.25">
      <c r="N1947" s="125"/>
      <c r="O1947" s="125"/>
      <c r="P1947" s="126"/>
      <c r="Q1947" s="62"/>
      <c r="R1947" s="62"/>
      <c r="S1947" s="127"/>
      <c r="T1947" s="11"/>
      <c r="U1947" s="124"/>
      <c r="V1947" s="11"/>
      <c r="W1947" s="124"/>
      <c r="X1947" s="128"/>
      <c r="Y1947" s="129"/>
    </row>
    <row r="1948" spans="14:25" x14ac:dyDescent="0.25">
      <c r="N1948" s="125"/>
      <c r="O1948" s="125"/>
      <c r="P1948" s="126"/>
      <c r="Q1948" s="62"/>
      <c r="R1948" s="62"/>
      <c r="S1948" s="127"/>
      <c r="T1948" s="11"/>
      <c r="U1948" s="124"/>
      <c r="V1948" s="11"/>
      <c r="W1948" s="124"/>
      <c r="X1948" s="128"/>
      <c r="Y1948" s="129"/>
    </row>
    <row r="1949" spans="14:25" x14ac:dyDescent="0.25">
      <c r="N1949" s="125"/>
      <c r="O1949" s="125"/>
      <c r="P1949" s="126"/>
      <c r="Q1949" s="62"/>
      <c r="R1949" s="62"/>
      <c r="S1949" s="127"/>
      <c r="T1949" s="11"/>
      <c r="U1949" s="124"/>
      <c r="V1949" s="11"/>
      <c r="W1949" s="124"/>
      <c r="X1949" s="128"/>
      <c r="Y1949" s="129"/>
    </row>
    <row r="1950" spans="14:25" x14ac:dyDescent="0.25">
      <c r="N1950" s="125"/>
      <c r="O1950" s="125"/>
      <c r="P1950" s="126"/>
      <c r="Q1950" s="62"/>
      <c r="R1950" s="62"/>
      <c r="S1950" s="127"/>
      <c r="T1950" s="11"/>
      <c r="U1950" s="124"/>
      <c r="V1950" s="11"/>
      <c r="W1950" s="124"/>
      <c r="X1950" s="128"/>
      <c r="Y1950" s="129"/>
    </row>
    <row r="1951" spans="14:25" x14ac:dyDescent="0.25">
      <c r="N1951" s="125"/>
      <c r="O1951" s="125"/>
      <c r="P1951" s="126"/>
      <c r="Q1951" s="62"/>
      <c r="R1951" s="62"/>
      <c r="S1951" s="127"/>
      <c r="T1951" s="11"/>
      <c r="U1951" s="124"/>
      <c r="V1951" s="11"/>
      <c r="W1951" s="124"/>
      <c r="X1951" s="128"/>
      <c r="Y1951" s="129"/>
    </row>
    <row r="1952" spans="14:25" x14ac:dyDescent="0.25">
      <c r="N1952" s="125"/>
      <c r="O1952" s="125"/>
      <c r="P1952" s="126"/>
      <c r="Q1952" s="62"/>
      <c r="R1952" s="62"/>
      <c r="S1952" s="127"/>
      <c r="T1952" s="11"/>
      <c r="U1952" s="124"/>
      <c r="V1952" s="11"/>
      <c r="W1952" s="124"/>
      <c r="X1952" s="128"/>
      <c r="Y1952" s="129"/>
    </row>
    <row r="1953" spans="14:25" x14ac:dyDescent="0.25">
      <c r="N1953" s="125"/>
      <c r="O1953" s="125"/>
      <c r="P1953" s="126"/>
      <c r="Q1953" s="62"/>
      <c r="R1953" s="62"/>
      <c r="S1953" s="127"/>
      <c r="T1953" s="11"/>
      <c r="U1953" s="124"/>
      <c r="V1953" s="11"/>
      <c r="W1953" s="124"/>
      <c r="X1953" s="128"/>
      <c r="Y1953" s="129"/>
    </row>
    <row r="1954" spans="14:25" x14ac:dyDescent="0.25">
      <c r="N1954" s="125"/>
      <c r="O1954" s="125"/>
      <c r="P1954" s="126"/>
      <c r="Q1954" s="62"/>
      <c r="R1954" s="62"/>
      <c r="S1954" s="127"/>
      <c r="T1954" s="11"/>
      <c r="U1954" s="124"/>
      <c r="V1954" s="11"/>
      <c r="W1954" s="124"/>
      <c r="X1954" s="128"/>
      <c r="Y1954" s="129"/>
    </row>
    <row r="1955" spans="14:25" x14ac:dyDescent="0.25">
      <c r="N1955" s="125"/>
      <c r="O1955" s="125"/>
      <c r="P1955" s="126"/>
      <c r="Q1955" s="62"/>
      <c r="R1955" s="62"/>
      <c r="S1955" s="127"/>
      <c r="T1955" s="11"/>
      <c r="U1955" s="124"/>
      <c r="V1955" s="11"/>
      <c r="W1955" s="124"/>
      <c r="X1955" s="128"/>
      <c r="Y1955" s="129"/>
    </row>
    <row r="1956" spans="14:25" x14ac:dyDescent="0.25">
      <c r="N1956" s="125"/>
      <c r="O1956" s="125"/>
      <c r="P1956" s="126"/>
      <c r="Q1956" s="62"/>
      <c r="R1956" s="62"/>
      <c r="S1956" s="127"/>
      <c r="T1956" s="11"/>
      <c r="U1956" s="124"/>
      <c r="V1956" s="11"/>
      <c r="W1956" s="124"/>
      <c r="X1956" s="128"/>
      <c r="Y1956" s="129"/>
    </row>
    <row r="1957" spans="14:25" x14ac:dyDescent="0.25">
      <c r="N1957" s="125"/>
      <c r="O1957" s="125"/>
      <c r="P1957" s="126"/>
      <c r="Q1957" s="62"/>
      <c r="R1957" s="62"/>
      <c r="S1957" s="127"/>
      <c r="T1957" s="11"/>
      <c r="U1957" s="124"/>
      <c r="V1957" s="11"/>
      <c r="W1957" s="124"/>
      <c r="X1957" s="128"/>
      <c r="Y1957" s="129"/>
    </row>
    <row r="1958" spans="14:25" x14ac:dyDescent="0.25">
      <c r="N1958" s="125"/>
      <c r="O1958" s="125"/>
      <c r="P1958" s="126"/>
      <c r="Q1958" s="62"/>
      <c r="R1958" s="62"/>
      <c r="S1958" s="127"/>
      <c r="T1958" s="11"/>
      <c r="U1958" s="124"/>
      <c r="V1958" s="11"/>
      <c r="W1958" s="124"/>
      <c r="X1958" s="128"/>
      <c r="Y1958" s="129"/>
    </row>
    <row r="1959" spans="14:25" x14ac:dyDescent="0.25">
      <c r="N1959" s="125"/>
      <c r="O1959" s="125"/>
      <c r="P1959" s="126"/>
      <c r="Q1959" s="62"/>
      <c r="R1959" s="62"/>
      <c r="S1959" s="127"/>
      <c r="T1959" s="11"/>
      <c r="U1959" s="124"/>
      <c r="V1959" s="11"/>
      <c r="W1959" s="124"/>
      <c r="X1959" s="128"/>
      <c r="Y1959" s="129"/>
    </row>
    <row r="1960" spans="14:25" x14ac:dyDescent="0.25">
      <c r="N1960" s="125"/>
      <c r="O1960" s="125"/>
      <c r="P1960" s="126"/>
      <c r="Q1960" s="62"/>
      <c r="R1960" s="62"/>
      <c r="S1960" s="127"/>
      <c r="T1960" s="11"/>
      <c r="U1960" s="124"/>
      <c r="V1960" s="11"/>
      <c r="W1960" s="124"/>
      <c r="X1960" s="128"/>
      <c r="Y1960" s="129"/>
    </row>
    <row r="1961" spans="14:25" x14ac:dyDescent="0.25">
      <c r="N1961" s="125"/>
      <c r="O1961" s="125"/>
      <c r="P1961" s="126"/>
      <c r="Q1961" s="62"/>
      <c r="R1961" s="62"/>
      <c r="S1961" s="127"/>
      <c r="T1961" s="11"/>
      <c r="U1961" s="124"/>
      <c r="V1961" s="11"/>
      <c r="W1961" s="124"/>
      <c r="X1961" s="128"/>
      <c r="Y1961" s="129"/>
    </row>
    <row r="1962" spans="14:25" x14ac:dyDescent="0.25">
      <c r="N1962" s="125"/>
      <c r="O1962" s="125"/>
      <c r="P1962" s="126"/>
      <c r="Q1962" s="62"/>
      <c r="R1962" s="62"/>
      <c r="S1962" s="127"/>
      <c r="T1962" s="11"/>
      <c r="U1962" s="124"/>
      <c r="V1962" s="11"/>
      <c r="W1962" s="124"/>
      <c r="X1962" s="128"/>
      <c r="Y1962" s="129"/>
    </row>
    <row r="1963" spans="14:25" x14ac:dyDescent="0.25">
      <c r="N1963" s="125"/>
      <c r="O1963" s="125"/>
      <c r="P1963" s="126"/>
      <c r="Q1963" s="62"/>
      <c r="R1963" s="62"/>
      <c r="S1963" s="127"/>
      <c r="T1963" s="11"/>
      <c r="U1963" s="124"/>
      <c r="V1963" s="11"/>
      <c r="W1963" s="124"/>
      <c r="X1963" s="128"/>
      <c r="Y1963" s="129"/>
    </row>
    <row r="1964" spans="14:25" x14ac:dyDescent="0.25">
      <c r="N1964" s="125"/>
      <c r="O1964" s="125"/>
      <c r="P1964" s="126"/>
      <c r="Q1964" s="62"/>
      <c r="R1964" s="62"/>
      <c r="S1964" s="127"/>
      <c r="T1964" s="11"/>
      <c r="U1964" s="124"/>
      <c r="V1964" s="11"/>
      <c r="W1964" s="124"/>
      <c r="X1964" s="128"/>
      <c r="Y1964" s="129"/>
    </row>
    <row r="1965" spans="14:25" x14ac:dyDescent="0.25">
      <c r="N1965" s="125"/>
      <c r="O1965" s="125"/>
      <c r="P1965" s="126"/>
      <c r="Q1965" s="62"/>
      <c r="R1965" s="62"/>
      <c r="S1965" s="127"/>
      <c r="T1965" s="11"/>
      <c r="U1965" s="124"/>
      <c r="V1965" s="11"/>
      <c r="W1965" s="124"/>
      <c r="X1965" s="128"/>
      <c r="Y1965" s="129"/>
    </row>
    <row r="1966" spans="14:25" x14ac:dyDescent="0.25">
      <c r="N1966" s="125"/>
      <c r="O1966" s="125"/>
      <c r="P1966" s="126"/>
      <c r="Q1966" s="62"/>
      <c r="R1966" s="62"/>
      <c r="S1966" s="127"/>
      <c r="T1966" s="11"/>
      <c r="U1966" s="124"/>
      <c r="V1966" s="11"/>
      <c r="W1966" s="124"/>
      <c r="X1966" s="128"/>
      <c r="Y1966" s="129"/>
    </row>
    <row r="1967" spans="14:25" x14ac:dyDescent="0.25">
      <c r="N1967" s="125"/>
      <c r="O1967" s="125"/>
      <c r="P1967" s="126"/>
      <c r="Q1967" s="62"/>
      <c r="R1967" s="62"/>
      <c r="S1967" s="127"/>
      <c r="T1967" s="11"/>
      <c r="U1967" s="124"/>
      <c r="V1967" s="11"/>
      <c r="W1967" s="124"/>
      <c r="X1967" s="128"/>
      <c r="Y1967" s="129"/>
    </row>
    <row r="1968" spans="14:25" x14ac:dyDescent="0.25">
      <c r="N1968" s="125"/>
      <c r="O1968" s="125"/>
      <c r="P1968" s="126"/>
      <c r="Q1968" s="62"/>
      <c r="R1968" s="62"/>
      <c r="S1968" s="127"/>
      <c r="T1968" s="11"/>
      <c r="U1968" s="124"/>
      <c r="V1968" s="11"/>
      <c r="W1968" s="124"/>
      <c r="X1968" s="128"/>
      <c r="Y1968" s="129"/>
    </row>
    <row r="1969" spans="14:25" x14ac:dyDescent="0.25">
      <c r="N1969" s="125"/>
      <c r="O1969" s="125"/>
      <c r="P1969" s="126"/>
      <c r="Q1969" s="62"/>
      <c r="R1969" s="62"/>
      <c r="S1969" s="127"/>
      <c r="T1969" s="11"/>
      <c r="U1969" s="124"/>
      <c r="V1969" s="11"/>
      <c r="W1969" s="124"/>
      <c r="X1969" s="128"/>
      <c r="Y1969" s="129"/>
    </row>
    <row r="1970" spans="14:25" x14ac:dyDescent="0.25">
      <c r="N1970" s="125"/>
      <c r="O1970" s="125"/>
      <c r="P1970" s="126"/>
      <c r="Q1970" s="62"/>
      <c r="R1970" s="62"/>
      <c r="S1970" s="127"/>
      <c r="T1970" s="11"/>
      <c r="U1970" s="124"/>
      <c r="V1970" s="11"/>
      <c r="W1970" s="124"/>
      <c r="X1970" s="128"/>
      <c r="Y1970" s="129"/>
    </row>
    <row r="1971" spans="14:25" x14ac:dyDescent="0.25">
      <c r="N1971" s="125"/>
      <c r="O1971" s="125"/>
      <c r="P1971" s="126"/>
      <c r="Q1971" s="62"/>
      <c r="R1971" s="62"/>
      <c r="S1971" s="127"/>
      <c r="T1971" s="11"/>
      <c r="U1971" s="124"/>
      <c r="V1971" s="11"/>
      <c r="W1971" s="124"/>
      <c r="X1971" s="128"/>
      <c r="Y1971" s="129"/>
    </row>
    <row r="1972" spans="14:25" x14ac:dyDescent="0.25">
      <c r="N1972" s="125"/>
      <c r="O1972" s="125"/>
      <c r="P1972" s="126"/>
      <c r="Q1972" s="62"/>
      <c r="R1972" s="62"/>
      <c r="S1972" s="127"/>
      <c r="T1972" s="11"/>
      <c r="U1972" s="124"/>
      <c r="V1972" s="11"/>
      <c r="W1972" s="124"/>
      <c r="X1972" s="128"/>
      <c r="Y1972" s="129"/>
    </row>
    <row r="1973" spans="14:25" x14ac:dyDescent="0.25">
      <c r="N1973" s="125"/>
      <c r="O1973" s="125"/>
      <c r="P1973" s="126"/>
      <c r="Q1973" s="62"/>
      <c r="R1973" s="62"/>
      <c r="S1973" s="127"/>
      <c r="T1973" s="11"/>
      <c r="U1973" s="124"/>
      <c r="V1973" s="11"/>
      <c r="W1973" s="124"/>
      <c r="X1973" s="128"/>
      <c r="Y1973" s="129"/>
    </row>
    <row r="1974" spans="14:25" x14ac:dyDescent="0.25">
      <c r="N1974" s="125"/>
      <c r="O1974" s="125"/>
      <c r="P1974" s="126"/>
      <c r="Q1974" s="62"/>
      <c r="R1974" s="62"/>
      <c r="S1974" s="127"/>
      <c r="T1974" s="11"/>
      <c r="U1974" s="124"/>
      <c r="V1974" s="11"/>
      <c r="W1974" s="124"/>
      <c r="X1974" s="128"/>
      <c r="Y1974" s="129"/>
    </row>
    <row r="1975" spans="14:25" x14ac:dyDescent="0.25">
      <c r="N1975" s="125"/>
      <c r="O1975" s="125"/>
      <c r="P1975" s="126"/>
      <c r="Q1975" s="62"/>
      <c r="R1975" s="62"/>
      <c r="S1975" s="127"/>
      <c r="T1975" s="11"/>
      <c r="U1975" s="124"/>
      <c r="V1975" s="11"/>
      <c r="W1975" s="124"/>
      <c r="X1975" s="128"/>
      <c r="Y1975" s="129"/>
    </row>
    <row r="1976" spans="14:25" x14ac:dyDescent="0.25">
      <c r="N1976" s="125"/>
      <c r="O1976" s="125"/>
      <c r="P1976" s="126"/>
      <c r="Q1976" s="62"/>
      <c r="R1976" s="62"/>
      <c r="S1976" s="127"/>
      <c r="T1976" s="11"/>
      <c r="U1976" s="124"/>
      <c r="V1976" s="11"/>
      <c r="W1976" s="124"/>
      <c r="X1976" s="128"/>
      <c r="Y1976" s="129"/>
    </row>
    <row r="1977" spans="14:25" x14ac:dyDescent="0.25">
      <c r="N1977" s="125"/>
      <c r="O1977" s="125"/>
      <c r="P1977" s="126"/>
      <c r="Q1977" s="62"/>
      <c r="R1977" s="62"/>
      <c r="S1977" s="127"/>
      <c r="T1977" s="11"/>
      <c r="U1977" s="124"/>
      <c r="V1977" s="11"/>
      <c r="W1977" s="124"/>
      <c r="X1977" s="128"/>
      <c r="Y1977" s="129"/>
    </row>
    <row r="1978" spans="14:25" x14ac:dyDescent="0.25">
      <c r="N1978" s="125"/>
      <c r="O1978" s="125"/>
      <c r="P1978" s="126"/>
      <c r="Q1978" s="62"/>
      <c r="R1978" s="62"/>
      <c r="S1978" s="127"/>
      <c r="T1978" s="11"/>
      <c r="U1978" s="124"/>
      <c r="V1978" s="11"/>
      <c r="W1978" s="124"/>
      <c r="X1978" s="128"/>
      <c r="Y1978" s="129"/>
    </row>
    <row r="1979" spans="14:25" x14ac:dyDescent="0.25">
      <c r="N1979" s="125"/>
      <c r="O1979" s="125"/>
      <c r="P1979" s="126"/>
      <c r="Q1979" s="62"/>
      <c r="R1979" s="62"/>
      <c r="S1979" s="127"/>
      <c r="T1979" s="11"/>
      <c r="U1979" s="124"/>
      <c r="V1979" s="11"/>
      <c r="W1979" s="124"/>
      <c r="X1979" s="128"/>
      <c r="Y1979" s="129"/>
    </row>
    <row r="1980" spans="14:25" x14ac:dyDescent="0.25">
      <c r="N1980" s="125"/>
      <c r="O1980" s="125"/>
      <c r="P1980" s="126"/>
      <c r="Q1980" s="62"/>
      <c r="R1980" s="62"/>
      <c r="S1980" s="127"/>
      <c r="T1980" s="11"/>
      <c r="U1980" s="124"/>
      <c r="V1980" s="11"/>
      <c r="W1980" s="124"/>
      <c r="X1980" s="128"/>
      <c r="Y1980" s="129"/>
    </row>
    <row r="1981" spans="14:25" x14ac:dyDescent="0.25">
      <c r="N1981" s="125"/>
      <c r="O1981" s="125"/>
      <c r="P1981" s="126"/>
      <c r="Q1981" s="62"/>
      <c r="R1981" s="62"/>
      <c r="S1981" s="127"/>
      <c r="T1981" s="11"/>
      <c r="U1981" s="124"/>
      <c r="V1981" s="11"/>
      <c r="W1981" s="124"/>
      <c r="X1981" s="128"/>
      <c r="Y1981" s="129"/>
    </row>
    <row r="1982" spans="14:25" x14ac:dyDescent="0.25">
      <c r="N1982" s="125"/>
      <c r="O1982" s="125"/>
      <c r="P1982" s="126"/>
      <c r="Q1982" s="62"/>
      <c r="R1982" s="62"/>
      <c r="S1982" s="127"/>
      <c r="T1982" s="11"/>
      <c r="U1982" s="124"/>
      <c r="V1982" s="11"/>
      <c r="W1982" s="124"/>
      <c r="X1982" s="128"/>
      <c r="Y1982" s="129"/>
    </row>
    <row r="1983" spans="14:25" x14ac:dyDescent="0.25">
      <c r="N1983" s="125"/>
      <c r="O1983" s="125"/>
      <c r="P1983" s="126"/>
      <c r="Q1983" s="62"/>
      <c r="R1983" s="62"/>
      <c r="S1983" s="127"/>
      <c r="T1983" s="11"/>
      <c r="U1983" s="124"/>
      <c r="V1983" s="11"/>
      <c r="W1983" s="124"/>
      <c r="X1983" s="128"/>
      <c r="Y1983" s="129"/>
    </row>
    <row r="1984" spans="14:25" x14ac:dyDescent="0.25">
      <c r="N1984" s="125"/>
      <c r="O1984" s="125"/>
      <c r="P1984" s="126"/>
      <c r="Q1984" s="62"/>
      <c r="R1984" s="62"/>
      <c r="S1984" s="127"/>
      <c r="T1984" s="11"/>
      <c r="U1984" s="124"/>
      <c r="V1984" s="11"/>
      <c r="W1984" s="124"/>
      <c r="X1984" s="128"/>
      <c r="Y1984" s="129"/>
    </row>
    <row r="1985" spans="14:25" x14ac:dyDescent="0.25">
      <c r="N1985" s="125"/>
      <c r="O1985" s="125"/>
      <c r="P1985" s="126"/>
      <c r="Q1985" s="62"/>
      <c r="R1985" s="62"/>
      <c r="S1985" s="127"/>
      <c r="T1985" s="11"/>
      <c r="U1985" s="124"/>
      <c r="V1985" s="11"/>
      <c r="W1985" s="124"/>
      <c r="X1985" s="128"/>
      <c r="Y1985" s="129"/>
    </row>
    <row r="1986" spans="14:25" x14ac:dyDescent="0.25">
      <c r="N1986" s="125"/>
      <c r="O1986" s="125"/>
      <c r="P1986" s="126"/>
      <c r="Q1986" s="62"/>
      <c r="R1986" s="62"/>
      <c r="S1986" s="127"/>
      <c r="T1986" s="11"/>
      <c r="U1986" s="124"/>
      <c r="V1986" s="11"/>
      <c r="W1986" s="124"/>
      <c r="X1986" s="128"/>
      <c r="Y1986" s="129"/>
    </row>
    <row r="1987" spans="14:25" x14ac:dyDescent="0.25">
      <c r="N1987" s="125"/>
      <c r="O1987" s="125"/>
      <c r="P1987" s="126"/>
      <c r="Q1987" s="62"/>
      <c r="R1987" s="62"/>
      <c r="S1987" s="127"/>
      <c r="T1987" s="11"/>
      <c r="U1987" s="124"/>
      <c r="V1987" s="11"/>
      <c r="W1987" s="124"/>
      <c r="X1987" s="128"/>
      <c r="Y1987" s="129"/>
    </row>
    <row r="1988" spans="14:25" x14ac:dyDescent="0.25">
      <c r="N1988" s="125"/>
      <c r="O1988" s="125"/>
      <c r="P1988" s="126"/>
      <c r="Q1988" s="62"/>
      <c r="R1988" s="62"/>
      <c r="S1988" s="127"/>
      <c r="T1988" s="11"/>
      <c r="U1988" s="124"/>
      <c r="V1988" s="11"/>
      <c r="W1988" s="124"/>
      <c r="X1988" s="128"/>
      <c r="Y1988" s="129"/>
    </row>
    <row r="1989" spans="14:25" x14ac:dyDescent="0.25">
      <c r="N1989" s="125"/>
      <c r="O1989" s="125"/>
      <c r="P1989" s="126"/>
      <c r="Q1989" s="62"/>
      <c r="R1989" s="62"/>
      <c r="S1989" s="127"/>
      <c r="T1989" s="11"/>
      <c r="U1989" s="124"/>
      <c r="V1989" s="11"/>
      <c r="W1989" s="124"/>
      <c r="X1989" s="128"/>
      <c r="Y1989" s="129"/>
    </row>
    <row r="1990" spans="14:25" x14ac:dyDescent="0.25">
      <c r="N1990" s="125"/>
      <c r="O1990" s="125"/>
      <c r="P1990" s="126"/>
      <c r="Q1990" s="62"/>
      <c r="R1990" s="62"/>
      <c r="S1990" s="127"/>
      <c r="T1990" s="11"/>
      <c r="U1990" s="124"/>
      <c r="V1990" s="11"/>
      <c r="W1990" s="124"/>
      <c r="X1990" s="128"/>
      <c r="Y1990" s="129"/>
    </row>
    <row r="1991" spans="14:25" x14ac:dyDescent="0.25">
      <c r="N1991" s="125"/>
      <c r="O1991" s="125"/>
      <c r="P1991" s="126"/>
      <c r="Q1991" s="62"/>
      <c r="R1991" s="62"/>
      <c r="S1991" s="127"/>
      <c r="T1991" s="11"/>
      <c r="U1991" s="124"/>
      <c r="V1991" s="11"/>
      <c r="W1991" s="124"/>
      <c r="X1991" s="128"/>
      <c r="Y1991" s="129"/>
    </row>
    <row r="1992" spans="14:25" x14ac:dyDescent="0.25">
      <c r="N1992" s="125"/>
      <c r="O1992" s="125"/>
      <c r="P1992" s="126"/>
      <c r="Q1992" s="62"/>
      <c r="R1992" s="62"/>
      <c r="S1992" s="127"/>
      <c r="T1992" s="11"/>
      <c r="U1992" s="124"/>
      <c r="V1992" s="11"/>
      <c r="W1992" s="124"/>
      <c r="X1992" s="128"/>
      <c r="Y1992" s="129"/>
    </row>
    <row r="1993" spans="14:25" x14ac:dyDescent="0.25">
      <c r="N1993" s="125"/>
      <c r="O1993" s="125"/>
      <c r="P1993" s="126"/>
      <c r="Q1993" s="62"/>
      <c r="R1993" s="62"/>
      <c r="S1993" s="127"/>
      <c r="T1993" s="11"/>
      <c r="U1993" s="124"/>
      <c r="V1993" s="11"/>
      <c r="W1993" s="124"/>
      <c r="X1993" s="128"/>
      <c r="Y1993" s="129"/>
    </row>
    <row r="1994" spans="14:25" x14ac:dyDescent="0.25">
      <c r="N1994" s="125"/>
      <c r="O1994" s="125"/>
      <c r="P1994" s="126"/>
      <c r="Q1994" s="62"/>
      <c r="R1994" s="62"/>
      <c r="S1994" s="127"/>
      <c r="T1994" s="11"/>
      <c r="U1994" s="124"/>
      <c r="V1994" s="11"/>
      <c r="W1994" s="124"/>
      <c r="X1994" s="128"/>
      <c r="Y1994" s="129"/>
    </row>
    <row r="1995" spans="14:25" x14ac:dyDescent="0.25">
      <c r="N1995" s="125"/>
      <c r="O1995" s="125"/>
      <c r="P1995" s="126"/>
      <c r="Q1995" s="62"/>
      <c r="R1995" s="62"/>
      <c r="S1995" s="127"/>
      <c r="T1995" s="11"/>
      <c r="U1995" s="124"/>
      <c r="V1995" s="11"/>
      <c r="W1995" s="124"/>
      <c r="X1995" s="128"/>
      <c r="Y1995" s="129"/>
    </row>
    <row r="1996" spans="14:25" x14ac:dyDescent="0.25">
      <c r="N1996" s="125"/>
      <c r="O1996" s="125"/>
      <c r="P1996" s="126"/>
      <c r="Q1996" s="62"/>
      <c r="R1996" s="62"/>
      <c r="S1996" s="127"/>
      <c r="T1996" s="11"/>
      <c r="U1996" s="124"/>
      <c r="V1996" s="11"/>
      <c r="W1996" s="124"/>
      <c r="X1996" s="128"/>
      <c r="Y1996" s="129"/>
    </row>
    <row r="1997" spans="14:25" x14ac:dyDescent="0.25">
      <c r="N1997" s="125"/>
      <c r="O1997" s="125"/>
      <c r="P1997" s="126"/>
      <c r="Q1997" s="62"/>
      <c r="R1997" s="62"/>
      <c r="S1997" s="127"/>
      <c r="T1997" s="11"/>
      <c r="U1997" s="124"/>
      <c r="V1997" s="11"/>
      <c r="W1997" s="124"/>
      <c r="X1997" s="128"/>
      <c r="Y1997" s="129"/>
    </row>
    <row r="1998" spans="14:25" x14ac:dyDescent="0.25">
      <c r="N1998" s="125"/>
      <c r="O1998" s="125"/>
      <c r="P1998" s="126"/>
      <c r="Q1998" s="62"/>
      <c r="R1998" s="62"/>
      <c r="S1998" s="127"/>
      <c r="T1998" s="11"/>
      <c r="U1998" s="124"/>
      <c r="V1998" s="11"/>
      <c r="W1998" s="124"/>
      <c r="X1998" s="128"/>
      <c r="Y1998" s="129"/>
    </row>
    <row r="1999" spans="14:25" x14ac:dyDescent="0.25">
      <c r="N1999" s="125"/>
      <c r="O1999" s="125"/>
      <c r="P1999" s="126"/>
      <c r="Q1999" s="62"/>
      <c r="R1999" s="62"/>
      <c r="S1999" s="127"/>
      <c r="T1999" s="11"/>
      <c r="U1999" s="124"/>
      <c r="V1999" s="11"/>
      <c r="W1999" s="124"/>
      <c r="X1999" s="128"/>
      <c r="Y1999" s="129"/>
    </row>
    <row r="2000" spans="14:25" x14ac:dyDescent="0.25">
      <c r="N2000" s="125"/>
      <c r="O2000" s="125"/>
      <c r="P2000" s="126"/>
      <c r="Q2000" s="62"/>
      <c r="R2000" s="62"/>
      <c r="S2000" s="127"/>
      <c r="T2000" s="11"/>
      <c r="U2000" s="124"/>
      <c r="V2000" s="11"/>
      <c r="W2000" s="124"/>
      <c r="X2000" s="128"/>
      <c r="Y2000" s="129"/>
    </row>
    <row r="2001" spans="14:25" x14ac:dyDescent="0.25">
      <c r="N2001" s="125"/>
      <c r="O2001" s="125"/>
      <c r="P2001" s="126"/>
      <c r="Q2001" s="62"/>
      <c r="R2001" s="62"/>
      <c r="S2001" s="127"/>
      <c r="T2001" s="11"/>
      <c r="U2001" s="124"/>
      <c r="V2001" s="11"/>
      <c r="W2001" s="124"/>
      <c r="X2001" s="128"/>
      <c r="Y2001" s="129"/>
    </row>
    <row r="2002" spans="14:25" x14ac:dyDescent="0.25">
      <c r="N2002" s="125"/>
      <c r="O2002" s="125"/>
      <c r="P2002" s="126"/>
      <c r="Q2002" s="62"/>
      <c r="R2002" s="62"/>
      <c r="S2002" s="127"/>
      <c r="T2002" s="11"/>
      <c r="U2002" s="124"/>
      <c r="V2002" s="11"/>
      <c r="W2002" s="124"/>
      <c r="X2002" s="128"/>
      <c r="Y2002" s="129"/>
    </row>
    <row r="2003" spans="14:25" x14ac:dyDescent="0.25">
      <c r="N2003" s="125"/>
      <c r="O2003" s="125"/>
      <c r="P2003" s="126"/>
      <c r="Q2003" s="62"/>
      <c r="R2003" s="62"/>
      <c r="S2003" s="127"/>
      <c r="T2003" s="11"/>
      <c r="U2003" s="124"/>
      <c r="V2003" s="11"/>
      <c r="W2003" s="124"/>
      <c r="X2003" s="128"/>
      <c r="Y2003" s="129"/>
    </row>
    <row r="2004" spans="14:25" x14ac:dyDescent="0.25">
      <c r="N2004" s="125"/>
      <c r="O2004" s="125"/>
      <c r="P2004" s="126"/>
      <c r="Q2004" s="62"/>
      <c r="R2004" s="62"/>
      <c r="S2004" s="127"/>
      <c r="T2004" s="11"/>
      <c r="U2004" s="124"/>
      <c r="V2004" s="11"/>
      <c r="W2004" s="124"/>
      <c r="X2004" s="128"/>
      <c r="Y2004" s="129"/>
    </row>
    <row r="2005" spans="14:25" x14ac:dyDescent="0.25">
      <c r="N2005" s="125"/>
      <c r="O2005" s="125"/>
      <c r="P2005" s="126"/>
      <c r="Q2005" s="62"/>
      <c r="R2005" s="62"/>
      <c r="S2005" s="127"/>
      <c r="T2005" s="11"/>
      <c r="U2005" s="124"/>
      <c r="V2005" s="11"/>
      <c r="W2005" s="124"/>
      <c r="X2005" s="128"/>
      <c r="Y2005" s="129"/>
    </row>
    <row r="2006" spans="14:25" x14ac:dyDescent="0.25">
      <c r="N2006" s="125"/>
      <c r="O2006" s="125"/>
      <c r="P2006" s="126"/>
      <c r="Q2006" s="62"/>
      <c r="R2006" s="62"/>
      <c r="S2006" s="127"/>
      <c r="T2006" s="11"/>
      <c r="U2006" s="124"/>
      <c r="V2006" s="11"/>
      <c r="W2006" s="124"/>
      <c r="X2006" s="128"/>
      <c r="Y2006" s="129"/>
    </row>
    <row r="2007" spans="14:25" x14ac:dyDescent="0.25">
      <c r="N2007" s="125"/>
      <c r="O2007" s="125"/>
      <c r="P2007" s="126"/>
      <c r="Q2007" s="62"/>
      <c r="R2007" s="62"/>
      <c r="S2007" s="127"/>
      <c r="T2007" s="11"/>
      <c r="U2007" s="124"/>
      <c r="V2007" s="11"/>
      <c r="W2007" s="124"/>
      <c r="X2007" s="128"/>
      <c r="Y2007" s="129"/>
    </row>
    <row r="2008" spans="14:25" x14ac:dyDescent="0.25">
      <c r="N2008" s="125"/>
      <c r="O2008" s="125"/>
      <c r="P2008" s="126"/>
      <c r="Q2008" s="62"/>
      <c r="R2008" s="62"/>
      <c r="S2008" s="127"/>
      <c r="T2008" s="11"/>
      <c r="U2008" s="124"/>
      <c r="V2008" s="11"/>
      <c r="W2008" s="124"/>
      <c r="X2008" s="128"/>
      <c r="Y2008" s="129"/>
    </row>
    <row r="2009" spans="14:25" x14ac:dyDescent="0.25">
      <c r="N2009" s="125"/>
      <c r="O2009" s="125"/>
      <c r="P2009" s="126"/>
      <c r="Q2009" s="62"/>
      <c r="R2009" s="62"/>
      <c r="S2009" s="127"/>
      <c r="T2009" s="11"/>
      <c r="U2009" s="124"/>
      <c r="V2009" s="11"/>
      <c r="W2009" s="124"/>
      <c r="X2009" s="128"/>
      <c r="Y2009" s="129"/>
    </row>
    <row r="2010" spans="14:25" x14ac:dyDescent="0.25">
      <c r="N2010" s="125"/>
      <c r="O2010" s="125"/>
      <c r="P2010" s="126"/>
      <c r="Q2010" s="62"/>
      <c r="R2010" s="62"/>
      <c r="S2010" s="127"/>
      <c r="T2010" s="11"/>
      <c r="U2010" s="124"/>
      <c r="V2010" s="11"/>
      <c r="W2010" s="124"/>
      <c r="X2010" s="128"/>
      <c r="Y2010" s="129"/>
    </row>
    <row r="2011" spans="14:25" x14ac:dyDescent="0.25">
      <c r="N2011" s="125"/>
      <c r="O2011" s="125"/>
      <c r="P2011" s="126"/>
      <c r="Q2011" s="62"/>
      <c r="R2011" s="62"/>
      <c r="S2011" s="127"/>
      <c r="T2011" s="11"/>
      <c r="U2011" s="124"/>
      <c r="V2011" s="11"/>
      <c r="W2011" s="124"/>
      <c r="X2011" s="128"/>
      <c r="Y2011" s="129"/>
    </row>
    <row r="2012" spans="14:25" x14ac:dyDescent="0.25">
      <c r="N2012" s="125"/>
      <c r="O2012" s="125"/>
      <c r="P2012" s="126"/>
      <c r="Q2012" s="62"/>
      <c r="R2012" s="62"/>
      <c r="S2012" s="127"/>
      <c r="T2012" s="11"/>
      <c r="U2012" s="124"/>
      <c r="V2012" s="11"/>
      <c r="W2012" s="124"/>
      <c r="X2012" s="128"/>
      <c r="Y2012" s="129"/>
    </row>
    <row r="2013" spans="14:25" x14ac:dyDescent="0.25">
      <c r="N2013" s="125"/>
      <c r="O2013" s="125"/>
      <c r="P2013" s="126"/>
      <c r="Q2013" s="62"/>
      <c r="R2013" s="62"/>
      <c r="S2013" s="127"/>
      <c r="T2013" s="11"/>
      <c r="U2013" s="124"/>
      <c r="V2013" s="11"/>
      <c r="W2013" s="124"/>
      <c r="X2013" s="128"/>
      <c r="Y2013" s="129"/>
    </row>
    <row r="2014" spans="14:25" x14ac:dyDescent="0.25">
      <c r="N2014" s="125"/>
      <c r="O2014" s="125"/>
      <c r="P2014" s="126"/>
      <c r="Q2014" s="62"/>
      <c r="R2014" s="62"/>
      <c r="S2014" s="127"/>
      <c r="T2014" s="11"/>
      <c r="U2014" s="124"/>
      <c r="V2014" s="11"/>
      <c r="W2014" s="124"/>
      <c r="X2014" s="128"/>
      <c r="Y2014" s="129"/>
    </row>
    <row r="2015" spans="14:25" x14ac:dyDescent="0.25">
      <c r="N2015" s="125"/>
      <c r="O2015" s="125"/>
      <c r="P2015" s="126"/>
      <c r="Q2015" s="62"/>
      <c r="R2015" s="62"/>
      <c r="S2015" s="127"/>
      <c r="T2015" s="11"/>
      <c r="U2015" s="124"/>
      <c r="V2015" s="11"/>
      <c r="W2015" s="124"/>
      <c r="X2015" s="128"/>
      <c r="Y2015" s="129"/>
    </row>
    <row r="2016" spans="14:25" x14ac:dyDescent="0.25">
      <c r="N2016" s="125"/>
      <c r="O2016" s="125"/>
      <c r="P2016" s="126"/>
      <c r="Q2016" s="62"/>
      <c r="R2016" s="62"/>
      <c r="S2016" s="127"/>
      <c r="T2016" s="11"/>
      <c r="U2016" s="124"/>
      <c r="V2016" s="11"/>
      <c r="W2016" s="124"/>
      <c r="X2016" s="128"/>
      <c r="Y2016" s="129"/>
    </row>
    <row r="2017" spans="14:25" x14ac:dyDescent="0.25">
      <c r="N2017" s="125"/>
      <c r="O2017" s="125"/>
      <c r="P2017" s="126"/>
      <c r="Q2017" s="62"/>
      <c r="R2017" s="62"/>
      <c r="S2017" s="127"/>
      <c r="T2017" s="11"/>
      <c r="U2017" s="124"/>
      <c r="V2017" s="11"/>
      <c r="W2017" s="124"/>
      <c r="X2017" s="128"/>
      <c r="Y2017" s="129"/>
    </row>
    <row r="2018" spans="14:25" x14ac:dyDescent="0.25">
      <c r="N2018" s="125"/>
      <c r="O2018" s="125"/>
      <c r="P2018" s="126"/>
      <c r="Q2018" s="62"/>
      <c r="R2018" s="62"/>
      <c r="S2018" s="127"/>
      <c r="T2018" s="11"/>
      <c r="U2018" s="124"/>
      <c r="V2018" s="11"/>
      <c r="W2018" s="124"/>
      <c r="X2018" s="128"/>
      <c r="Y2018" s="129"/>
    </row>
    <row r="2019" spans="14:25" x14ac:dyDescent="0.25">
      <c r="N2019" s="125"/>
      <c r="O2019" s="125"/>
      <c r="P2019" s="126"/>
      <c r="Q2019" s="62"/>
      <c r="R2019" s="62"/>
      <c r="S2019" s="127"/>
      <c r="T2019" s="11"/>
      <c r="U2019" s="124"/>
      <c r="V2019" s="11"/>
      <c r="W2019" s="124"/>
      <c r="X2019" s="128"/>
      <c r="Y2019" s="129"/>
    </row>
    <row r="2020" spans="14:25" x14ac:dyDescent="0.25">
      <c r="N2020" s="125"/>
      <c r="O2020" s="125"/>
      <c r="P2020" s="126"/>
      <c r="Q2020" s="62"/>
      <c r="R2020" s="62"/>
      <c r="S2020" s="127"/>
      <c r="T2020" s="11"/>
      <c r="U2020" s="124"/>
      <c r="V2020" s="11"/>
      <c r="W2020" s="124"/>
      <c r="X2020" s="128"/>
      <c r="Y2020" s="129"/>
    </row>
    <row r="2021" spans="14:25" x14ac:dyDescent="0.25">
      <c r="N2021" s="125"/>
      <c r="O2021" s="125"/>
      <c r="P2021" s="126"/>
      <c r="Q2021" s="62"/>
      <c r="R2021" s="62"/>
      <c r="S2021" s="127"/>
      <c r="T2021" s="11"/>
      <c r="U2021" s="124"/>
      <c r="V2021" s="11"/>
      <c r="W2021" s="124"/>
      <c r="X2021" s="128"/>
      <c r="Y2021" s="129"/>
    </row>
    <row r="2022" spans="14:25" x14ac:dyDescent="0.25">
      <c r="N2022" s="125"/>
      <c r="O2022" s="125"/>
      <c r="P2022" s="126"/>
      <c r="Q2022" s="62"/>
      <c r="R2022" s="62"/>
      <c r="S2022" s="127"/>
      <c r="T2022" s="11"/>
      <c r="U2022" s="124"/>
      <c r="V2022" s="11"/>
      <c r="W2022" s="124"/>
      <c r="X2022" s="128"/>
      <c r="Y2022" s="129"/>
    </row>
    <row r="2023" spans="14:25" x14ac:dyDescent="0.25">
      <c r="N2023" s="125"/>
      <c r="O2023" s="125"/>
      <c r="P2023" s="126"/>
      <c r="Q2023" s="62"/>
      <c r="R2023" s="62"/>
      <c r="S2023" s="127"/>
      <c r="T2023" s="11"/>
      <c r="U2023" s="124"/>
      <c r="V2023" s="11"/>
      <c r="W2023" s="124"/>
      <c r="X2023" s="128"/>
      <c r="Y2023" s="129"/>
    </row>
    <row r="2024" spans="14:25" x14ac:dyDescent="0.25">
      <c r="N2024" s="125"/>
      <c r="O2024" s="125"/>
      <c r="P2024" s="126"/>
      <c r="Q2024" s="62"/>
      <c r="R2024" s="62"/>
      <c r="S2024" s="127"/>
      <c r="T2024" s="11"/>
      <c r="U2024" s="124"/>
      <c r="V2024" s="11"/>
      <c r="W2024" s="124"/>
      <c r="X2024" s="128"/>
      <c r="Y2024" s="129"/>
    </row>
    <row r="2025" spans="14:25" x14ac:dyDescent="0.25">
      <c r="N2025" s="125"/>
      <c r="O2025" s="125"/>
      <c r="P2025" s="126"/>
      <c r="Q2025" s="62"/>
      <c r="R2025" s="62"/>
      <c r="S2025" s="127"/>
      <c r="T2025" s="11"/>
      <c r="U2025" s="124"/>
      <c r="V2025" s="11"/>
      <c r="W2025" s="124"/>
      <c r="X2025" s="128"/>
      <c r="Y2025" s="129"/>
    </row>
    <row r="2026" spans="14:25" x14ac:dyDescent="0.25">
      <c r="N2026" s="125"/>
      <c r="O2026" s="125"/>
      <c r="P2026" s="126"/>
      <c r="Q2026" s="62"/>
      <c r="R2026" s="62"/>
      <c r="S2026" s="127"/>
      <c r="T2026" s="11"/>
      <c r="U2026" s="124"/>
      <c r="V2026" s="11"/>
      <c r="W2026" s="124"/>
      <c r="X2026" s="128"/>
      <c r="Y2026" s="129"/>
    </row>
    <row r="2027" spans="14:25" x14ac:dyDescent="0.25">
      <c r="N2027" s="125"/>
      <c r="O2027" s="125"/>
      <c r="P2027" s="126"/>
      <c r="Q2027" s="62"/>
      <c r="R2027" s="62"/>
      <c r="S2027" s="127"/>
      <c r="T2027" s="11"/>
      <c r="U2027" s="124"/>
      <c r="V2027" s="11"/>
      <c r="W2027" s="124"/>
      <c r="X2027" s="128"/>
      <c r="Y2027" s="129"/>
    </row>
    <row r="2028" spans="14:25" x14ac:dyDescent="0.25">
      <c r="N2028" s="125"/>
      <c r="O2028" s="125"/>
      <c r="P2028" s="126"/>
      <c r="Q2028" s="62"/>
      <c r="R2028" s="62"/>
      <c r="S2028" s="127"/>
      <c r="T2028" s="11"/>
      <c r="U2028" s="124"/>
      <c r="V2028" s="11"/>
      <c r="W2028" s="124"/>
      <c r="X2028" s="128"/>
      <c r="Y2028" s="129"/>
    </row>
    <row r="2029" spans="14:25" x14ac:dyDescent="0.25">
      <c r="N2029" s="125"/>
      <c r="O2029" s="125"/>
      <c r="P2029" s="126"/>
      <c r="Q2029" s="62"/>
      <c r="R2029" s="62"/>
      <c r="S2029" s="127"/>
      <c r="T2029" s="11"/>
      <c r="U2029" s="124"/>
      <c r="V2029" s="11"/>
      <c r="W2029" s="124"/>
      <c r="X2029" s="128"/>
      <c r="Y2029" s="129"/>
    </row>
    <row r="2030" spans="14:25" x14ac:dyDescent="0.25">
      <c r="N2030" s="125"/>
      <c r="O2030" s="125"/>
      <c r="P2030" s="126"/>
      <c r="Q2030" s="62"/>
      <c r="R2030" s="62"/>
      <c r="S2030" s="127"/>
      <c r="T2030" s="11"/>
      <c r="U2030" s="124"/>
      <c r="V2030" s="11"/>
      <c r="W2030" s="124"/>
      <c r="X2030" s="128"/>
      <c r="Y2030" s="129"/>
    </row>
    <row r="2031" spans="14:25" x14ac:dyDescent="0.25">
      <c r="N2031" s="125"/>
      <c r="O2031" s="125"/>
      <c r="P2031" s="126"/>
      <c r="Q2031" s="62"/>
      <c r="R2031" s="62"/>
      <c r="S2031" s="127"/>
      <c r="T2031" s="11"/>
      <c r="U2031" s="124"/>
      <c r="V2031" s="11"/>
      <c r="W2031" s="124"/>
      <c r="X2031" s="128"/>
      <c r="Y2031" s="129"/>
    </row>
    <row r="2032" spans="14:25" x14ac:dyDescent="0.25">
      <c r="N2032" s="125"/>
      <c r="O2032" s="125"/>
      <c r="P2032" s="126"/>
      <c r="Q2032" s="62"/>
      <c r="R2032" s="62"/>
      <c r="S2032" s="127"/>
      <c r="T2032" s="11"/>
      <c r="U2032" s="124"/>
      <c r="V2032" s="11"/>
      <c r="W2032" s="124"/>
      <c r="X2032" s="128"/>
      <c r="Y2032" s="129"/>
    </row>
    <row r="2033" spans="14:25" x14ac:dyDescent="0.25">
      <c r="N2033" s="125"/>
      <c r="O2033" s="125"/>
      <c r="P2033" s="126"/>
      <c r="Q2033" s="62"/>
      <c r="R2033" s="62"/>
      <c r="S2033" s="127"/>
      <c r="T2033" s="11"/>
      <c r="U2033" s="124"/>
      <c r="V2033" s="11"/>
      <c r="W2033" s="124"/>
      <c r="X2033" s="128"/>
      <c r="Y2033" s="129"/>
    </row>
    <row r="2034" spans="14:25" x14ac:dyDescent="0.25">
      <c r="N2034" s="125"/>
      <c r="O2034" s="125"/>
      <c r="P2034" s="126"/>
      <c r="Q2034" s="62"/>
      <c r="R2034" s="62"/>
      <c r="S2034" s="127"/>
      <c r="T2034" s="11"/>
      <c r="U2034" s="124"/>
      <c r="V2034" s="11"/>
      <c r="W2034" s="124"/>
      <c r="X2034" s="128"/>
      <c r="Y2034" s="129"/>
    </row>
    <row r="2035" spans="14:25" x14ac:dyDescent="0.25">
      <c r="N2035" s="125"/>
      <c r="O2035" s="125"/>
      <c r="P2035" s="126"/>
      <c r="Q2035" s="62"/>
      <c r="R2035" s="62"/>
      <c r="S2035" s="127"/>
      <c r="T2035" s="11"/>
      <c r="U2035" s="124"/>
      <c r="V2035" s="11"/>
      <c r="W2035" s="124"/>
      <c r="X2035" s="128"/>
      <c r="Y2035" s="129"/>
    </row>
    <row r="2036" spans="14:25" x14ac:dyDescent="0.25">
      <c r="N2036" s="125"/>
      <c r="O2036" s="125"/>
      <c r="P2036" s="126"/>
      <c r="Q2036" s="62"/>
      <c r="R2036" s="62"/>
      <c r="S2036" s="127"/>
      <c r="T2036" s="11"/>
      <c r="U2036" s="124"/>
      <c r="V2036" s="11"/>
      <c r="W2036" s="124"/>
      <c r="X2036" s="128"/>
      <c r="Y2036" s="129"/>
    </row>
    <row r="2037" spans="14:25" x14ac:dyDescent="0.25">
      <c r="N2037" s="125"/>
      <c r="O2037" s="125"/>
      <c r="P2037" s="126"/>
      <c r="Q2037" s="62"/>
      <c r="R2037" s="62"/>
      <c r="S2037" s="127"/>
      <c r="T2037" s="11"/>
      <c r="U2037" s="124"/>
      <c r="V2037" s="11"/>
      <c r="W2037" s="124"/>
      <c r="X2037" s="128"/>
      <c r="Y2037" s="129"/>
    </row>
    <row r="2038" spans="14:25" x14ac:dyDescent="0.25">
      <c r="N2038" s="125"/>
      <c r="O2038" s="125"/>
      <c r="P2038" s="126"/>
      <c r="Q2038" s="62"/>
      <c r="R2038" s="62"/>
      <c r="S2038" s="127"/>
      <c r="T2038" s="11"/>
      <c r="U2038" s="124"/>
      <c r="V2038" s="11"/>
      <c r="W2038" s="124"/>
      <c r="X2038" s="128"/>
      <c r="Y2038" s="129"/>
    </row>
    <row r="2039" spans="14:25" x14ac:dyDescent="0.25">
      <c r="N2039" s="125"/>
      <c r="O2039" s="125"/>
      <c r="P2039" s="126"/>
      <c r="Q2039" s="62"/>
      <c r="R2039" s="62"/>
      <c r="S2039" s="127"/>
      <c r="T2039" s="11"/>
      <c r="U2039" s="124"/>
      <c r="V2039" s="11"/>
      <c r="W2039" s="124"/>
      <c r="X2039" s="128"/>
      <c r="Y2039" s="129"/>
    </row>
    <row r="2040" spans="14:25" x14ac:dyDescent="0.25">
      <c r="N2040" s="125"/>
      <c r="O2040" s="125"/>
      <c r="P2040" s="126"/>
      <c r="Q2040" s="62"/>
      <c r="R2040" s="62"/>
      <c r="S2040" s="127"/>
      <c r="T2040" s="11"/>
      <c r="U2040" s="124"/>
      <c r="V2040" s="11"/>
      <c r="W2040" s="124"/>
      <c r="X2040" s="128"/>
      <c r="Y2040" s="129"/>
    </row>
    <row r="2041" spans="14:25" x14ac:dyDescent="0.25">
      <c r="N2041" s="125"/>
      <c r="O2041" s="125"/>
      <c r="P2041" s="126"/>
      <c r="Q2041" s="62"/>
      <c r="R2041" s="62"/>
      <c r="S2041" s="127"/>
      <c r="T2041" s="11"/>
      <c r="U2041" s="124"/>
      <c r="V2041" s="11"/>
      <c r="W2041" s="124"/>
      <c r="X2041" s="128"/>
      <c r="Y2041" s="129"/>
    </row>
    <row r="2042" spans="14:25" x14ac:dyDescent="0.25">
      <c r="N2042" s="125"/>
      <c r="O2042" s="125"/>
      <c r="P2042" s="126"/>
      <c r="Q2042" s="62"/>
      <c r="R2042" s="62"/>
      <c r="S2042" s="127"/>
      <c r="T2042" s="11"/>
      <c r="U2042" s="124"/>
      <c r="V2042" s="11"/>
      <c r="W2042" s="124"/>
      <c r="X2042" s="128"/>
      <c r="Y2042" s="129"/>
    </row>
    <row r="2043" spans="14:25" x14ac:dyDescent="0.25">
      <c r="N2043" s="125"/>
      <c r="O2043" s="125"/>
      <c r="P2043" s="126"/>
      <c r="Q2043" s="62"/>
      <c r="R2043" s="62"/>
      <c r="S2043" s="127"/>
      <c r="T2043" s="11"/>
      <c r="U2043" s="124"/>
      <c r="V2043" s="11"/>
      <c r="W2043" s="124"/>
      <c r="X2043" s="128"/>
      <c r="Y2043" s="129"/>
    </row>
    <row r="2044" spans="14:25" x14ac:dyDescent="0.25">
      <c r="N2044" s="125"/>
      <c r="O2044" s="125"/>
      <c r="P2044" s="126"/>
      <c r="Q2044" s="62"/>
      <c r="R2044" s="62"/>
      <c r="S2044" s="127"/>
      <c r="T2044" s="11"/>
      <c r="U2044" s="124"/>
      <c r="V2044" s="11"/>
      <c r="W2044" s="124"/>
      <c r="X2044" s="128"/>
      <c r="Y2044" s="129"/>
    </row>
    <row r="2045" spans="14:25" x14ac:dyDescent="0.25">
      <c r="N2045" s="125"/>
      <c r="O2045" s="125"/>
      <c r="P2045" s="126"/>
      <c r="Q2045" s="62"/>
      <c r="R2045" s="62"/>
      <c r="S2045" s="127"/>
      <c r="T2045" s="11"/>
      <c r="U2045" s="124"/>
      <c r="V2045" s="11"/>
      <c r="W2045" s="124"/>
      <c r="X2045" s="128"/>
      <c r="Y2045" s="129"/>
    </row>
    <row r="2046" spans="14:25" x14ac:dyDescent="0.25">
      <c r="N2046" s="125"/>
      <c r="O2046" s="125"/>
      <c r="P2046" s="126"/>
      <c r="Q2046" s="62"/>
      <c r="R2046" s="62"/>
      <c r="S2046" s="127"/>
      <c r="T2046" s="11"/>
      <c r="U2046" s="124"/>
      <c r="V2046" s="11"/>
      <c r="W2046" s="124"/>
      <c r="X2046" s="128"/>
      <c r="Y2046" s="129"/>
    </row>
    <row r="2047" spans="14:25" x14ac:dyDescent="0.25">
      <c r="N2047" s="125"/>
      <c r="O2047" s="125"/>
      <c r="P2047" s="126"/>
      <c r="Q2047" s="62"/>
      <c r="R2047" s="62"/>
      <c r="S2047" s="127"/>
      <c r="T2047" s="11"/>
      <c r="U2047" s="124"/>
      <c r="V2047" s="11"/>
      <c r="W2047" s="124"/>
      <c r="X2047" s="128"/>
      <c r="Y2047" s="129"/>
    </row>
    <row r="2048" spans="14:25" x14ac:dyDescent="0.25">
      <c r="N2048" s="125"/>
      <c r="O2048" s="125"/>
      <c r="P2048" s="126"/>
      <c r="Q2048" s="62"/>
      <c r="R2048" s="62"/>
      <c r="S2048" s="127"/>
      <c r="T2048" s="11"/>
      <c r="U2048" s="124"/>
      <c r="V2048" s="11"/>
      <c r="W2048" s="124"/>
      <c r="X2048" s="128"/>
      <c r="Y2048" s="129"/>
    </row>
    <row r="2049" spans="14:25" x14ac:dyDescent="0.25">
      <c r="N2049" s="125"/>
      <c r="O2049" s="125"/>
      <c r="P2049" s="126"/>
      <c r="Q2049" s="62"/>
      <c r="R2049" s="62"/>
      <c r="S2049" s="127"/>
      <c r="T2049" s="11"/>
      <c r="U2049" s="124"/>
      <c r="V2049" s="11"/>
      <c r="W2049" s="124"/>
      <c r="X2049" s="128"/>
      <c r="Y2049" s="129"/>
    </row>
    <row r="2050" spans="14:25" x14ac:dyDescent="0.25">
      <c r="N2050" s="125"/>
      <c r="O2050" s="125"/>
      <c r="P2050" s="126"/>
      <c r="Q2050" s="62"/>
      <c r="R2050" s="62"/>
      <c r="S2050" s="127"/>
      <c r="T2050" s="11"/>
      <c r="U2050" s="124"/>
      <c r="V2050" s="11"/>
      <c r="W2050" s="124"/>
      <c r="X2050" s="128"/>
      <c r="Y2050" s="129"/>
    </row>
    <row r="2051" spans="14:25" x14ac:dyDescent="0.25">
      <c r="N2051" s="125"/>
      <c r="O2051" s="125"/>
      <c r="P2051" s="126"/>
      <c r="Q2051" s="62"/>
      <c r="R2051" s="62"/>
      <c r="S2051" s="127"/>
      <c r="T2051" s="11"/>
      <c r="U2051" s="124"/>
      <c r="V2051" s="11"/>
      <c r="W2051" s="124"/>
      <c r="X2051" s="128"/>
      <c r="Y2051" s="129"/>
    </row>
    <row r="2052" spans="14:25" x14ac:dyDescent="0.25">
      <c r="N2052" s="125"/>
      <c r="O2052" s="125"/>
      <c r="P2052" s="126"/>
      <c r="Q2052" s="62"/>
      <c r="R2052" s="62"/>
      <c r="S2052" s="127"/>
      <c r="T2052" s="11"/>
      <c r="U2052" s="124"/>
      <c r="V2052" s="11"/>
      <c r="W2052" s="124"/>
      <c r="X2052" s="128"/>
      <c r="Y2052" s="129"/>
    </row>
    <row r="2053" spans="14:25" x14ac:dyDescent="0.25">
      <c r="N2053" s="125"/>
      <c r="O2053" s="125"/>
      <c r="P2053" s="126"/>
      <c r="Q2053" s="62"/>
      <c r="R2053" s="62"/>
      <c r="S2053" s="127"/>
      <c r="T2053" s="11"/>
      <c r="U2053" s="124"/>
      <c r="V2053" s="11"/>
      <c r="W2053" s="124"/>
      <c r="X2053" s="128"/>
      <c r="Y2053" s="129"/>
    </row>
    <row r="2054" spans="14:25" x14ac:dyDescent="0.25">
      <c r="N2054" s="125"/>
      <c r="O2054" s="125"/>
      <c r="P2054" s="126"/>
      <c r="Q2054" s="62"/>
      <c r="R2054" s="62"/>
      <c r="S2054" s="127"/>
      <c r="T2054" s="11"/>
      <c r="U2054" s="124"/>
      <c r="V2054" s="11"/>
      <c r="W2054" s="124"/>
      <c r="X2054" s="128"/>
      <c r="Y2054" s="129"/>
    </row>
    <row r="2055" spans="14:25" x14ac:dyDescent="0.25">
      <c r="N2055" s="125"/>
      <c r="O2055" s="125"/>
      <c r="P2055" s="126"/>
      <c r="Q2055" s="62"/>
      <c r="R2055" s="62"/>
      <c r="S2055" s="127"/>
      <c r="T2055" s="11"/>
      <c r="U2055" s="124"/>
      <c r="V2055" s="11"/>
      <c r="W2055" s="124"/>
      <c r="X2055" s="128"/>
      <c r="Y2055" s="129"/>
    </row>
    <row r="2056" spans="14:25" x14ac:dyDescent="0.25">
      <c r="N2056" s="125"/>
      <c r="O2056" s="125"/>
      <c r="P2056" s="126"/>
      <c r="Q2056" s="62"/>
      <c r="R2056" s="62"/>
      <c r="S2056" s="127"/>
      <c r="T2056" s="11"/>
      <c r="U2056" s="124"/>
      <c r="V2056" s="11"/>
      <c r="W2056" s="124"/>
      <c r="X2056" s="128"/>
      <c r="Y2056" s="129"/>
    </row>
    <row r="2057" spans="14:25" x14ac:dyDescent="0.25">
      <c r="N2057" s="125"/>
      <c r="O2057" s="125"/>
      <c r="P2057" s="126"/>
      <c r="Q2057" s="62"/>
      <c r="R2057" s="62"/>
      <c r="S2057" s="127"/>
      <c r="T2057" s="11"/>
      <c r="U2057" s="124"/>
      <c r="V2057" s="11"/>
      <c r="W2057" s="124"/>
      <c r="X2057" s="128"/>
      <c r="Y2057" s="129"/>
    </row>
    <row r="2058" spans="14:25" x14ac:dyDescent="0.25">
      <c r="N2058" s="125"/>
      <c r="O2058" s="125"/>
      <c r="P2058" s="126"/>
      <c r="Q2058" s="62"/>
      <c r="R2058" s="62"/>
      <c r="S2058" s="127"/>
      <c r="T2058" s="11"/>
      <c r="U2058" s="124"/>
      <c r="V2058" s="11"/>
      <c r="W2058" s="124"/>
      <c r="X2058" s="128"/>
      <c r="Y2058" s="129"/>
    </row>
    <row r="2059" spans="14:25" x14ac:dyDescent="0.25">
      <c r="N2059" s="125"/>
      <c r="O2059" s="125"/>
      <c r="P2059" s="126"/>
      <c r="Q2059" s="62"/>
      <c r="R2059" s="62"/>
      <c r="S2059" s="127"/>
      <c r="T2059" s="11"/>
      <c r="U2059" s="124"/>
      <c r="V2059" s="11"/>
      <c r="W2059" s="124"/>
      <c r="X2059" s="128"/>
      <c r="Y2059" s="129"/>
    </row>
    <row r="2060" spans="14:25" x14ac:dyDescent="0.25">
      <c r="N2060" s="125"/>
      <c r="O2060" s="125"/>
      <c r="P2060" s="126"/>
      <c r="Q2060" s="62"/>
      <c r="R2060" s="62"/>
      <c r="S2060" s="127"/>
      <c r="T2060" s="11"/>
      <c r="U2060" s="124"/>
      <c r="V2060" s="11"/>
      <c r="W2060" s="124"/>
      <c r="X2060" s="128"/>
      <c r="Y2060" s="129"/>
    </row>
    <row r="2061" spans="14:25" x14ac:dyDescent="0.25">
      <c r="N2061" s="125"/>
      <c r="O2061" s="125"/>
      <c r="P2061" s="126"/>
      <c r="Q2061" s="62"/>
      <c r="R2061" s="62"/>
      <c r="S2061" s="127"/>
      <c r="T2061" s="11"/>
      <c r="U2061" s="124"/>
      <c r="V2061" s="11"/>
      <c r="W2061" s="124"/>
      <c r="X2061" s="128"/>
      <c r="Y2061" s="129"/>
    </row>
    <row r="2062" spans="14:25" x14ac:dyDescent="0.25">
      <c r="N2062" s="125"/>
      <c r="O2062" s="125"/>
      <c r="P2062" s="126"/>
      <c r="Q2062" s="62"/>
      <c r="R2062" s="62"/>
      <c r="S2062" s="127"/>
      <c r="T2062" s="11"/>
      <c r="U2062" s="124"/>
      <c r="V2062" s="11"/>
      <c r="W2062" s="124"/>
      <c r="X2062" s="128"/>
      <c r="Y2062" s="129"/>
    </row>
    <row r="2063" spans="14:25" x14ac:dyDescent="0.25">
      <c r="N2063" s="125"/>
      <c r="O2063" s="125"/>
      <c r="P2063" s="126"/>
      <c r="Q2063" s="62"/>
      <c r="R2063" s="62"/>
      <c r="S2063" s="127"/>
      <c r="T2063" s="11"/>
      <c r="U2063" s="124"/>
      <c r="V2063" s="11"/>
      <c r="W2063" s="124"/>
      <c r="X2063" s="128"/>
      <c r="Y2063" s="129"/>
    </row>
    <row r="2064" spans="14:25" x14ac:dyDescent="0.25">
      <c r="N2064" s="125"/>
      <c r="O2064" s="125"/>
      <c r="P2064" s="126"/>
      <c r="Q2064" s="62"/>
      <c r="R2064" s="62"/>
      <c r="S2064" s="127"/>
      <c r="T2064" s="11"/>
      <c r="U2064" s="124"/>
      <c r="V2064" s="11"/>
      <c r="W2064" s="124"/>
      <c r="X2064" s="128"/>
      <c r="Y2064" s="129"/>
    </row>
    <row r="2065" spans="14:25" x14ac:dyDescent="0.25">
      <c r="N2065" s="125"/>
      <c r="O2065" s="125"/>
      <c r="P2065" s="126"/>
      <c r="Q2065" s="62"/>
      <c r="R2065" s="62"/>
      <c r="S2065" s="127"/>
      <c r="T2065" s="11"/>
      <c r="U2065" s="124"/>
      <c r="V2065" s="11"/>
      <c r="W2065" s="124"/>
      <c r="X2065" s="128"/>
      <c r="Y2065" s="129"/>
    </row>
    <row r="2066" spans="14:25" x14ac:dyDescent="0.25">
      <c r="N2066" s="125"/>
      <c r="O2066" s="125"/>
      <c r="P2066" s="126"/>
      <c r="Q2066" s="62"/>
      <c r="R2066" s="62"/>
      <c r="S2066" s="127"/>
      <c r="T2066" s="11"/>
      <c r="U2066" s="124"/>
      <c r="V2066" s="11"/>
      <c r="W2066" s="124"/>
      <c r="X2066" s="128"/>
      <c r="Y2066" s="129"/>
    </row>
    <row r="2067" spans="14:25" x14ac:dyDescent="0.25">
      <c r="N2067" s="125"/>
      <c r="O2067" s="125"/>
      <c r="P2067" s="126"/>
      <c r="Q2067" s="62"/>
      <c r="R2067" s="62"/>
      <c r="S2067" s="127"/>
      <c r="T2067" s="11"/>
      <c r="U2067" s="124"/>
      <c r="V2067" s="11"/>
      <c r="W2067" s="124"/>
      <c r="X2067" s="128"/>
      <c r="Y2067" s="129"/>
    </row>
    <row r="2068" spans="14:25" x14ac:dyDescent="0.25">
      <c r="N2068" s="125"/>
      <c r="O2068" s="125"/>
      <c r="P2068" s="126"/>
      <c r="Q2068" s="62"/>
      <c r="R2068" s="62"/>
      <c r="S2068" s="127"/>
      <c r="T2068" s="11"/>
      <c r="U2068" s="124"/>
      <c r="V2068" s="11"/>
      <c r="W2068" s="124"/>
      <c r="X2068" s="128"/>
      <c r="Y2068" s="129"/>
    </row>
    <row r="2069" spans="14:25" x14ac:dyDescent="0.25">
      <c r="N2069" s="125"/>
      <c r="O2069" s="125"/>
      <c r="P2069" s="126"/>
      <c r="Q2069" s="62"/>
      <c r="R2069" s="62"/>
      <c r="S2069" s="127"/>
      <c r="T2069" s="11"/>
      <c r="U2069" s="124"/>
      <c r="V2069" s="11"/>
      <c r="W2069" s="124"/>
      <c r="X2069" s="128"/>
      <c r="Y2069" s="129"/>
    </row>
    <row r="2070" spans="14:25" x14ac:dyDescent="0.25">
      <c r="N2070" s="125"/>
      <c r="O2070" s="125"/>
      <c r="P2070" s="126"/>
      <c r="Q2070" s="62"/>
      <c r="R2070" s="62"/>
      <c r="S2070" s="127"/>
      <c r="T2070" s="11"/>
      <c r="U2070" s="124"/>
      <c r="V2070" s="11"/>
      <c r="W2070" s="124"/>
      <c r="X2070" s="128"/>
      <c r="Y2070" s="129"/>
    </row>
    <row r="2071" spans="14:25" x14ac:dyDescent="0.25">
      <c r="N2071" s="125"/>
      <c r="O2071" s="125"/>
      <c r="P2071" s="126"/>
      <c r="Q2071" s="62"/>
      <c r="R2071" s="62"/>
      <c r="S2071" s="127"/>
      <c r="T2071" s="11"/>
      <c r="U2071" s="124"/>
      <c r="V2071" s="11"/>
      <c r="W2071" s="124"/>
      <c r="X2071" s="128"/>
      <c r="Y2071" s="129"/>
    </row>
    <row r="2072" spans="14:25" x14ac:dyDescent="0.25">
      <c r="N2072" s="125"/>
      <c r="O2072" s="125"/>
      <c r="P2072" s="126"/>
      <c r="Q2072" s="62"/>
      <c r="R2072" s="62"/>
      <c r="S2072" s="127"/>
      <c r="T2072" s="11"/>
      <c r="U2072" s="124"/>
      <c r="V2072" s="11"/>
      <c r="W2072" s="124"/>
      <c r="X2072" s="128"/>
      <c r="Y2072" s="129"/>
    </row>
    <row r="2073" spans="14:25" x14ac:dyDescent="0.25">
      <c r="N2073" s="125"/>
      <c r="O2073" s="125"/>
      <c r="P2073" s="126"/>
      <c r="Q2073" s="62"/>
      <c r="R2073" s="62"/>
      <c r="S2073" s="127"/>
      <c r="T2073" s="11"/>
      <c r="U2073" s="124"/>
      <c r="V2073" s="11"/>
      <c r="W2073" s="124"/>
      <c r="X2073" s="128"/>
      <c r="Y2073" s="129"/>
    </row>
    <row r="2074" spans="14:25" x14ac:dyDescent="0.25">
      <c r="N2074" s="125"/>
      <c r="O2074" s="125"/>
      <c r="P2074" s="126"/>
      <c r="Q2074" s="62"/>
      <c r="R2074" s="62"/>
      <c r="S2074" s="127"/>
      <c r="T2074" s="11"/>
      <c r="U2074" s="124"/>
      <c r="V2074" s="11"/>
      <c r="W2074" s="124"/>
      <c r="X2074" s="128"/>
      <c r="Y2074" s="129"/>
    </row>
    <row r="2075" spans="14:25" x14ac:dyDescent="0.25">
      <c r="N2075" s="125"/>
      <c r="O2075" s="125"/>
      <c r="P2075" s="126"/>
      <c r="Q2075" s="62"/>
      <c r="R2075" s="62"/>
      <c r="S2075" s="127"/>
      <c r="T2075" s="11"/>
      <c r="U2075" s="124"/>
      <c r="V2075" s="11"/>
      <c r="W2075" s="124"/>
      <c r="X2075" s="128"/>
      <c r="Y2075" s="129"/>
    </row>
    <row r="2076" spans="14:25" x14ac:dyDescent="0.25">
      <c r="N2076" s="125"/>
      <c r="O2076" s="125"/>
      <c r="P2076" s="126"/>
      <c r="Q2076" s="62"/>
      <c r="R2076" s="62"/>
      <c r="S2076" s="127"/>
      <c r="T2076" s="11"/>
      <c r="U2076" s="124"/>
      <c r="V2076" s="11"/>
      <c r="W2076" s="124"/>
      <c r="X2076" s="128"/>
      <c r="Y2076" s="129"/>
    </row>
    <row r="2077" spans="14:25" x14ac:dyDescent="0.25">
      <c r="N2077" s="125"/>
      <c r="O2077" s="125"/>
      <c r="P2077" s="126"/>
      <c r="Q2077" s="62"/>
      <c r="R2077" s="62"/>
      <c r="S2077" s="127"/>
      <c r="T2077" s="11"/>
      <c r="U2077" s="124"/>
      <c r="V2077" s="11"/>
      <c r="W2077" s="124"/>
      <c r="X2077" s="128"/>
      <c r="Y2077" s="129"/>
    </row>
    <row r="2078" spans="14:25" x14ac:dyDescent="0.25">
      <c r="N2078" s="125"/>
      <c r="O2078" s="125"/>
      <c r="P2078" s="126"/>
      <c r="Q2078" s="62"/>
      <c r="R2078" s="62"/>
      <c r="S2078" s="127"/>
      <c r="T2078" s="11"/>
      <c r="U2078" s="124"/>
      <c r="V2078" s="11"/>
      <c r="W2078" s="124"/>
      <c r="X2078" s="128"/>
      <c r="Y2078" s="129"/>
    </row>
    <row r="2079" spans="14:25" x14ac:dyDescent="0.25">
      <c r="N2079" s="125"/>
      <c r="O2079" s="125"/>
      <c r="P2079" s="126"/>
      <c r="Q2079" s="62"/>
      <c r="R2079" s="62"/>
      <c r="S2079" s="127"/>
      <c r="T2079" s="11"/>
      <c r="U2079" s="124"/>
      <c r="V2079" s="11"/>
      <c r="W2079" s="124"/>
      <c r="X2079" s="128"/>
      <c r="Y2079" s="129"/>
    </row>
    <row r="2080" spans="14:25" x14ac:dyDescent="0.25">
      <c r="N2080" s="125"/>
      <c r="O2080" s="125"/>
      <c r="P2080" s="126"/>
      <c r="Q2080" s="62"/>
      <c r="R2080" s="62"/>
      <c r="S2080" s="127"/>
      <c r="T2080" s="11"/>
      <c r="U2080" s="124"/>
      <c r="V2080" s="11"/>
      <c r="W2080" s="124"/>
      <c r="X2080" s="128"/>
      <c r="Y2080" s="129"/>
    </row>
    <row r="2081" spans="14:25" x14ac:dyDescent="0.25">
      <c r="N2081" s="125"/>
      <c r="O2081" s="125"/>
      <c r="P2081" s="126"/>
      <c r="Q2081" s="62"/>
      <c r="R2081" s="62"/>
      <c r="S2081" s="127"/>
      <c r="T2081" s="11"/>
      <c r="U2081" s="124"/>
      <c r="V2081" s="11"/>
      <c r="W2081" s="124"/>
      <c r="X2081" s="128"/>
      <c r="Y2081" s="129"/>
    </row>
    <row r="2082" spans="14:25" x14ac:dyDescent="0.25">
      <c r="N2082" s="125"/>
      <c r="O2082" s="125"/>
      <c r="P2082" s="126"/>
      <c r="Q2082" s="62"/>
      <c r="R2082" s="62"/>
      <c r="S2082" s="127"/>
      <c r="T2082" s="11"/>
      <c r="U2082" s="124"/>
      <c r="V2082" s="11"/>
      <c r="W2082" s="124"/>
      <c r="X2082" s="128"/>
      <c r="Y2082" s="129"/>
    </row>
    <row r="2083" spans="14:25" x14ac:dyDescent="0.25">
      <c r="N2083" s="125"/>
      <c r="O2083" s="125"/>
      <c r="P2083" s="126"/>
      <c r="Q2083" s="62"/>
      <c r="R2083" s="62"/>
      <c r="S2083" s="127"/>
      <c r="T2083" s="11"/>
      <c r="U2083" s="124"/>
      <c r="V2083" s="11"/>
      <c r="W2083" s="124"/>
      <c r="X2083" s="128"/>
      <c r="Y2083" s="129"/>
    </row>
    <row r="2084" spans="14:25" x14ac:dyDescent="0.25">
      <c r="N2084" s="125"/>
      <c r="O2084" s="125"/>
      <c r="P2084" s="126"/>
      <c r="Q2084" s="62"/>
      <c r="R2084" s="62"/>
      <c r="S2084" s="127"/>
      <c r="T2084" s="11"/>
      <c r="U2084" s="124"/>
      <c r="V2084" s="11"/>
      <c r="W2084" s="124"/>
      <c r="X2084" s="128"/>
      <c r="Y2084" s="129"/>
    </row>
    <row r="2085" spans="14:25" x14ac:dyDescent="0.25">
      <c r="N2085" s="125"/>
      <c r="O2085" s="125"/>
      <c r="P2085" s="126"/>
      <c r="Q2085" s="62"/>
      <c r="R2085" s="62"/>
      <c r="S2085" s="127"/>
      <c r="T2085" s="11"/>
      <c r="U2085" s="124"/>
      <c r="V2085" s="11"/>
      <c r="W2085" s="124"/>
      <c r="X2085" s="128"/>
      <c r="Y2085" s="129"/>
    </row>
    <row r="2086" spans="14:25" x14ac:dyDescent="0.25">
      <c r="N2086" s="125"/>
      <c r="O2086" s="125"/>
      <c r="P2086" s="126"/>
      <c r="Q2086" s="62"/>
      <c r="R2086" s="62"/>
      <c r="S2086" s="127"/>
      <c r="T2086" s="11"/>
      <c r="U2086" s="124"/>
      <c r="V2086" s="11"/>
      <c r="W2086" s="124"/>
      <c r="X2086" s="128"/>
      <c r="Y2086" s="129"/>
    </row>
    <row r="2087" spans="14:25" x14ac:dyDescent="0.25">
      <c r="N2087" s="125"/>
      <c r="O2087" s="125"/>
      <c r="P2087" s="126"/>
      <c r="Q2087" s="62"/>
      <c r="R2087" s="62"/>
      <c r="S2087" s="127"/>
      <c r="T2087" s="11"/>
      <c r="U2087" s="124"/>
      <c r="V2087" s="11"/>
      <c r="W2087" s="124"/>
      <c r="X2087" s="128"/>
      <c r="Y2087" s="129"/>
    </row>
    <row r="2088" spans="14:25" x14ac:dyDescent="0.25">
      <c r="N2088" s="125"/>
      <c r="O2088" s="125"/>
      <c r="P2088" s="126"/>
      <c r="Q2088" s="62"/>
      <c r="R2088" s="62"/>
      <c r="S2088" s="127"/>
      <c r="T2088" s="11"/>
      <c r="U2088" s="124"/>
      <c r="V2088" s="11"/>
      <c r="W2088" s="124"/>
      <c r="X2088" s="128"/>
      <c r="Y2088" s="129"/>
    </row>
    <row r="2089" spans="14:25" x14ac:dyDescent="0.25">
      <c r="N2089" s="125"/>
      <c r="O2089" s="125"/>
      <c r="P2089" s="126"/>
      <c r="Q2089" s="62"/>
      <c r="R2089" s="62"/>
      <c r="S2089" s="127"/>
      <c r="T2089" s="11"/>
      <c r="U2089" s="124"/>
      <c r="V2089" s="11"/>
      <c r="W2089" s="124"/>
      <c r="X2089" s="128"/>
      <c r="Y2089" s="129"/>
    </row>
    <row r="2090" spans="14:25" x14ac:dyDescent="0.25">
      <c r="N2090" s="125"/>
      <c r="O2090" s="125"/>
      <c r="P2090" s="126"/>
      <c r="Q2090" s="62"/>
      <c r="R2090" s="62"/>
      <c r="S2090" s="127"/>
      <c r="T2090" s="11"/>
      <c r="U2090" s="124"/>
      <c r="V2090" s="11"/>
      <c r="W2090" s="124"/>
      <c r="X2090" s="128"/>
      <c r="Y2090" s="129"/>
    </row>
    <row r="2091" spans="14:25" x14ac:dyDescent="0.25">
      <c r="N2091" s="125"/>
      <c r="O2091" s="125"/>
      <c r="P2091" s="126"/>
      <c r="Q2091" s="62"/>
      <c r="R2091" s="62"/>
      <c r="S2091" s="127"/>
      <c r="T2091" s="11"/>
      <c r="U2091" s="124"/>
      <c r="V2091" s="11"/>
      <c r="W2091" s="124"/>
      <c r="X2091" s="128"/>
      <c r="Y2091" s="129"/>
    </row>
    <row r="2092" spans="14:25" x14ac:dyDescent="0.25">
      <c r="N2092" s="125"/>
      <c r="O2092" s="125"/>
      <c r="P2092" s="126"/>
      <c r="Q2092" s="62"/>
      <c r="R2092" s="62"/>
      <c r="S2092" s="127"/>
      <c r="T2092" s="11"/>
      <c r="U2092" s="124"/>
      <c r="V2092" s="11"/>
      <c r="W2092" s="124"/>
      <c r="X2092" s="128"/>
      <c r="Y2092" s="129"/>
    </row>
    <row r="2093" spans="14:25" x14ac:dyDescent="0.25">
      <c r="N2093" s="125"/>
      <c r="O2093" s="125"/>
      <c r="P2093" s="126"/>
      <c r="Q2093" s="62"/>
      <c r="R2093" s="62"/>
      <c r="S2093" s="127"/>
      <c r="T2093" s="11"/>
      <c r="U2093" s="124"/>
      <c r="V2093" s="11"/>
      <c r="W2093" s="124"/>
      <c r="X2093" s="128"/>
      <c r="Y2093" s="129"/>
    </row>
    <row r="2094" spans="14:25" x14ac:dyDescent="0.25">
      <c r="N2094" s="125"/>
      <c r="O2094" s="125"/>
      <c r="P2094" s="126"/>
      <c r="Q2094" s="62"/>
      <c r="R2094" s="62"/>
      <c r="S2094" s="127"/>
      <c r="T2094" s="11"/>
      <c r="U2094" s="124"/>
      <c r="V2094" s="11"/>
      <c r="W2094" s="124"/>
      <c r="X2094" s="128"/>
      <c r="Y2094" s="129"/>
    </row>
    <row r="2095" spans="14:25" x14ac:dyDescent="0.25">
      <c r="N2095" s="125"/>
      <c r="O2095" s="125"/>
      <c r="P2095" s="126"/>
      <c r="Q2095" s="62"/>
      <c r="R2095" s="62"/>
      <c r="S2095" s="127"/>
      <c r="T2095" s="11"/>
      <c r="U2095" s="124"/>
      <c r="V2095" s="11"/>
      <c r="W2095" s="124"/>
      <c r="X2095" s="128"/>
      <c r="Y2095" s="129"/>
    </row>
    <row r="2096" spans="14:25" x14ac:dyDescent="0.25">
      <c r="N2096" s="125"/>
      <c r="O2096" s="125"/>
      <c r="P2096" s="126"/>
      <c r="Q2096" s="62"/>
      <c r="R2096" s="62"/>
      <c r="S2096" s="127"/>
      <c r="T2096" s="11"/>
      <c r="U2096" s="124"/>
      <c r="V2096" s="11"/>
      <c r="W2096" s="124"/>
      <c r="X2096" s="128"/>
      <c r="Y2096" s="129"/>
    </row>
    <row r="2097" spans="14:25" x14ac:dyDescent="0.25">
      <c r="N2097" s="125"/>
      <c r="O2097" s="125"/>
      <c r="P2097" s="126"/>
      <c r="Q2097" s="62"/>
      <c r="R2097" s="62"/>
      <c r="S2097" s="127"/>
      <c r="T2097" s="11"/>
      <c r="U2097" s="124"/>
      <c r="V2097" s="11"/>
      <c r="W2097" s="124"/>
      <c r="X2097" s="128"/>
      <c r="Y2097" s="129"/>
    </row>
    <row r="2098" spans="14:25" x14ac:dyDescent="0.25">
      <c r="N2098" s="125"/>
      <c r="O2098" s="125"/>
      <c r="P2098" s="126"/>
      <c r="Q2098" s="62"/>
      <c r="R2098" s="62"/>
      <c r="S2098" s="127"/>
      <c r="T2098" s="11"/>
      <c r="U2098" s="124"/>
      <c r="V2098" s="11"/>
      <c r="W2098" s="124"/>
      <c r="X2098" s="128"/>
      <c r="Y2098" s="129"/>
    </row>
    <row r="2099" spans="14:25" x14ac:dyDescent="0.25">
      <c r="N2099" s="125"/>
      <c r="O2099" s="125"/>
      <c r="P2099" s="126"/>
      <c r="Q2099" s="62"/>
      <c r="R2099" s="62"/>
      <c r="S2099" s="127"/>
      <c r="T2099" s="11"/>
      <c r="U2099" s="124"/>
      <c r="V2099" s="11"/>
      <c r="W2099" s="124"/>
      <c r="X2099" s="128"/>
      <c r="Y2099" s="129"/>
    </row>
    <row r="2100" spans="14:25" x14ac:dyDescent="0.25">
      <c r="N2100" s="125"/>
      <c r="O2100" s="125"/>
      <c r="P2100" s="126"/>
      <c r="Q2100" s="62"/>
      <c r="R2100" s="62"/>
      <c r="S2100" s="127"/>
      <c r="T2100" s="11"/>
      <c r="U2100" s="124"/>
      <c r="V2100" s="11"/>
      <c r="W2100" s="124"/>
      <c r="X2100" s="128"/>
      <c r="Y2100" s="129"/>
    </row>
    <row r="2101" spans="14:25" x14ac:dyDescent="0.25">
      <c r="N2101" s="125"/>
      <c r="O2101" s="125"/>
      <c r="P2101" s="126"/>
      <c r="Q2101" s="62"/>
      <c r="R2101" s="62"/>
      <c r="S2101" s="127"/>
      <c r="T2101" s="11"/>
      <c r="U2101" s="124"/>
      <c r="V2101" s="11"/>
      <c r="W2101" s="124"/>
      <c r="X2101" s="128"/>
      <c r="Y2101" s="129"/>
    </row>
    <row r="2102" spans="14:25" x14ac:dyDescent="0.25">
      <c r="N2102" s="125"/>
      <c r="O2102" s="125"/>
      <c r="P2102" s="126"/>
      <c r="Q2102" s="62"/>
      <c r="R2102" s="62"/>
      <c r="S2102" s="127"/>
      <c r="T2102" s="11"/>
      <c r="U2102" s="124"/>
      <c r="V2102" s="11"/>
      <c r="W2102" s="124"/>
      <c r="X2102" s="128"/>
      <c r="Y2102" s="129"/>
    </row>
    <row r="2103" spans="14:25" x14ac:dyDescent="0.25">
      <c r="N2103" s="125"/>
      <c r="O2103" s="125"/>
      <c r="P2103" s="126"/>
      <c r="Q2103" s="62"/>
      <c r="R2103" s="62"/>
      <c r="S2103" s="127"/>
      <c r="T2103" s="11"/>
      <c r="U2103" s="124"/>
      <c r="V2103" s="11"/>
      <c r="W2103" s="124"/>
      <c r="X2103" s="128"/>
      <c r="Y2103" s="129"/>
    </row>
    <row r="2104" spans="14:25" x14ac:dyDescent="0.25">
      <c r="N2104" s="125"/>
      <c r="O2104" s="125"/>
      <c r="P2104" s="126"/>
      <c r="Q2104" s="62"/>
      <c r="R2104" s="62"/>
      <c r="S2104" s="127"/>
      <c r="T2104" s="11"/>
      <c r="U2104" s="124"/>
      <c r="V2104" s="11"/>
      <c r="W2104" s="124"/>
      <c r="X2104" s="128"/>
      <c r="Y2104" s="129"/>
    </row>
    <row r="2105" spans="14:25" x14ac:dyDescent="0.25">
      <c r="N2105" s="125"/>
      <c r="O2105" s="125"/>
      <c r="P2105" s="126"/>
      <c r="Q2105" s="62"/>
      <c r="R2105" s="62"/>
      <c r="S2105" s="127"/>
      <c r="T2105" s="11"/>
      <c r="U2105" s="124"/>
      <c r="V2105" s="11"/>
      <c r="W2105" s="124"/>
      <c r="X2105" s="128"/>
      <c r="Y2105" s="129"/>
    </row>
    <row r="2106" spans="14:25" x14ac:dyDescent="0.25">
      <c r="N2106" s="125"/>
      <c r="O2106" s="125"/>
      <c r="P2106" s="126"/>
      <c r="Q2106" s="62"/>
      <c r="R2106" s="62"/>
      <c r="S2106" s="127"/>
      <c r="T2106" s="11"/>
      <c r="U2106" s="124"/>
      <c r="V2106" s="11"/>
      <c r="W2106" s="124"/>
      <c r="X2106" s="128"/>
      <c r="Y2106" s="129"/>
    </row>
    <row r="2107" spans="14:25" x14ac:dyDescent="0.25">
      <c r="N2107" s="125"/>
      <c r="O2107" s="125"/>
      <c r="P2107" s="126"/>
      <c r="Q2107" s="62"/>
      <c r="R2107" s="62"/>
      <c r="S2107" s="127"/>
      <c r="T2107" s="11"/>
      <c r="U2107" s="124"/>
      <c r="V2107" s="11"/>
      <c r="W2107" s="124"/>
      <c r="X2107" s="128"/>
      <c r="Y2107" s="129"/>
    </row>
    <row r="2108" spans="14:25" x14ac:dyDescent="0.25">
      <c r="N2108" s="125"/>
      <c r="O2108" s="125"/>
      <c r="P2108" s="126"/>
      <c r="Q2108" s="62"/>
      <c r="R2108" s="62"/>
      <c r="S2108" s="127"/>
      <c r="T2108" s="11"/>
      <c r="U2108" s="124"/>
      <c r="V2108" s="11"/>
      <c r="W2108" s="124"/>
      <c r="X2108" s="128"/>
      <c r="Y2108" s="129"/>
    </row>
    <row r="2109" spans="14:25" x14ac:dyDescent="0.25">
      <c r="N2109" s="125"/>
      <c r="O2109" s="125"/>
      <c r="P2109" s="126"/>
      <c r="Q2109" s="62"/>
      <c r="R2109" s="62"/>
      <c r="S2109" s="127"/>
      <c r="T2109" s="11"/>
      <c r="U2109" s="124"/>
      <c r="V2109" s="11"/>
      <c r="W2109" s="124"/>
      <c r="X2109" s="128"/>
      <c r="Y2109" s="129"/>
    </row>
    <row r="2110" spans="14:25" x14ac:dyDescent="0.25">
      <c r="N2110" s="125"/>
      <c r="O2110" s="125"/>
      <c r="P2110" s="126"/>
      <c r="Q2110" s="62"/>
      <c r="R2110" s="62"/>
      <c r="S2110" s="127"/>
      <c r="T2110" s="11"/>
      <c r="U2110" s="124"/>
      <c r="V2110" s="11"/>
      <c r="W2110" s="124"/>
      <c r="X2110" s="128"/>
      <c r="Y2110" s="129"/>
    </row>
    <row r="2111" spans="14:25" x14ac:dyDescent="0.25">
      <c r="N2111" s="125"/>
      <c r="O2111" s="125"/>
      <c r="P2111" s="126"/>
      <c r="Q2111" s="62"/>
      <c r="R2111" s="62"/>
      <c r="S2111" s="127"/>
      <c r="T2111" s="11"/>
      <c r="U2111" s="124"/>
      <c r="V2111" s="11"/>
      <c r="W2111" s="124"/>
      <c r="X2111" s="128"/>
      <c r="Y2111" s="129"/>
    </row>
    <row r="2112" spans="14:25" x14ac:dyDescent="0.25">
      <c r="N2112" s="125"/>
      <c r="O2112" s="125"/>
      <c r="P2112" s="126"/>
      <c r="Q2112" s="62"/>
      <c r="R2112" s="62"/>
      <c r="S2112" s="127"/>
      <c r="T2112" s="11"/>
      <c r="U2112" s="124"/>
      <c r="V2112" s="11"/>
      <c r="W2112" s="124"/>
      <c r="X2112" s="128"/>
      <c r="Y2112" s="129"/>
    </row>
    <row r="2113" spans="14:25" x14ac:dyDescent="0.25">
      <c r="N2113" s="125"/>
      <c r="O2113" s="125"/>
      <c r="P2113" s="126"/>
      <c r="Q2113" s="62"/>
      <c r="R2113" s="62"/>
      <c r="S2113" s="127"/>
      <c r="T2113" s="11"/>
      <c r="U2113" s="124"/>
      <c r="V2113" s="11"/>
      <c r="W2113" s="124"/>
      <c r="X2113" s="128"/>
      <c r="Y2113" s="129"/>
    </row>
    <row r="2114" spans="14:25" x14ac:dyDescent="0.25">
      <c r="N2114" s="125"/>
      <c r="O2114" s="125"/>
      <c r="P2114" s="126"/>
      <c r="Q2114" s="62"/>
      <c r="R2114" s="62"/>
      <c r="S2114" s="127"/>
      <c r="T2114" s="11"/>
      <c r="U2114" s="124"/>
      <c r="V2114" s="11"/>
      <c r="W2114" s="124"/>
      <c r="X2114" s="128"/>
      <c r="Y2114" s="129"/>
    </row>
    <row r="2115" spans="14:25" x14ac:dyDescent="0.25">
      <c r="N2115" s="125"/>
      <c r="O2115" s="125"/>
      <c r="P2115" s="126"/>
      <c r="Q2115" s="62"/>
      <c r="R2115" s="62"/>
      <c r="S2115" s="127"/>
      <c r="T2115" s="11"/>
      <c r="U2115" s="124"/>
      <c r="V2115" s="11"/>
      <c r="W2115" s="124"/>
      <c r="X2115" s="128"/>
      <c r="Y2115" s="129"/>
    </row>
    <row r="2116" spans="14:25" x14ac:dyDescent="0.25">
      <c r="N2116" s="125"/>
      <c r="O2116" s="125"/>
      <c r="P2116" s="126"/>
      <c r="Q2116" s="62"/>
      <c r="R2116" s="62"/>
      <c r="S2116" s="127"/>
      <c r="T2116" s="11"/>
      <c r="U2116" s="124"/>
      <c r="V2116" s="11"/>
      <c r="W2116" s="124"/>
      <c r="X2116" s="128"/>
      <c r="Y2116" s="129"/>
    </row>
    <row r="2117" spans="14:25" x14ac:dyDescent="0.25">
      <c r="N2117" s="125"/>
      <c r="O2117" s="125"/>
      <c r="P2117" s="126"/>
      <c r="Q2117" s="62"/>
      <c r="R2117" s="62"/>
      <c r="S2117" s="127"/>
      <c r="T2117" s="11"/>
      <c r="U2117" s="124"/>
      <c r="V2117" s="11"/>
      <c r="W2117" s="124"/>
      <c r="X2117" s="128"/>
      <c r="Y2117" s="129"/>
    </row>
    <row r="2118" spans="14:25" x14ac:dyDescent="0.25">
      <c r="N2118" s="125"/>
      <c r="O2118" s="125"/>
      <c r="P2118" s="126"/>
      <c r="Q2118" s="62"/>
      <c r="R2118" s="62"/>
      <c r="S2118" s="127"/>
      <c r="T2118" s="11"/>
      <c r="U2118" s="124"/>
      <c r="V2118" s="11"/>
      <c r="W2118" s="124"/>
      <c r="X2118" s="128"/>
      <c r="Y2118" s="129"/>
    </row>
    <row r="2119" spans="14:25" x14ac:dyDescent="0.25">
      <c r="N2119" s="125"/>
      <c r="O2119" s="125"/>
      <c r="P2119" s="126"/>
      <c r="Q2119" s="62"/>
      <c r="R2119" s="62"/>
      <c r="S2119" s="127"/>
      <c r="T2119" s="11"/>
      <c r="U2119" s="124"/>
      <c r="V2119" s="11"/>
      <c r="W2119" s="124"/>
      <c r="X2119" s="128"/>
      <c r="Y2119" s="129"/>
    </row>
    <row r="2120" spans="14:25" x14ac:dyDescent="0.25">
      <c r="N2120" s="125"/>
      <c r="O2120" s="125"/>
      <c r="P2120" s="126"/>
      <c r="Q2120" s="62"/>
      <c r="R2120" s="62"/>
      <c r="S2120" s="127"/>
      <c r="T2120" s="11"/>
      <c r="U2120" s="124"/>
      <c r="V2120" s="11"/>
      <c r="W2120" s="124"/>
      <c r="X2120" s="128"/>
      <c r="Y2120" s="129"/>
    </row>
    <row r="2121" spans="14:25" x14ac:dyDescent="0.25">
      <c r="N2121" s="125"/>
      <c r="O2121" s="125"/>
      <c r="P2121" s="126"/>
      <c r="Q2121" s="62"/>
      <c r="R2121" s="62"/>
      <c r="S2121" s="127"/>
      <c r="T2121" s="11"/>
      <c r="U2121" s="124"/>
      <c r="V2121" s="11"/>
      <c r="W2121" s="124"/>
      <c r="X2121" s="128"/>
      <c r="Y2121" s="129"/>
    </row>
    <row r="2122" spans="14:25" x14ac:dyDescent="0.25">
      <c r="N2122" s="125"/>
      <c r="O2122" s="125"/>
      <c r="P2122" s="126"/>
      <c r="Q2122" s="62"/>
      <c r="R2122" s="62"/>
      <c r="S2122" s="127"/>
      <c r="T2122" s="11"/>
      <c r="U2122" s="124"/>
      <c r="V2122" s="11"/>
      <c r="W2122" s="124"/>
      <c r="X2122" s="128"/>
      <c r="Y2122" s="129"/>
    </row>
    <row r="2123" spans="14:25" x14ac:dyDescent="0.25">
      <c r="N2123" s="125"/>
      <c r="O2123" s="125"/>
      <c r="P2123" s="126"/>
      <c r="Q2123" s="62"/>
      <c r="R2123" s="62"/>
      <c r="S2123" s="127"/>
      <c r="T2123" s="11"/>
      <c r="U2123" s="124"/>
      <c r="V2123" s="11"/>
      <c r="W2123" s="124"/>
      <c r="X2123" s="128"/>
      <c r="Y2123" s="129"/>
    </row>
    <row r="2124" spans="14:25" x14ac:dyDescent="0.25">
      <c r="N2124" s="125"/>
      <c r="O2124" s="125"/>
      <c r="P2124" s="126"/>
      <c r="Q2124" s="62"/>
      <c r="R2124" s="62"/>
      <c r="S2124" s="127"/>
      <c r="T2124" s="11"/>
      <c r="U2124" s="124"/>
      <c r="V2124" s="11"/>
      <c r="W2124" s="124"/>
      <c r="X2124" s="128"/>
      <c r="Y2124" s="129"/>
    </row>
    <row r="2125" spans="14:25" x14ac:dyDescent="0.25">
      <c r="N2125" s="125"/>
      <c r="O2125" s="125"/>
      <c r="P2125" s="126"/>
      <c r="Q2125" s="62"/>
      <c r="R2125" s="62"/>
      <c r="S2125" s="127"/>
      <c r="T2125" s="11"/>
      <c r="U2125" s="124"/>
      <c r="V2125" s="11"/>
      <c r="W2125" s="124"/>
      <c r="X2125" s="128"/>
      <c r="Y2125" s="129"/>
    </row>
    <row r="2126" spans="14:25" x14ac:dyDescent="0.25">
      <c r="N2126" s="125"/>
      <c r="O2126" s="125"/>
      <c r="P2126" s="126"/>
      <c r="Q2126" s="62"/>
      <c r="R2126" s="62"/>
      <c r="S2126" s="127"/>
      <c r="T2126" s="11"/>
      <c r="U2126" s="124"/>
      <c r="V2126" s="11"/>
      <c r="W2126" s="124"/>
      <c r="X2126" s="128"/>
      <c r="Y2126" s="129"/>
    </row>
    <row r="2127" spans="14:25" x14ac:dyDescent="0.25">
      <c r="N2127" s="125"/>
      <c r="O2127" s="125"/>
      <c r="P2127" s="126"/>
      <c r="Q2127" s="62"/>
      <c r="R2127" s="62"/>
      <c r="S2127" s="127"/>
      <c r="T2127" s="11"/>
      <c r="U2127" s="124"/>
      <c r="V2127" s="11"/>
      <c r="W2127" s="124"/>
      <c r="X2127" s="128"/>
      <c r="Y2127" s="129"/>
    </row>
    <row r="2128" spans="14:25" x14ac:dyDescent="0.25">
      <c r="N2128" s="125"/>
      <c r="O2128" s="125"/>
      <c r="P2128" s="126"/>
      <c r="Q2128" s="62"/>
      <c r="R2128" s="62"/>
      <c r="S2128" s="127"/>
      <c r="T2128" s="11"/>
      <c r="U2128" s="124"/>
      <c r="V2128" s="11"/>
      <c r="W2128" s="124"/>
      <c r="X2128" s="128"/>
      <c r="Y2128" s="129"/>
    </row>
    <row r="2129" spans="14:25" x14ac:dyDescent="0.25">
      <c r="N2129" s="125"/>
      <c r="O2129" s="125"/>
      <c r="P2129" s="126"/>
      <c r="Q2129" s="62"/>
      <c r="R2129" s="62"/>
      <c r="S2129" s="127"/>
      <c r="T2129" s="11"/>
      <c r="U2129" s="124"/>
      <c r="V2129" s="11"/>
      <c r="W2129" s="124"/>
      <c r="X2129" s="128"/>
      <c r="Y2129" s="129"/>
    </row>
    <row r="2130" spans="14:25" x14ac:dyDescent="0.25">
      <c r="N2130" s="125"/>
      <c r="O2130" s="125"/>
      <c r="P2130" s="126"/>
      <c r="Q2130" s="62"/>
      <c r="R2130" s="62"/>
      <c r="S2130" s="127"/>
      <c r="T2130" s="11"/>
      <c r="U2130" s="124"/>
      <c r="V2130" s="11"/>
      <c r="W2130" s="124"/>
      <c r="X2130" s="128"/>
      <c r="Y2130" s="129"/>
    </row>
    <row r="2131" spans="14:25" x14ac:dyDescent="0.25">
      <c r="N2131" s="125"/>
      <c r="O2131" s="125"/>
      <c r="P2131" s="126"/>
      <c r="Q2131" s="62"/>
      <c r="R2131" s="62"/>
      <c r="S2131" s="127"/>
      <c r="T2131" s="11"/>
      <c r="U2131" s="124"/>
      <c r="V2131" s="11"/>
      <c r="W2131" s="124"/>
      <c r="X2131" s="128"/>
      <c r="Y2131" s="129"/>
    </row>
    <row r="2132" spans="14:25" x14ac:dyDescent="0.25">
      <c r="N2132" s="125"/>
      <c r="O2132" s="125"/>
      <c r="P2132" s="126"/>
      <c r="Q2132" s="62"/>
      <c r="R2132" s="62"/>
      <c r="S2132" s="127"/>
      <c r="T2132" s="11"/>
      <c r="U2132" s="124"/>
      <c r="V2132" s="11"/>
      <c r="W2132" s="124"/>
      <c r="X2132" s="128"/>
      <c r="Y2132" s="129"/>
    </row>
    <row r="2133" spans="14:25" x14ac:dyDescent="0.25">
      <c r="N2133" s="125"/>
      <c r="O2133" s="125"/>
      <c r="P2133" s="126"/>
      <c r="Q2133" s="62"/>
      <c r="R2133" s="62"/>
      <c r="S2133" s="127"/>
      <c r="T2133" s="11"/>
      <c r="U2133" s="124"/>
      <c r="V2133" s="11"/>
      <c r="W2133" s="124"/>
      <c r="X2133" s="128"/>
      <c r="Y2133" s="129"/>
    </row>
    <row r="2134" spans="14:25" x14ac:dyDescent="0.25">
      <c r="N2134" s="125"/>
      <c r="O2134" s="125"/>
      <c r="P2134" s="126"/>
      <c r="Q2134" s="62"/>
      <c r="R2134" s="62"/>
      <c r="S2134" s="127"/>
      <c r="T2134" s="11"/>
      <c r="U2134" s="124"/>
      <c r="V2134" s="11"/>
      <c r="W2134" s="124"/>
      <c r="X2134" s="128"/>
      <c r="Y2134" s="129"/>
    </row>
    <row r="2135" spans="14:25" x14ac:dyDescent="0.25">
      <c r="N2135" s="125"/>
      <c r="O2135" s="125"/>
      <c r="P2135" s="126"/>
      <c r="Q2135" s="62"/>
      <c r="R2135" s="62"/>
      <c r="S2135" s="127"/>
      <c r="T2135" s="11"/>
      <c r="U2135" s="124"/>
      <c r="V2135" s="11"/>
      <c r="W2135" s="124"/>
      <c r="X2135" s="128"/>
      <c r="Y2135" s="129"/>
    </row>
    <row r="2136" spans="14:25" x14ac:dyDescent="0.25">
      <c r="N2136" s="125"/>
      <c r="O2136" s="125"/>
      <c r="P2136" s="126"/>
      <c r="Q2136" s="62"/>
      <c r="R2136" s="62"/>
      <c r="S2136" s="127"/>
      <c r="T2136" s="11"/>
      <c r="U2136" s="124"/>
      <c r="V2136" s="11"/>
      <c r="W2136" s="124"/>
      <c r="X2136" s="128"/>
      <c r="Y2136" s="129"/>
    </row>
    <row r="2137" spans="14:25" x14ac:dyDescent="0.25">
      <c r="N2137" s="125"/>
      <c r="O2137" s="125"/>
      <c r="P2137" s="126"/>
      <c r="Q2137" s="62"/>
      <c r="R2137" s="62"/>
      <c r="S2137" s="127"/>
      <c r="T2137" s="11"/>
      <c r="U2137" s="124"/>
      <c r="V2137" s="11"/>
      <c r="W2137" s="124"/>
      <c r="X2137" s="128"/>
      <c r="Y2137" s="129"/>
    </row>
    <row r="2138" spans="14:25" x14ac:dyDescent="0.25">
      <c r="N2138" s="125"/>
      <c r="O2138" s="125"/>
      <c r="P2138" s="126"/>
      <c r="Q2138" s="62"/>
      <c r="R2138" s="62"/>
      <c r="S2138" s="127"/>
      <c r="T2138" s="11"/>
      <c r="U2138" s="124"/>
      <c r="V2138" s="11"/>
      <c r="W2138" s="124"/>
      <c r="X2138" s="128"/>
      <c r="Y2138" s="129"/>
    </row>
    <row r="2139" spans="14:25" x14ac:dyDescent="0.25">
      <c r="N2139" s="125"/>
      <c r="O2139" s="125"/>
      <c r="P2139" s="126"/>
      <c r="Q2139" s="62"/>
      <c r="R2139" s="62"/>
      <c r="S2139" s="127"/>
      <c r="T2139" s="11"/>
      <c r="U2139" s="124"/>
      <c r="V2139" s="11"/>
      <c r="W2139" s="124"/>
      <c r="X2139" s="128"/>
      <c r="Y2139" s="129"/>
    </row>
    <row r="2140" spans="14:25" x14ac:dyDescent="0.25">
      <c r="N2140" s="125"/>
      <c r="O2140" s="125"/>
      <c r="P2140" s="126"/>
      <c r="Q2140" s="62"/>
      <c r="R2140" s="62"/>
      <c r="S2140" s="127"/>
      <c r="T2140" s="11"/>
      <c r="U2140" s="124"/>
      <c r="V2140" s="11"/>
      <c r="W2140" s="124"/>
      <c r="X2140" s="128"/>
      <c r="Y2140" s="129"/>
    </row>
    <row r="2141" spans="14:25" x14ac:dyDescent="0.25">
      <c r="N2141" s="125"/>
      <c r="O2141" s="125"/>
      <c r="P2141" s="126"/>
      <c r="Q2141" s="62"/>
      <c r="R2141" s="62"/>
      <c r="S2141" s="127"/>
      <c r="T2141" s="11"/>
      <c r="U2141" s="124"/>
      <c r="V2141" s="11"/>
      <c r="W2141" s="124"/>
      <c r="X2141" s="128"/>
      <c r="Y2141" s="129"/>
    </row>
    <row r="2142" spans="14:25" x14ac:dyDescent="0.25">
      <c r="N2142" s="125"/>
      <c r="O2142" s="125"/>
      <c r="P2142" s="126"/>
      <c r="Q2142" s="62"/>
      <c r="R2142" s="62"/>
      <c r="S2142" s="127"/>
      <c r="T2142" s="11"/>
      <c r="U2142" s="124"/>
      <c r="V2142" s="11"/>
      <c r="W2142" s="124"/>
      <c r="X2142" s="128"/>
      <c r="Y2142" s="129"/>
    </row>
    <row r="2143" spans="14:25" x14ac:dyDescent="0.25">
      <c r="N2143" s="125"/>
      <c r="O2143" s="125"/>
      <c r="P2143" s="126"/>
      <c r="Q2143" s="62"/>
      <c r="R2143" s="62"/>
      <c r="S2143" s="127"/>
      <c r="T2143" s="11"/>
      <c r="U2143" s="124"/>
      <c r="V2143" s="11"/>
      <c r="W2143" s="124"/>
      <c r="X2143" s="128"/>
      <c r="Y2143" s="129"/>
    </row>
    <row r="2144" spans="14:25" x14ac:dyDescent="0.25">
      <c r="N2144" s="125"/>
      <c r="O2144" s="125"/>
      <c r="P2144" s="126"/>
      <c r="Q2144" s="62"/>
      <c r="R2144" s="62"/>
      <c r="S2144" s="127"/>
      <c r="T2144" s="11"/>
      <c r="U2144" s="124"/>
      <c r="V2144" s="11"/>
      <c r="W2144" s="124"/>
      <c r="X2144" s="128"/>
      <c r="Y2144" s="129"/>
    </row>
    <row r="2145" spans="14:25" x14ac:dyDescent="0.25">
      <c r="N2145" s="125"/>
      <c r="O2145" s="125"/>
      <c r="P2145" s="126"/>
      <c r="Q2145" s="62"/>
      <c r="R2145" s="62"/>
      <c r="S2145" s="127"/>
      <c r="T2145" s="11"/>
      <c r="U2145" s="124"/>
      <c r="V2145" s="11"/>
      <c r="W2145" s="124"/>
      <c r="X2145" s="128"/>
      <c r="Y2145" s="129"/>
    </row>
    <row r="2146" spans="14:25" x14ac:dyDescent="0.25">
      <c r="N2146" s="125"/>
      <c r="O2146" s="125"/>
      <c r="P2146" s="126"/>
      <c r="Q2146" s="62"/>
      <c r="R2146" s="62"/>
      <c r="S2146" s="127"/>
      <c r="T2146" s="11"/>
      <c r="U2146" s="124"/>
      <c r="V2146" s="11"/>
      <c r="W2146" s="124"/>
      <c r="X2146" s="128"/>
      <c r="Y2146" s="129"/>
    </row>
    <row r="2147" spans="14:25" x14ac:dyDescent="0.25">
      <c r="N2147" s="125"/>
      <c r="O2147" s="125"/>
      <c r="P2147" s="126"/>
      <c r="Q2147" s="62"/>
      <c r="R2147" s="62"/>
      <c r="S2147" s="127"/>
      <c r="T2147" s="11"/>
      <c r="U2147" s="124"/>
      <c r="V2147" s="11"/>
      <c r="W2147" s="124"/>
      <c r="X2147" s="128"/>
      <c r="Y2147" s="129"/>
    </row>
    <row r="2148" spans="14:25" x14ac:dyDescent="0.25">
      <c r="N2148" s="125"/>
      <c r="O2148" s="125"/>
      <c r="P2148" s="126"/>
      <c r="Q2148" s="62"/>
      <c r="R2148" s="62"/>
      <c r="S2148" s="127"/>
      <c r="T2148" s="11"/>
      <c r="U2148" s="124"/>
      <c r="V2148" s="11"/>
      <c r="W2148" s="124"/>
      <c r="X2148" s="128"/>
      <c r="Y2148" s="129"/>
    </row>
    <row r="2149" spans="14:25" x14ac:dyDescent="0.25">
      <c r="N2149" s="125"/>
      <c r="O2149" s="125"/>
      <c r="P2149" s="126"/>
      <c r="Q2149" s="62"/>
      <c r="R2149" s="62"/>
      <c r="S2149" s="127"/>
      <c r="T2149" s="11"/>
      <c r="U2149" s="124"/>
      <c r="V2149" s="11"/>
      <c r="W2149" s="124"/>
      <c r="X2149" s="128"/>
      <c r="Y2149" s="129"/>
    </row>
    <row r="2150" spans="14:25" x14ac:dyDescent="0.25">
      <c r="N2150" s="125"/>
      <c r="O2150" s="125"/>
      <c r="P2150" s="126"/>
      <c r="Q2150" s="62"/>
      <c r="R2150" s="62"/>
      <c r="S2150" s="127"/>
      <c r="T2150" s="11"/>
      <c r="U2150" s="124"/>
      <c r="V2150" s="11"/>
      <c r="W2150" s="124"/>
      <c r="X2150" s="128"/>
      <c r="Y2150" s="129"/>
    </row>
    <row r="2151" spans="14:25" x14ac:dyDescent="0.25">
      <c r="N2151" s="125"/>
      <c r="O2151" s="125"/>
      <c r="P2151" s="126"/>
      <c r="Q2151" s="62"/>
      <c r="R2151" s="62"/>
      <c r="S2151" s="127"/>
      <c r="T2151" s="11"/>
      <c r="U2151" s="124"/>
      <c r="V2151" s="11"/>
      <c r="W2151" s="124"/>
      <c r="X2151" s="128"/>
      <c r="Y2151" s="129"/>
    </row>
    <row r="2152" spans="14:25" x14ac:dyDescent="0.25">
      <c r="N2152" s="125"/>
      <c r="O2152" s="125"/>
      <c r="P2152" s="126"/>
      <c r="Q2152" s="62"/>
      <c r="R2152" s="62"/>
      <c r="S2152" s="127"/>
      <c r="T2152" s="11"/>
      <c r="U2152" s="124"/>
      <c r="V2152" s="11"/>
      <c r="W2152" s="124"/>
      <c r="X2152" s="128"/>
      <c r="Y2152" s="129"/>
    </row>
    <row r="2153" spans="14:25" x14ac:dyDescent="0.25">
      <c r="N2153" s="125"/>
      <c r="O2153" s="125"/>
      <c r="P2153" s="126"/>
      <c r="Q2153" s="62"/>
      <c r="R2153" s="62"/>
      <c r="S2153" s="127"/>
      <c r="T2153" s="11"/>
      <c r="U2153" s="124"/>
      <c r="V2153" s="11"/>
      <c r="W2153" s="124"/>
      <c r="X2153" s="128"/>
      <c r="Y2153" s="129"/>
    </row>
    <row r="2154" spans="14:25" x14ac:dyDescent="0.25">
      <c r="N2154" s="125"/>
      <c r="O2154" s="125"/>
      <c r="P2154" s="126"/>
      <c r="Q2154" s="62"/>
      <c r="R2154" s="62"/>
      <c r="S2154" s="127"/>
      <c r="T2154" s="11"/>
      <c r="U2154" s="124"/>
      <c r="V2154" s="11"/>
      <c r="W2154" s="124"/>
      <c r="X2154" s="128"/>
      <c r="Y2154" s="129"/>
    </row>
    <row r="2155" spans="14:25" x14ac:dyDescent="0.25">
      <c r="N2155" s="125"/>
      <c r="O2155" s="125"/>
      <c r="P2155" s="126"/>
      <c r="Q2155" s="62"/>
      <c r="R2155" s="62"/>
      <c r="S2155" s="127"/>
      <c r="T2155" s="11"/>
      <c r="U2155" s="124"/>
      <c r="V2155" s="11"/>
      <c r="W2155" s="124"/>
      <c r="X2155" s="128"/>
      <c r="Y2155" s="129"/>
    </row>
    <row r="2156" spans="14:25" x14ac:dyDescent="0.25">
      <c r="N2156" s="125"/>
      <c r="O2156" s="125"/>
      <c r="P2156" s="126"/>
      <c r="Q2156" s="62"/>
      <c r="R2156" s="62"/>
      <c r="S2156" s="127"/>
      <c r="T2156" s="11"/>
      <c r="U2156" s="124"/>
      <c r="V2156" s="11"/>
      <c r="W2156" s="124"/>
      <c r="X2156" s="128"/>
      <c r="Y2156" s="129"/>
    </row>
    <row r="2157" spans="14:25" x14ac:dyDescent="0.25">
      <c r="N2157" s="125"/>
      <c r="O2157" s="125"/>
      <c r="P2157" s="126"/>
      <c r="Q2157" s="62"/>
      <c r="R2157" s="62"/>
      <c r="S2157" s="127"/>
      <c r="T2157" s="11"/>
      <c r="U2157" s="124"/>
      <c r="V2157" s="11"/>
      <c r="W2157" s="124"/>
      <c r="X2157" s="128"/>
      <c r="Y2157" s="129"/>
    </row>
    <row r="2158" spans="14:25" x14ac:dyDescent="0.25">
      <c r="N2158" s="125"/>
      <c r="O2158" s="125"/>
      <c r="P2158" s="126"/>
      <c r="Q2158" s="62"/>
      <c r="R2158" s="62"/>
      <c r="S2158" s="127"/>
      <c r="T2158" s="11"/>
      <c r="U2158" s="124"/>
      <c r="V2158" s="11"/>
      <c r="W2158" s="124"/>
      <c r="X2158" s="128"/>
      <c r="Y2158" s="129"/>
    </row>
    <row r="2159" spans="14:25" x14ac:dyDescent="0.25">
      <c r="N2159" s="125"/>
      <c r="O2159" s="125"/>
      <c r="P2159" s="126"/>
      <c r="Q2159" s="62"/>
      <c r="R2159" s="62"/>
      <c r="S2159" s="127"/>
      <c r="T2159" s="11"/>
      <c r="U2159" s="124"/>
      <c r="V2159" s="11"/>
      <c r="W2159" s="124"/>
      <c r="X2159" s="128"/>
      <c r="Y2159" s="129"/>
    </row>
    <row r="2160" spans="14:25" x14ac:dyDescent="0.25">
      <c r="N2160" s="125"/>
      <c r="O2160" s="125"/>
      <c r="P2160" s="126"/>
      <c r="Q2160" s="62"/>
      <c r="R2160" s="62"/>
      <c r="S2160" s="127"/>
      <c r="T2160" s="11"/>
      <c r="U2160" s="124"/>
      <c r="V2160" s="11"/>
      <c r="W2160" s="124"/>
      <c r="X2160" s="128"/>
      <c r="Y2160" s="129"/>
    </row>
    <row r="2161" spans="14:25" x14ac:dyDescent="0.25">
      <c r="N2161" s="125"/>
      <c r="O2161" s="125"/>
      <c r="P2161" s="126"/>
      <c r="Q2161" s="62"/>
      <c r="R2161" s="62"/>
      <c r="S2161" s="127"/>
      <c r="T2161" s="11"/>
      <c r="U2161" s="124"/>
      <c r="V2161" s="11"/>
      <c r="W2161" s="124"/>
      <c r="X2161" s="128"/>
      <c r="Y2161" s="129"/>
    </row>
    <row r="2162" spans="14:25" x14ac:dyDescent="0.25">
      <c r="N2162" s="125"/>
      <c r="O2162" s="125"/>
      <c r="P2162" s="126"/>
      <c r="Q2162" s="62"/>
      <c r="R2162" s="62"/>
      <c r="S2162" s="127"/>
      <c r="T2162" s="11"/>
      <c r="U2162" s="124"/>
      <c r="V2162" s="11"/>
      <c r="W2162" s="124"/>
      <c r="X2162" s="128"/>
      <c r="Y2162" s="129"/>
    </row>
    <row r="2163" spans="14:25" x14ac:dyDescent="0.25">
      <c r="N2163" s="125"/>
      <c r="O2163" s="125"/>
      <c r="P2163" s="126"/>
      <c r="Q2163" s="62"/>
      <c r="R2163" s="62"/>
      <c r="S2163" s="127"/>
      <c r="T2163" s="11"/>
      <c r="U2163" s="124"/>
      <c r="V2163" s="11"/>
      <c r="W2163" s="124"/>
      <c r="X2163" s="128"/>
      <c r="Y2163" s="129"/>
    </row>
    <row r="2164" spans="14:25" x14ac:dyDescent="0.25">
      <c r="N2164" s="125"/>
      <c r="O2164" s="125"/>
      <c r="P2164" s="126"/>
      <c r="Q2164" s="62"/>
      <c r="R2164" s="62"/>
      <c r="S2164" s="127"/>
      <c r="T2164" s="11"/>
      <c r="U2164" s="124"/>
      <c r="V2164" s="11"/>
      <c r="W2164" s="124"/>
      <c r="X2164" s="128"/>
      <c r="Y2164" s="129"/>
    </row>
    <row r="2165" spans="14:25" x14ac:dyDescent="0.25">
      <c r="N2165" s="125"/>
      <c r="O2165" s="125"/>
      <c r="P2165" s="126"/>
      <c r="Q2165" s="62"/>
      <c r="R2165" s="62"/>
      <c r="S2165" s="127"/>
      <c r="T2165" s="11"/>
      <c r="U2165" s="124"/>
      <c r="V2165" s="11"/>
      <c r="W2165" s="124"/>
      <c r="X2165" s="128"/>
      <c r="Y2165" s="129"/>
    </row>
    <row r="2166" spans="14:25" x14ac:dyDescent="0.25">
      <c r="N2166" s="125"/>
      <c r="O2166" s="125"/>
      <c r="P2166" s="126"/>
      <c r="Q2166" s="62"/>
      <c r="R2166" s="62"/>
      <c r="S2166" s="127"/>
      <c r="T2166" s="11"/>
      <c r="U2166" s="124"/>
      <c r="V2166" s="11"/>
      <c r="W2166" s="124"/>
      <c r="X2166" s="128"/>
      <c r="Y2166" s="129"/>
    </row>
    <row r="2167" spans="14:25" x14ac:dyDescent="0.25">
      <c r="N2167" s="125"/>
      <c r="O2167" s="125"/>
      <c r="P2167" s="126"/>
      <c r="Q2167" s="62"/>
      <c r="R2167" s="62"/>
      <c r="S2167" s="127"/>
      <c r="T2167" s="11"/>
      <c r="U2167" s="124"/>
      <c r="V2167" s="11"/>
      <c r="W2167" s="124"/>
      <c r="X2167" s="128"/>
      <c r="Y2167" s="129"/>
    </row>
    <row r="2168" spans="14:25" x14ac:dyDescent="0.25">
      <c r="N2168" s="125"/>
      <c r="O2168" s="125"/>
      <c r="P2168" s="126"/>
      <c r="Q2168" s="62"/>
      <c r="R2168" s="62"/>
      <c r="S2168" s="127"/>
      <c r="T2168" s="11"/>
      <c r="U2168" s="124"/>
      <c r="V2168" s="11"/>
      <c r="W2168" s="124"/>
      <c r="X2168" s="128"/>
      <c r="Y2168" s="129"/>
    </row>
    <row r="2169" spans="14:25" x14ac:dyDescent="0.25">
      <c r="N2169" s="125"/>
      <c r="O2169" s="125"/>
      <c r="P2169" s="126"/>
      <c r="Q2169" s="62"/>
      <c r="R2169" s="62"/>
      <c r="S2169" s="127"/>
      <c r="T2169" s="11"/>
      <c r="U2169" s="124"/>
      <c r="V2169" s="11"/>
      <c r="W2169" s="124"/>
      <c r="X2169" s="128"/>
      <c r="Y2169" s="129"/>
    </row>
    <row r="2170" spans="14:25" x14ac:dyDescent="0.25">
      <c r="N2170" s="125"/>
      <c r="O2170" s="125"/>
      <c r="P2170" s="126"/>
      <c r="Q2170" s="62"/>
      <c r="R2170" s="62"/>
      <c r="S2170" s="127"/>
      <c r="T2170" s="11"/>
      <c r="U2170" s="124"/>
      <c r="V2170" s="11"/>
      <c r="W2170" s="124"/>
      <c r="X2170" s="128"/>
      <c r="Y2170" s="129"/>
    </row>
    <row r="2171" spans="14:25" x14ac:dyDescent="0.25">
      <c r="N2171" s="125"/>
      <c r="O2171" s="125"/>
      <c r="P2171" s="126"/>
      <c r="Q2171" s="62"/>
      <c r="R2171" s="62"/>
      <c r="S2171" s="127"/>
      <c r="T2171" s="11"/>
      <c r="U2171" s="124"/>
      <c r="V2171" s="11"/>
      <c r="W2171" s="124"/>
      <c r="X2171" s="128"/>
      <c r="Y2171" s="129"/>
    </row>
    <row r="2172" spans="14:25" x14ac:dyDescent="0.25">
      <c r="N2172" s="125"/>
      <c r="O2172" s="125"/>
      <c r="P2172" s="126"/>
      <c r="Q2172" s="62"/>
      <c r="R2172" s="62"/>
      <c r="S2172" s="127"/>
      <c r="T2172" s="11"/>
      <c r="U2172" s="124"/>
      <c r="V2172" s="11"/>
      <c r="W2172" s="124"/>
      <c r="X2172" s="128"/>
      <c r="Y2172" s="129"/>
    </row>
    <row r="2173" spans="14:25" x14ac:dyDescent="0.25">
      <c r="N2173" s="125"/>
      <c r="O2173" s="125"/>
      <c r="P2173" s="126"/>
      <c r="Q2173" s="62"/>
      <c r="R2173" s="62"/>
      <c r="S2173" s="127"/>
      <c r="T2173" s="11"/>
      <c r="U2173" s="124"/>
      <c r="V2173" s="11"/>
      <c r="W2173" s="124"/>
      <c r="X2173" s="128"/>
      <c r="Y2173" s="129"/>
    </row>
    <row r="2174" spans="14:25" x14ac:dyDescent="0.25">
      <c r="N2174" s="125"/>
      <c r="O2174" s="125"/>
      <c r="P2174" s="126"/>
      <c r="Q2174" s="62"/>
      <c r="R2174" s="62"/>
      <c r="S2174" s="127"/>
      <c r="T2174" s="11"/>
      <c r="U2174" s="124"/>
      <c r="V2174" s="11"/>
      <c r="W2174" s="124"/>
      <c r="X2174" s="128"/>
      <c r="Y2174" s="129"/>
    </row>
    <row r="2175" spans="14:25" x14ac:dyDescent="0.25">
      <c r="N2175" s="125"/>
      <c r="O2175" s="125"/>
      <c r="P2175" s="126"/>
      <c r="Q2175" s="62"/>
      <c r="R2175" s="62"/>
      <c r="S2175" s="127"/>
      <c r="T2175" s="11"/>
      <c r="U2175" s="124"/>
      <c r="V2175" s="11"/>
      <c r="W2175" s="124"/>
      <c r="X2175" s="128"/>
      <c r="Y2175" s="129"/>
    </row>
    <row r="2176" spans="14:25" x14ac:dyDescent="0.25">
      <c r="N2176" s="125"/>
      <c r="O2176" s="125"/>
      <c r="P2176" s="126"/>
      <c r="Q2176" s="62"/>
      <c r="R2176" s="62"/>
      <c r="S2176" s="127"/>
      <c r="T2176" s="11"/>
      <c r="U2176" s="124"/>
      <c r="V2176" s="11"/>
      <c r="W2176" s="124"/>
      <c r="X2176" s="128"/>
      <c r="Y2176" s="129"/>
    </row>
    <row r="2177" spans="14:25" x14ac:dyDescent="0.25">
      <c r="N2177" s="125"/>
      <c r="O2177" s="125"/>
      <c r="P2177" s="126"/>
      <c r="Q2177" s="62"/>
      <c r="R2177" s="62"/>
      <c r="S2177" s="127"/>
      <c r="T2177" s="11"/>
      <c r="U2177" s="124"/>
      <c r="V2177" s="11"/>
      <c r="W2177" s="124"/>
      <c r="X2177" s="128"/>
      <c r="Y2177" s="129"/>
    </row>
    <row r="2178" spans="14:25" x14ac:dyDescent="0.25">
      <c r="N2178" s="125"/>
      <c r="O2178" s="125"/>
      <c r="P2178" s="126"/>
      <c r="Q2178" s="62"/>
      <c r="R2178" s="62"/>
      <c r="S2178" s="127"/>
      <c r="T2178" s="11"/>
      <c r="U2178" s="124"/>
      <c r="V2178" s="11"/>
      <c r="W2178" s="124"/>
      <c r="X2178" s="128"/>
      <c r="Y2178" s="129"/>
    </row>
    <row r="2179" spans="14:25" x14ac:dyDescent="0.25">
      <c r="N2179" s="125"/>
      <c r="O2179" s="125"/>
      <c r="P2179" s="126"/>
      <c r="Q2179" s="62"/>
      <c r="R2179" s="62"/>
      <c r="S2179" s="127"/>
      <c r="T2179" s="11"/>
      <c r="U2179" s="124"/>
      <c r="V2179" s="11"/>
      <c r="W2179" s="124"/>
      <c r="X2179" s="128"/>
      <c r="Y2179" s="129"/>
    </row>
    <row r="2180" spans="14:25" x14ac:dyDescent="0.25">
      <c r="N2180" s="125"/>
      <c r="O2180" s="125"/>
      <c r="P2180" s="126"/>
      <c r="Q2180" s="62"/>
      <c r="R2180" s="62"/>
      <c r="S2180" s="127"/>
      <c r="T2180" s="11"/>
      <c r="U2180" s="124"/>
      <c r="V2180" s="11"/>
      <c r="W2180" s="124"/>
      <c r="X2180" s="128"/>
      <c r="Y2180" s="129"/>
    </row>
    <row r="2181" spans="14:25" x14ac:dyDescent="0.25">
      <c r="N2181" s="125"/>
      <c r="O2181" s="125"/>
      <c r="P2181" s="126"/>
      <c r="Q2181" s="62"/>
      <c r="R2181" s="62"/>
      <c r="S2181" s="127"/>
      <c r="T2181" s="11"/>
      <c r="U2181" s="124"/>
      <c r="V2181" s="11"/>
      <c r="W2181" s="124"/>
      <c r="X2181" s="128"/>
      <c r="Y2181" s="129"/>
    </row>
    <row r="2182" spans="14:25" x14ac:dyDescent="0.25">
      <c r="N2182" s="125"/>
      <c r="O2182" s="125"/>
      <c r="P2182" s="126"/>
      <c r="Q2182" s="62"/>
      <c r="R2182" s="62"/>
      <c r="S2182" s="127"/>
      <c r="T2182" s="11"/>
      <c r="U2182" s="124"/>
      <c r="V2182" s="11"/>
      <c r="W2182" s="124"/>
      <c r="X2182" s="128"/>
      <c r="Y2182" s="129"/>
    </row>
    <row r="2183" spans="14:25" x14ac:dyDescent="0.25">
      <c r="N2183" s="125"/>
      <c r="O2183" s="125"/>
      <c r="P2183" s="126"/>
      <c r="Q2183" s="62"/>
      <c r="R2183" s="62"/>
      <c r="S2183" s="127"/>
      <c r="T2183" s="11"/>
      <c r="U2183" s="124"/>
      <c r="V2183" s="11"/>
      <c r="W2183" s="124"/>
      <c r="X2183" s="128"/>
      <c r="Y2183" s="129"/>
    </row>
    <row r="2184" spans="14:25" x14ac:dyDescent="0.25">
      <c r="N2184" s="125"/>
      <c r="O2184" s="125"/>
      <c r="P2184" s="126"/>
      <c r="Q2184" s="62"/>
      <c r="R2184" s="62"/>
      <c r="S2184" s="127"/>
      <c r="T2184" s="11"/>
      <c r="U2184" s="124"/>
      <c r="V2184" s="11"/>
      <c r="W2184" s="124"/>
      <c r="X2184" s="128"/>
      <c r="Y2184" s="129"/>
    </row>
    <row r="2185" spans="14:25" x14ac:dyDescent="0.25">
      <c r="N2185" s="125"/>
      <c r="O2185" s="125"/>
      <c r="P2185" s="126"/>
      <c r="Q2185" s="62"/>
      <c r="R2185" s="62"/>
      <c r="S2185" s="127"/>
      <c r="T2185" s="11"/>
      <c r="U2185" s="124"/>
      <c r="V2185" s="11"/>
      <c r="W2185" s="124"/>
      <c r="X2185" s="128"/>
      <c r="Y2185" s="129"/>
    </row>
    <row r="2186" spans="14:25" x14ac:dyDescent="0.25">
      <c r="N2186" s="125"/>
      <c r="O2186" s="125"/>
      <c r="P2186" s="126"/>
      <c r="Q2186" s="62"/>
      <c r="R2186" s="62"/>
      <c r="S2186" s="127"/>
      <c r="T2186" s="11"/>
      <c r="U2186" s="124"/>
      <c r="V2186" s="11"/>
      <c r="W2186" s="124"/>
      <c r="X2186" s="128"/>
      <c r="Y2186" s="129"/>
    </row>
    <row r="2187" spans="14:25" x14ac:dyDescent="0.25">
      <c r="N2187" s="125"/>
      <c r="O2187" s="125"/>
      <c r="P2187" s="126"/>
      <c r="Q2187" s="62"/>
      <c r="R2187" s="62"/>
      <c r="S2187" s="127"/>
      <c r="T2187" s="11"/>
      <c r="U2187" s="124"/>
      <c r="V2187" s="11"/>
      <c r="W2187" s="124"/>
      <c r="X2187" s="128"/>
      <c r="Y2187" s="129"/>
    </row>
    <row r="2188" spans="14:25" x14ac:dyDescent="0.25">
      <c r="N2188" s="125"/>
      <c r="O2188" s="125"/>
      <c r="P2188" s="126"/>
      <c r="Q2188" s="62"/>
      <c r="R2188" s="62"/>
      <c r="S2188" s="127"/>
      <c r="T2188" s="11"/>
      <c r="U2188" s="124"/>
      <c r="V2188" s="11"/>
      <c r="W2188" s="124"/>
      <c r="X2188" s="128"/>
      <c r="Y2188" s="129"/>
    </row>
    <row r="2189" spans="14:25" x14ac:dyDescent="0.25">
      <c r="N2189" s="125"/>
      <c r="O2189" s="125"/>
      <c r="P2189" s="126"/>
      <c r="Q2189" s="62"/>
      <c r="R2189" s="62"/>
      <c r="S2189" s="127"/>
      <c r="T2189" s="11"/>
      <c r="U2189" s="124"/>
      <c r="V2189" s="11"/>
      <c r="W2189" s="124"/>
      <c r="X2189" s="128"/>
      <c r="Y2189" s="129"/>
    </row>
    <row r="2190" spans="14:25" x14ac:dyDescent="0.25">
      <c r="N2190" s="125"/>
      <c r="O2190" s="125"/>
      <c r="P2190" s="126"/>
      <c r="Q2190" s="62"/>
      <c r="R2190" s="62"/>
      <c r="S2190" s="127"/>
      <c r="T2190" s="11"/>
      <c r="U2190" s="124"/>
      <c r="V2190" s="11"/>
      <c r="W2190" s="124"/>
      <c r="X2190" s="128"/>
      <c r="Y2190" s="129"/>
    </row>
    <row r="2191" spans="14:25" x14ac:dyDescent="0.25">
      <c r="N2191" s="125"/>
      <c r="O2191" s="125"/>
      <c r="P2191" s="126"/>
      <c r="Q2191" s="62"/>
      <c r="R2191" s="62"/>
      <c r="S2191" s="127"/>
      <c r="T2191" s="11"/>
      <c r="U2191" s="124"/>
      <c r="V2191" s="11"/>
      <c r="W2191" s="124"/>
      <c r="X2191" s="128"/>
      <c r="Y2191" s="129"/>
    </row>
    <row r="2192" spans="14:25" x14ac:dyDescent="0.25">
      <c r="N2192" s="125"/>
      <c r="O2192" s="125"/>
      <c r="P2192" s="126"/>
      <c r="Q2192" s="62"/>
      <c r="R2192" s="62"/>
      <c r="S2192" s="127"/>
      <c r="T2192" s="11"/>
      <c r="U2192" s="124"/>
      <c r="V2192" s="11"/>
      <c r="W2192" s="124"/>
      <c r="X2192" s="128"/>
      <c r="Y2192" s="129"/>
    </row>
    <row r="2193" spans="14:25" x14ac:dyDescent="0.25">
      <c r="N2193" s="125"/>
      <c r="O2193" s="125"/>
      <c r="P2193" s="126"/>
      <c r="Q2193" s="62"/>
      <c r="R2193" s="62"/>
      <c r="S2193" s="127"/>
      <c r="T2193" s="11"/>
      <c r="U2193" s="124"/>
      <c r="V2193" s="11"/>
      <c r="W2193" s="124"/>
      <c r="X2193" s="128"/>
      <c r="Y2193" s="129"/>
    </row>
    <row r="2194" spans="14:25" x14ac:dyDescent="0.25">
      <c r="N2194" s="125"/>
      <c r="O2194" s="125"/>
      <c r="P2194" s="126"/>
      <c r="Q2194" s="62"/>
      <c r="R2194" s="62"/>
      <c r="S2194" s="127"/>
      <c r="T2194" s="11"/>
      <c r="U2194" s="124"/>
      <c r="V2194" s="11"/>
      <c r="W2194" s="124"/>
      <c r="X2194" s="128"/>
      <c r="Y2194" s="129"/>
    </row>
    <row r="2195" spans="14:25" x14ac:dyDescent="0.25">
      <c r="N2195" s="125"/>
      <c r="O2195" s="125"/>
      <c r="P2195" s="126"/>
      <c r="Q2195" s="62"/>
      <c r="R2195" s="62"/>
      <c r="S2195" s="127"/>
      <c r="T2195" s="11"/>
      <c r="U2195" s="124"/>
      <c r="V2195" s="11"/>
      <c r="W2195" s="124"/>
      <c r="X2195" s="128"/>
      <c r="Y2195" s="129"/>
    </row>
    <row r="2196" spans="14:25" x14ac:dyDescent="0.25">
      <c r="N2196" s="125"/>
      <c r="O2196" s="125"/>
      <c r="P2196" s="126"/>
      <c r="Q2196" s="62"/>
      <c r="R2196" s="62"/>
      <c r="S2196" s="127"/>
      <c r="T2196" s="11"/>
      <c r="U2196" s="124"/>
      <c r="V2196" s="11"/>
      <c r="W2196" s="124"/>
      <c r="X2196" s="128"/>
      <c r="Y2196" s="129"/>
    </row>
    <row r="2197" spans="14:25" x14ac:dyDescent="0.25">
      <c r="N2197" s="125"/>
      <c r="O2197" s="125"/>
      <c r="P2197" s="126"/>
      <c r="Q2197" s="62"/>
      <c r="R2197" s="62"/>
      <c r="S2197" s="127"/>
      <c r="T2197" s="11"/>
      <c r="U2197" s="124"/>
      <c r="V2197" s="11"/>
      <c r="W2197" s="124"/>
      <c r="X2197" s="128"/>
      <c r="Y2197" s="129"/>
    </row>
    <row r="2198" spans="14:25" x14ac:dyDescent="0.25">
      <c r="N2198" s="125"/>
      <c r="O2198" s="125"/>
      <c r="P2198" s="126"/>
      <c r="Q2198" s="62"/>
      <c r="R2198" s="62"/>
      <c r="S2198" s="127"/>
      <c r="T2198" s="11"/>
      <c r="U2198" s="124"/>
      <c r="V2198" s="11"/>
      <c r="W2198" s="124"/>
      <c r="X2198" s="128"/>
      <c r="Y2198" s="129"/>
    </row>
    <row r="2199" spans="14:25" x14ac:dyDescent="0.25">
      <c r="N2199" s="125"/>
      <c r="O2199" s="125"/>
      <c r="P2199" s="126"/>
      <c r="Q2199" s="62"/>
      <c r="R2199" s="62"/>
      <c r="S2199" s="127"/>
      <c r="T2199" s="11"/>
      <c r="U2199" s="124"/>
      <c r="V2199" s="11"/>
      <c r="W2199" s="124"/>
      <c r="X2199" s="128"/>
      <c r="Y2199" s="129"/>
    </row>
    <row r="2200" spans="14:25" x14ac:dyDescent="0.25">
      <c r="N2200" s="125"/>
      <c r="O2200" s="125"/>
      <c r="P2200" s="126"/>
      <c r="Q2200" s="62"/>
      <c r="R2200" s="62"/>
      <c r="S2200" s="127"/>
      <c r="T2200" s="11"/>
      <c r="U2200" s="124"/>
      <c r="V2200" s="11"/>
      <c r="W2200" s="124"/>
      <c r="X2200" s="128"/>
      <c r="Y2200" s="129"/>
    </row>
    <row r="2201" spans="14:25" x14ac:dyDescent="0.25">
      <c r="N2201" s="125"/>
      <c r="O2201" s="125"/>
      <c r="P2201" s="126"/>
      <c r="Q2201" s="62"/>
      <c r="R2201" s="62"/>
      <c r="S2201" s="127"/>
      <c r="T2201" s="11"/>
      <c r="U2201" s="124"/>
      <c r="V2201" s="11"/>
      <c r="W2201" s="124"/>
      <c r="X2201" s="128"/>
      <c r="Y2201" s="129"/>
    </row>
    <row r="2202" spans="14:25" x14ac:dyDescent="0.25">
      <c r="N2202" s="125"/>
      <c r="O2202" s="125"/>
      <c r="P2202" s="126"/>
      <c r="Q2202" s="62"/>
      <c r="R2202" s="62"/>
      <c r="S2202" s="127"/>
      <c r="T2202" s="11"/>
      <c r="U2202" s="124"/>
      <c r="V2202" s="11"/>
      <c r="W2202" s="124"/>
      <c r="X2202" s="128"/>
      <c r="Y2202" s="129"/>
    </row>
    <row r="2203" spans="14:25" x14ac:dyDescent="0.25">
      <c r="N2203" s="125"/>
      <c r="O2203" s="125"/>
      <c r="P2203" s="126"/>
      <c r="Q2203" s="62"/>
      <c r="R2203" s="62"/>
      <c r="S2203" s="127"/>
      <c r="T2203" s="11"/>
      <c r="U2203" s="124"/>
      <c r="V2203" s="11"/>
      <c r="W2203" s="124"/>
      <c r="X2203" s="128"/>
      <c r="Y2203" s="129"/>
    </row>
    <row r="2204" spans="14:25" x14ac:dyDescent="0.25">
      <c r="N2204" s="125"/>
      <c r="O2204" s="125"/>
      <c r="P2204" s="126"/>
      <c r="Q2204" s="62"/>
      <c r="R2204" s="62"/>
      <c r="S2204" s="127"/>
      <c r="T2204" s="11"/>
      <c r="U2204" s="124"/>
      <c r="V2204" s="11"/>
      <c r="W2204" s="124"/>
      <c r="X2204" s="128"/>
      <c r="Y2204" s="129"/>
    </row>
    <row r="2205" spans="14:25" x14ac:dyDescent="0.25">
      <c r="N2205" s="125"/>
      <c r="O2205" s="125"/>
      <c r="P2205" s="126"/>
      <c r="Q2205" s="62"/>
      <c r="R2205" s="62"/>
      <c r="S2205" s="127"/>
      <c r="T2205" s="11"/>
      <c r="U2205" s="124"/>
      <c r="V2205" s="11"/>
      <c r="W2205" s="124"/>
      <c r="X2205" s="128"/>
      <c r="Y2205" s="129"/>
    </row>
    <row r="2206" spans="14:25" x14ac:dyDescent="0.25">
      <c r="N2206" s="125"/>
      <c r="O2206" s="125"/>
      <c r="P2206" s="126"/>
      <c r="Q2206" s="62"/>
      <c r="R2206" s="62"/>
      <c r="S2206" s="127"/>
      <c r="T2206" s="11"/>
      <c r="U2206" s="124"/>
      <c r="V2206" s="11"/>
      <c r="W2206" s="124"/>
      <c r="X2206" s="128"/>
      <c r="Y2206" s="129"/>
    </row>
    <row r="2207" spans="14:25" x14ac:dyDescent="0.25">
      <c r="N2207" s="125"/>
      <c r="O2207" s="125"/>
      <c r="P2207" s="126"/>
      <c r="Q2207" s="62"/>
      <c r="R2207" s="62"/>
      <c r="S2207" s="127"/>
      <c r="T2207" s="11"/>
      <c r="U2207" s="124"/>
      <c r="V2207" s="11"/>
      <c r="W2207" s="124"/>
      <c r="X2207" s="128"/>
      <c r="Y2207" s="129"/>
    </row>
    <row r="2208" spans="14:25" x14ac:dyDescent="0.25">
      <c r="N2208" s="125"/>
      <c r="O2208" s="125"/>
      <c r="P2208" s="126"/>
      <c r="Q2208" s="62"/>
      <c r="R2208" s="62"/>
      <c r="S2208" s="127"/>
      <c r="T2208" s="11"/>
      <c r="U2208" s="124"/>
      <c r="V2208" s="11"/>
      <c r="W2208" s="124"/>
      <c r="X2208" s="128"/>
      <c r="Y2208" s="129"/>
    </row>
    <row r="2209" spans="14:25" x14ac:dyDescent="0.25">
      <c r="N2209" s="125"/>
      <c r="O2209" s="125"/>
      <c r="P2209" s="126"/>
      <c r="Q2209" s="62"/>
      <c r="R2209" s="62"/>
      <c r="S2209" s="127"/>
      <c r="T2209" s="11"/>
      <c r="U2209" s="124"/>
      <c r="V2209" s="11"/>
      <c r="W2209" s="124"/>
      <c r="X2209" s="128"/>
      <c r="Y2209" s="129"/>
    </row>
    <row r="2210" spans="14:25" x14ac:dyDescent="0.25">
      <c r="N2210" s="125"/>
      <c r="O2210" s="125"/>
      <c r="P2210" s="126"/>
      <c r="Q2210" s="62"/>
      <c r="R2210" s="62"/>
      <c r="S2210" s="127"/>
      <c r="T2210" s="11"/>
      <c r="U2210" s="124"/>
      <c r="V2210" s="11"/>
      <c r="W2210" s="124"/>
      <c r="X2210" s="128"/>
      <c r="Y2210" s="129"/>
    </row>
    <row r="2211" spans="14:25" x14ac:dyDescent="0.25">
      <c r="N2211" s="125"/>
      <c r="O2211" s="125"/>
      <c r="P2211" s="126"/>
      <c r="Q2211" s="62"/>
      <c r="R2211" s="62"/>
      <c r="S2211" s="127"/>
      <c r="T2211" s="11"/>
      <c r="U2211" s="124"/>
      <c r="V2211" s="11"/>
      <c r="W2211" s="124"/>
      <c r="X2211" s="128"/>
      <c r="Y2211" s="129"/>
    </row>
    <row r="2212" spans="14:25" x14ac:dyDescent="0.25">
      <c r="N2212" s="125"/>
      <c r="O2212" s="125"/>
      <c r="P2212" s="126"/>
      <c r="Q2212" s="62"/>
      <c r="R2212" s="62"/>
      <c r="S2212" s="127"/>
      <c r="T2212" s="11"/>
      <c r="U2212" s="124"/>
      <c r="V2212" s="11"/>
      <c r="W2212" s="124"/>
      <c r="X2212" s="128"/>
      <c r="Y2212" s="129"/>
    </row>
    <row r="2213" spans="14:25" x14ac:dyDescent="0.25">
      <c r="N2213" s="125"/>
      <c r="O2213" s="125"/>
      <c r="P2213" s="126"/>
      <c r="Q2213" s="62"/>
      <c r="R2213" s="62"/>
      <c r="S2213" s="127"/>
      <c r="T2213" s="11"/>
      <c r="U2213" s="124"/>
      <c r="V2213" s="11"/>
      <c r="W2213" s="124"/>
      <c r="X2213" s="128"/>
      <c r="Y2213" s="129"/>
    </row>
    <row r="2214" spans="14:25" x14ac:dyDescent="0.25">
      <c r="N2214" s="125"/>
      <c r="O2214" s="125"/>
      <c r="P2214" s="126"/>
      <c r="Q2214" s="62"/>
      <c r="R2214" s="62"/>
      <c r="S2214" s="127"/>
      <c r="T2214" s="11"/>
      <c r="U2214" s="124"/>
      <c r="V2214" s="11"/>
      <c r="W2214" s="124"/>
      <c r="X2214" s="128"/>
      <c r="Y2214" s="129"/>
    </row>
    <row r="2215" spans="14:25" x14ac:dyDescent="0.25">
      <c r="N2215" s="125"/>
      <c r="O2215" s="125"/>
      <c r="P2215" s="126"/>
      <c r="Q2215" s="62"/>
      <c r="R2215" s="62"/>
      <c r="S2215" s="127"/>
      <c r="T2215" s="11"/>
      <c r="U2215" s="124"/>
      <c r="V2215" s="11"/>
      <c r="W2215" s="124"/>
      <c r="X2215" s="128"/>
      <c r="Y2215" s="129"/>
    </row>
    <row r="2216" spans="14:25" x14ac:dyDescent="0.25">
      <c r="N2216" s="125"/>
      <c r="O2216" s="125"/>
      <c r="P2216" s="126"/>
      <c r="Q2216" s="62"/>
      <c r="R2216" s="62"/>
      <c r="S2216" s="127"/>
      <c r="T2216" s="11"/>
      <c r="U2216" s="124"/>
      <c r="V2216" s="11"/>
      <c r="W2216" s="124"/>
      <c r="X2216" s="128"/>
      <c r="Y2216" s="129"/>
    </row>
    <row r="2217" spans="14:25" x14ac:dyDescent="0.25">
      <c r="N2217" s="125"/>
      <c r="O2217" s="125"/>
      <c r="P2217" s="126"/>
      <c r="Q2217" s="62"/>
      <c r="R2217" s="62"/>
      <c r="S2217" s="127"/>
      <c r="T2217" s="11"/>
      <c r="U2217" s="124"/>
      <c r="V2217" s="11"/>
      <c r="W2217" s="124"/>
      <c r="X2217" s="128"/>
      <c r="Y2217" s="129"/>
    </row>
    <row r="2218" spans="14:25" x14ac:dyDescent="0.25">
      <c r="N2218" s="125"/>
      <c r="O2218" s="125"/>
      <c r="P2218" s="126"/>
      <c r="Q2218" s="62"/>
      <c r="R2218" s="62"/>
      <c r="S2218" s="127"/>
      <c r="T2218" s="11"/>
      <c r="U2218" s="124"/>
      <c r="V2218" s="11"/>
      <c r="W2218" s="124"/>
      <c r="X2218" s="128"/>
      <c r="Y2218" s="129"/>
    </row>
    <row r="2219" spans="14:25" x14ac:dyDescent="0.25">
      <c r="N2219" s="125"/>
      <c r="O2219" s="125"/>
      <c r="P2219" s="126"/>
      <c r="Q2219" s="62"/>
      <c r="R2219" s="62"/>
      <c r="S2219" s="127"/>
      <c r="T2219" s="11"/>
      <c r="U2219" s="124"/>
      <c r="V2219" s="11"/>
      <c r="W2219" s="124"/>
      <c r="X2219" s="128"/>
      <c r="Y2219" s="129"/>
    </row>
    <row r="2220" spans="14:25" x14ac:dyDescent="0.25">
      <c r="N2220" s="125"/>
      <c r="O2220" s="125"/>
      <c r="P2220" s="126"/>
      <c r="Q2220" s="62"/>
      <c r="R2220" s="62"/>
      <c r="S2220" s="127"/>
      <c r="T2220" s="11"/>
      <c r="U2220" s="124"/>
      <c r="V2220" s="11"/>
      <c r="W2220" s="124"/>
      <c r="X2220" s="128"/>
      <c r="Y2220" s="129"/>
    </row>
    <row r="2221" spans="14:25" x14ac:dyDescent="0.25">
      <c r="N2221" s="125"/>
      <c r="O2221" s="125"/>
      <c r="P2221" s="126"/>
      <c r="Q2221" s="62"/>
      <c r="R2221" s="62"/>
      <c r="S2221" s="127"/>
      <c r="T2221" s="11"/>
      <c r="U2221" s="124"/>
      <c r="V2221" s="11"/>
      <c r="W2221" s="124"/>
      <c r="X2221" s="128"/>
      <c r="Y2221" s="129"/>
    </row>
    <row r="2222" spans="14:25" x14ac:dyDescent="0.25">
      <c r="N2222" s="125"/>
      <c r="O2222" s="125"/>
      <c r="P2222" s="126"/>
      <c r="Q2222" s="62"/>
      <c r="R2222" s="62"/>
      <c r="S2222" s="127"/>
      <c r="T2222" s="11"/>
      <c r="U2222" s="124"/>
      <c r="V2222" s="11"/>
      <c r="W2222" s="124"/>
      <c r="X2222" s="128"/>
      <c r="Y2222" s="129"/>
    </row>
    <row r="2223" spans="14:25" x14ac:dyDescent="0.25">
      <c r="N2223" s="125"/>
      <c r="O2223" s="125"/>
      <c r="P2223" s="126"/>
      <c r="Q2223" s="62"/>
      <c r="R2223" s="62"/>
      <c r="S2223" s="127"/>
      <c r="T2223" s="11"/>
      <c r="U2223" s="124"/>
      <c r="V2223" s="11"/>
      <c r="W2223" s="124"/>
      <c r="X2223" s="128"/>
      <c r="Y2223" s="129"/>
    </row>
    <row r="2224" spans="14:25" x14ac:dyDescent="0.25">
      <c r="N2224" s="125"/>
      <c r="O2224" s="125"/>
      <c r="P2224" s="126"/>
      <c r="Q2224" s="62"/>
      <c r="R2224" s="62"/>
      <c r="S2224" s="127"/>
      <c r="T2224" s="11"/>
      <c r="U2224" s="124"/>
      <c r="V2224" s="11"/>
      <c r="W2224" s="124"/>
      <c r="X2224" s="128"/>
      <c r="Y2224" s="129"/>
    </row>
    <row r="2225" spans="14:25" x14ac:dyDescent="0.25">
      <c r="N2225" s="125"/>
      <c r="O2225" s="125"/>
      <c r="P2225" s="126"/>
      <c r="Q2225" s="62"/>
      <c r="R2225" s="62"/>
      <c r="S2225" s="127"/>
      <c r="T2225" s="11"/>
      <c r="U2225" s="124"/>
      <c r="V2225" s="11"/>
      <c r="W2225" s="124"/>
      <c r="X2225" s="128"/>
      <c r="Y2225" s="129"/>
    </row>
    <row r="2226" spans="14:25" x14ac:dyDescent="0.25">
      <c r="N2226" s="125"/>
      <c r="O2226" s="125"/>
      <c r="P2226" s="126"/>
      <c r="Q2226" s="62"/>
      <c r="R2226" s="62"/>
      <c r="S2226" s="127"/>
      <c r="T2226" s="11"/>
      <c r="U2226" s="124"/>
      <c r="V2226" s="11"/>
      <c r="W2226" s="124"/>
      <c r="X2226" s="128"/>
      <c r="Y2226" s="129"/>
    </row>
    <row r="2227" spans="14:25" x14ac:dyDescent="0.25">
      <c r="N2227" s="125"/>
      <c r="O2227" s="125"/>
      <c r="P2227" s="126"/>
      <c r="Q2227" s="62"/>
      <c r="R2227" s="62"/>
      <c r="S2227" s="127"/>
      <c r="T2227" s="11"/>
      <c r="U2227" s="124"/>
      <c r="V2227" s="11"/>
      <c r="W2227" s="124"/>
      <c r="X2227" s="128"/>
      <c r="Y2227" s="129"/>
    </row>
    <row r="2228" spans="14:25" x14ac:dyDescent="0.25">
      <c r="N2228" s="125"/>
      <c r="O2228" s="125"/>
      <c r="P2228" s="126"/>
      <c r="Q2228" s="62"/>
      <c r="R2228" s="62"/>
      <c r="S2228" s="127"/>
      <c r="T2228" s="11"/>
      <c r="U2228" s="124"/>
      <c r="V2228" s="11"/>
      <c r="W2228" s="124"/>
      <c r="X2228" s="128"/>
      <c r="Y2228" s="129"/>
    </row>
    <row r="2229" spans="14:25" x14ac:dyDescent="0.25">
      <c r="N2229" s="125"/>
      <c r="O2229" s="125"/>
      <c r="P2229" s="126"/>
      <c r="Q2229" s="62"/>
      <c r="R2229" s="62"/>
      <c r="S2229" s="127"/>
      <c r="T2229" s="11"/>
      <c r="U2229" s="124"/>
      <c r="V2229" s="11"/>
      <c r="W2229" s="124"/>
      <c r="X2229" s="128"/>
      <c r="Y2229" s="129"/>
    </row>
    <row r="2230" spans="14:25" x14ac:dyDescent="0.25">
      <c r="N2230" s="125"/>
      <c r="O2230" s="125"/>
      <c r="P2230" s="126"/>
      <c r="Q2230" s="62"/>
      <c r="R2230" s="62"/>
      <c r="S2230" s="127"/>
      <c r="T2230" s="11"/>
      <c r="U2230" s="124"/>
      <c r="V2230" s="11"/>
      <c r="W2230" s="124"/>
      <c r="X2230" s="128"/>
      <c r="Y2230" s="129"/>
    </row>
    <row r="2231" spans="14:25" x14ac:dyDescent="0.25">
      <c r="N2231" s="125"/>
      <c r="O2231" s="125"/>
      <c r="P2231" s="126"/>
      <c r="Q2231" s="62"/>
      <c r="R2231" s="62"/>
      <c r="S2231" s="127"/>
      <c r="T2231" s="11"/>
      <c r="U2231" s="124"/>
      <c r="V2231" s="11"/>
      <c r="W2231" s="124"/>
      <c r="X2231" s="128"/>
      <c r="Y2231" s="129"/>
    </row>
    <row r="2232" spans="14:25" x14ac:dyDescent="0.25">
      <c r="N2232" s="125"/>
      <c r="O2232" s="125"/>
      <c r="P2232" s="126"/>
      <c r="Q2232" s="62"/>
      <c r="R2232" s="62"/>
      <c r="S2232" s="127"/>
      <c r="T2232" s="11"/>
      <c r="U2232" s="124"/>
      <c r="V2232" s="11"/>
      <c r="W2232" s="124"/>
      <c r="X2232" s="128"/>
      <c r="Y2232" s="129"/>
    </row>
    <row r="2233" spans="14:25" x14ac:dyDescent="0.25">
      <c r="N2233" s="125"/>
      <c r="O2233" s="125"/>
      <c r="P2233" s="126"/>
      <c r="Q2233" s="62"/>
      <c r="R2233" s="62"/>
      <c r="S2233" s="127"/>
      <c r="T2233" s="11"/>
      <c r="U2233" s="124"/>
      <c r="V2233" s="11"/>
      <c r="W2233" s="124"/>
      <c r="X2233" s="128"/>
      <c r="Y2233" s="129"/>
    </row>
    <row r="2234" spans="14:25" x14ac:dyDescent="0.25">
      <c r="N2234" s="125"/>
      <c r="O2234" s="125"/>
      <c r="P2234" s="126"/>
      <c r="Q2234" s="62"/>
      <c r="R2234" s="62"/>
      <c r="S2234" s="127"/>
      <c r="T2234" s="11"/>
      <c r="U2234" s="124"/>
      <c r="V2234" s="11"/>
      <c r="W2234" s="124"/>
      <c r="X2234" s="128"/>
      <c r="Y2234" s="129"/>
    </row>
    <row r="2235" spans="14:25" x14ac:dyDescent="0.25">
      <c r="N2235" s="125"/>
      <c r="O2235" s="125"/>
      <c r="P2235" s="126"/>
      <c r="Q2235" s="62"/>
      <c r="R2235" s="62"/>
      <c r="S2235" s="127"/>
      <c r="T2235" s="11"/>
      <c r="U2235" s="124"/>
      <c r="V2235" s="11"/>
      <c r="W2235" s="124"/>
      <c r="X2235" s="128"/>
      <c r="Y2235" s="129"/>
    </row>
    <row r="2236" spans="14:25" x14ac:dyDescent="0.25">
      <c r="N2236" s="125"/>
      <c r="O2236" s="125"/>
      <c r="P2236" s="126"/>
      <c r="Q2236" s="62"/>
      <c r="R2236" s="62"/>
      <c r="S2236" s="127"/>
      <c r="T2236" s="11"/>
      <c r="U2236" s="124"/>
      <c r="V2236" s="11"/>
      <c r="W2236" s="124"/>
      <c r="X2236" s="128"/>
      <c r="Y2236" s="129"/>
    </row>
    <row r="2237" spans="14:25" x14ac:dyDescent="0.25">
      <c r="N2237" s="125"/>
      <c r="O2237" s="125"/>
      <c r="P2237" s="126"/>
      <c r="Q2237" s="62"/>
      <c r="R2237" s="62"/>
      <c r="S2237" s="127"/>
      <c r="T2237" s="11"/>
      <c r="U2237" s="124"/>
      <c r="V2237" s="11"/>
      <c r="W2237" s="124"/>
      <c r="X2237" s="128"/>
      <c r="Y2237" s="129"/>
    </row>
    <row r="2238" spans="14:25" x14ac:dyDescent="0.25">
      <c r="N2238" s="125"/>
      <c r="O2238" s="125"/>
      <c r="P2238" s="126"/>
      <c r="Q2238" s="62"/>
      <c r="R2238" s="62"/>
      <c r="S2238" s="127"/>
      <c r="T2238" s="11"/>
      <c r="U2238" s="124"/>
      <c r="V2238" s="11"/>
      <c r="W2238" s="124"/>
      <c r="X2238" s="128"/>
      <c r="Y2238" s="129"/>
    </row>
    <row r="2239" spans="14:25" x14ac:dyDescent="0.25">
      <c r="N2239" s="125"/>
      <c r="O2239" s="125"/>
      <c r="P2239" s="126"/>
      <c r="Q2239" s="62"/>
      <c r="R2239" s="62"/>
      <c r="S2239" s="127"/>
      <c r="T2239" s="11"/>
      <c r="U2239" s="124"/>
      <c r="V2239" s="11"/>
      <c r="W2239" s="124"/>
      <c r="X2239" s="128"/>
      <c r="Y2239" s="129"/>
    </row>
    <row r="2240" spans="14:25" x14ac:dyDescent="0.25">
      <c r="N2240" s="125"/>
      <c r="O2240" s="125"/>
      <c r="P2240" s="126"/>
      <c r="Q2240" s="62"/>
      <c r="R2240" s="62"/>
      <c r="S2240" s="127"/>
      <c r="T2240" s="11"/>
      <c r="U2240" s="124"/>
      <c r="V2240" s="11"/>
      <c r="W2240" s="124"/>
      <c r="X2240" s="128"/>
      <c r="Y2240" s="129"/>
    </row>
    <row r="2241" spans="14:25" x14ac:dyDescent="0.25">
      <c r="N2241" s="125"/>
      <c r="O2241" s="125"/>
      <c r="P2241" s="126"/>
      <c r="Q2241" s="62"/>
      <c r="R2241" s="62"/>
      <c r="S2241" s="127"/>
      <c r="T2241" s="11"/>
      <c r="U2241" s="124"/>
      <c r="V2241" s="11"/>
      <c r="W2241" s="124"/>
      <c r="X2241" s="128"/>
      <c r="Y2241" s="129"/>
    </row>
    <row r="2242" spans="14:25" x14ac:dyDescent="0.25">
      <c r="N2242" s="125"/>
      <c r="O2242" s="125"/>
      <c r="P2242" s="126"/>
      <c r="Q2242" s="62"/>
      <c r="R2242" s="62"/>
      <c r="S2242" s="127"/>
      <c r="T2242" s="11"/>
      <c r="U2242" s="124"/>
      <c r="V2242" s="11"/>
      <c r="W2242" s="124"/>
      <c r="X2242" s="128"/>
      <c r="Y2242" s="129"/>
    </row>
    <row r="2243" spans="14:25" x14ac:dyDescent="0.25">
      <c r="N2243" s="125"/>
      <c r="O2243" s="125"/>
      <c r="P2243" s="126"/>
      <c r="Q2243" s="62"/>
      <c r="R2243" s="62"/>
      <c r="S2243" s="127"/>
      <c r="T2243" s="11"/>
      <c r="U2243" s="124"/>
      <c r="V2243" s="11"/>
      <c r="W2243" s="124"/>
      <c r="X2243" s="128"/>
      <c r="Y2243" s="129"/>
    </row>
    <row r="2244" spans="14:25" x14ac:dyDescent="0.25">
      <c r="N2244" s="125"/>
      <c r="O2244" s="125"/>
      <c r="P2244" s="126"/>
      <c r="Q2244" s="62"/>
      <c r="R2244" s="62"/>
      <c r="S2244" s="127"/>
      <c r="T2244" s="11"/>
      <c r="U2244" s="124"/>
      <c r="V2244" s="11"/>
      <c r="W2244" s="124"/>
      <c r="X2244" s="128"/>
      <c r="Y2244" s="129"/>
    </row>
    <row r="2245" spans="14:25" x14ac:dyDescent="0.25">
      <c r="N2245" s="125"/>
      <c r="O2245" s="125"/>
      <c r="P2245" s="126"/>
      <c r="Q2245" s="62"/>
      <c r="R2245" s="62"/>
      <c r="S2245" s="127"/>
      <c r="T2245" s="11"/>
      <c r="U2245" s="124"/>
      <c r="V2245" s="11"/>
      <c r="W2245" s="124"/>
      <c r="X2245" s="128"/>
      <c r="Y2245" s="129"/>
    </row>
    <row r="2246" spans="14:25" x14ac:dyDescent="0.25">
      <c r="N2246" s="125"/>
      <c r="O2246" s="125"/>
      <c r="P2246" s="126"/>
      <c r="Q2246" s="62"/>
      <c r="R2246" s="62"/>
      <c r="S2246" s="127"/>
      <c r="T2246" s="11"/>
      <c r="U2246" s="124"/>
      <c r="V2246" s="11"/>
      <c r="W2246" s="124"/>
      <c r="X2246" s="128"/>
      <c r="Y2246" s="129"/>
    </row>
    <row r="2247" spans="14:25" x14ac:dyDescent="0.25">
      <c r="N2247" s="125"/>
      <c r="O2247" s="125"/>
      <c r="P2247" s="126"/>
      <c r="Q2247" s="62"/>
      <c r="R2247" s="62"/>
      <c r="S2247" s="127"/>
      <c r="T2247" s="11"/>
      <c r="U2247" s="124"/>
      <c r="V2247" s="11"/>
      <c r="W2247" s="124"/>
      <c r="X2247" s="128"/>
      <c r="Y2247" s="129"/>
    </row>
    <row r="2248" spans="14:25" x14ac:dyDescent="0.25">
      <c r="N2248" s="125"/>
      <c r="O2248" s="125"/>
      <c r="P2248" s="126"/>
      <c r="Q2248" s="62"/>
      <c r="R2248" s="62"/>
      <c r="S2248" s="127"/>
      <c r="T2248" s="11"/>
      <c r="U2248" s="124"/>
      <c r="V2248" s="11"/>
      <c r="W2248" s="124"/>
      <c r="X2248" s="128"/>
      <c r="Y2248" s="129"/>
    </row>
    <row r="2249" spans="14:25" x14ac:dyDescent="0.25">
      <c r="N2249" s="125"/>
      <c r="O2249" s="125"/>
      <c r="P2249" s="126"/>
      <c r="Q2249" s="62"/>
      <c r="R2249" s="62"/>
      <c r="S2249" s="127"/>
      <c r="T2249" s="11"/>
      <c r="U2249" s="124"/>
      <c r="V2249" s="11"/>
      <c r="W2249" s="124"/>
      <c r="X2249" s="128"/>
      <c r="Y2249" s="129"/>
    </row>
    <row r="2250" spans="14:25" x14ac:dyDescent="0.25">
      <c r="N2250" s="125"/>
      <c r="O2250" s="125"/>
      <c r="P2250" s="126"/>
      <c r="Q2250" s="62"/>
      <c r="R2250" s="62"/>
      <c r="S2250" s="127"/>
      <c r="T2250" s="11"/>
      <c r="U2250" s="124"/>
      <c r="V2250" s="11"/>
      <c r="W2250" s="124"/>
      <c r="X2250" s="128"/>
      <c r="Y2250" s="129"/>
    </row>
    <row r="2251" spans="14:25" x14ac:dyDescent="0.25">
      <c r="N2251" s="125"/>
      <c r="O2251" s="125"/>
      <c r="P2251" s="126"/>
      <c r="Q2251" s="62"/>
      <c r="R2251" s="62"/>
      <c r="S2251" s="127"/>
      <c r="T2251" s="11"/>
      <c r="U2251" s="124"/>
      <c r="V2251" s="11"/>
      <c r="W2251" s="124"/>
      <c r="X2251" s="128"/>
      <c r="Y2251" s="129"/>
    </row>
    <row r="2252" spans="14:25" x14ac:dyDescent="0.25">
      <c r="N2252" s="125"/>
      <c r="O2252" s="125"/>
      <c r="P2252" s="126"/>
      <c r="Q2252" s="62"/>
      <c r="R2252" s="62"/>
      <c r="S2252" s="127"/>
      <c r="T2252" s="11"/>
      <c r="U2252" s="124"/>
      <c r="V2252" s="11"/>
      <c r="W2252" s="124"/>
      <c r="X2252" s="128"/>
      <c r="Y2252" s="129"/>
    </row>
    <row r="2253" spans="14:25" x14ac:dyDescent="0.25">
      <c r="N2253" s="125"/>
      <c r="O2253" s="125"/>
      <c r="P2253" s="126"/>
      <c r="Q2253" s="62"/>
      <c r="R2253" s="62"/>
      <c r="S2253" s="127"/>
      <c r="T2253" s="11"/>
      <c r="U2253" s="124"/>
      <c r="V2253" s="11"/>
      <c r="W2253" s="124"/>
      <c r="X2253" s="128"/>
      <c r="Y2253" s="129"/>
    </row>
    <row r="2254" spans="14:25" x14ac:dyDescent="0.25">
      <c r="N2254" s="125"/>
      <c r="O2254" s="125"/>
      <c r="P2254" s="126"/>
      <c r="Q2254" s="62"/>
      <c r="R2254" s="62"/>
      <c r="S2254" s="127"/>
      <c r="T2254" s="11"/>
      <c r="U2254" s="124"/>
      <c r="V2254" s="11"/>
      <c r="W2254" s="124"/>
      <c r="X2254" s="128"/>
      <c r="Y2254" s="129"/>
    </row>
    <row r="2255" spans="14:25" x14ac:dyDescent="0.25">
      <c r="N2255" s="125"/>
      <c r="O2255" s="125"/>
      <c r="P2255" s="126"/>
      <c r="Q2255" s="62"/>
      <c r="R2255" s="62"/>
      <c r="S2255" s="127"/>
      <c r="T2255" s="11"/>
      <c r="U2255" s="124"/>
      <c r="V2255" s="11"/>
      <c r="W2255" s="124"/>
      <c r="X2255" s="128"/>
      <c r="Y2255" s="129"/>
    </row>
    <row r="2256" spans="14:25" x14ac:dyDescent="0.25">
      <c r="N2256" s="125"/>
      <c r="O2256" s="125"/>
      <c r="P2256" s="126"/>
      <c r="Q2256" s="62"/>
      <c r="R2256" s="62"/>
      <c r="S2256" s="127"/>
      <c r="T2256" s="11"/>
      <c r="U2256" s="124"/>
      <c r="V2256" s="11"/>
      <c r="W2256" s="124"/>
      <c r="X2256" s="128"/>
      <c r="Y2256" s="129"/>
    </row>
    <row r="2257" spans="14:25" x14ac:dyDescent="0.25">
      <c r="N2257" s="125"/>
      <c r="O2257" s="125"/>
      <c r="P2257" s="126"/>
      <c r="Q2257" s="62"/>
      <c r="R2257" s="62"/>
      <c r="S2257" s="127"/>
      <c r="T2257" s="11"/>
      <c r="U2257" s="124"/>
      <c r="V2257" s="11"/>
      <c r="W2257" s="124"/>
      <c r="X2257" s="128"/>
      <c r="Y2257" s="129"/>
    </row>
    <row r="2258" spans="14:25" x14ac:dyDescent="0.25">
      <c r="N2258" s="125"/>
      <c r="O2258" s="125"/>
      <c r="P2258" s="126"/>
      <c r="Q2258" s="62"/>
      <c r="R2258" s="62"/>
      <c r="S2258" s="127"/>
      <c r="T2258" s="11"/>
      <c r="U2258" s="124"/>
      <c r="V2258" s="11"/>
      <c r="W2258" s="124"/>
      <c r="X2258" s="128"/>
      <c r="Y2258" s="129"/>
    </row>
    <row r="2259" spans="14:25" x14ac:dyDescent="0.25">
      <c r="N2259" s="125"/>
      <c r="O2259" s="125"/>
      <c r="P2259" s="126"/>
      <c r="Q2259" s="62"/>
      <c r="R2259" s="62"/>
      <c r="S2259" s="127"/>
      <c r="T2259" s="11"/>
      <c r="U2259" s="124"/>
      <c r="V2259" s="11"/>
      <c r="W2259" s="124"/>
      <c r="X2259" s="128"/>
      <c r="Y2259" s="129"/>
    </row>
    <row r="2260" spans="14:25" x14ac:dyDescent="0.25">
      <c r="N2260" s="125"/>
      <c r="O2260" s="125"/>
      <c r="P2260" s="126"/>
      <c r="Q2260" s="62"/>
      <c r="R2260" s="62"/>
      <c r="S2260" s="127"/>
      <c r="T2260" s="11"/>
      <c r="U2260" s="124"/>
      <c r="V2260" s="11"/>
      <c r="W2260" s="124"/>
      <c r="X2260" s="128"/>
      <c r="Y2260" s="129"/>
    </row>
    <row r="2261" spans="14:25" x14ac:dyDescent="0.25">
      <c r="N2261" s="125"/>
      <c r="O2261" s="125"/>
      <c r="P2261" s="126"/>
      <c r="Q2261" s="62"/>
      <c r="R2261" s="62"/>
      <c r="S2261" s="127"/>
      <c r="T2261" s="11"/>
      <c r="U2261" s="124"/>
      <c r="V2261" s="11"/>
      <c r="W2261" s="124"/>
      <c r="X2261" s="128"/>
      <c r="Y2261" s="129"/>
    </row>
    <row r="2262" spans="14:25" x14ac:dyDescent="0.25">
      <c r="N2262" s="125"/>
      <c r="O2262" s="125"/>
      <c r="P2262" s="126"/>
      <c r="Q2262" s="62"/>
      <c r="R2262" s="62"/>
      <c r="S2262" s="127"/>
      <c r="T2262" s="11"/>
      <c r="U2262" s="124"/>
      <c r="V2262" s="11"/>
      <c r="W2262" s="124"/>
      <c r="X2262" s="128"/>
      <c r="Y2262" s="129"/>
    </row>
    <row r="2263" spans="14:25" x14ac:dyDescent="0.25">
      <c r="N2263" s="125"/>
      <c r="O2263" s="125"/>
      <c r="P2263" s="126"/>
      <c r="Q2263" s="62"/>
      <c r="R2263" s="62"/>
      <c r="S2263" s="127"/>
      <c r="T2263" s="11"/>
      <c r="U2263" s="124"/>
      <c r="V2263" s="11"/>
      <c r="W2263" s="124"/>
      <c r="X2263" s="128"/>
      <c r="Y2263" s="129"/>
    </row>
    <row r="2264" spans="14:25" x14ac:dyDescent="0.25">
      <c r="N2264" s="125"/>
      <c r="O2264" s="125"/>
      <c r="P2264" s="126"/>
      <c r="Q2264" s="62"/>
      <c r="R2264" s="62"/>
      <c r="S2264" s="127"/>
      <c r="T2264" s="11"/>
      <c r="U2264" s="124"/>
      <c r="V2264" s="11"/>
      <c r="W2264" s="124"/>
      <c r="X2264" s="128"/>
      <c r="Y2264" s="129"/>
    </row>
    <row r="2265" spans="14:25" x14ac:dyDescent="0.25">
      <c r="N2265" s="125"/>
      <c r="O2265" s="125"/>
      <c r="P2265" s="126"/>
      <c r="Q2265" s="62"/>
      <c r="R2265" s="62"/>
      <c r="S2265" s="127"/>
      <c r="T2265" s="11"/>
      <c r="U2265" s="124"/>
      <c r="V2265" s="11"/>
      <c r="W2265" s="124"/>
      <c r="X2265" s="128"/>
      <c r="Y2265" s="129"/>
    </row>
    <row r="2266" spans="14:25" x14ac:dyDescent="0.25">
      <c r="N2266" s="125"/>
      <c r="O2266" s="125"/>
      <c r="P2266" s="126"/>
      <c r="Q2266" s="62"/>
      <c r="R2266" s="62"/>
      <c r="S2266" s="127"/>
      <c r="T2266" s="11"/>
      <c r="U2266" s="124"/>
      <c r="V2266" s="11"/>
      <c r="W2266" s="124"/>
      <c r="X2266" s="128"/>
      <c r="Y2266" s="129"/>
    </row>
    <row r="2267" spans="14:25" x14ac:dyDescent="0.25">
      <c r="N2267" s="125"/>
      <c r="O2267" s="125"/>
      <c r="P2267" s="126"/>
      <c r="Q2267" s="62"/>
      <c r="R2267" s="62"/>
      <c r="S2267" s="127"/>
      <c r="T2267" s="11"/>
      <c r="U2267" s="124"/>
      <c r="V2267" s="11"/>
      <c r="W2267" s="124"/>
      <c r="X2267" s="128"/>
      <c r="Y2267" s="129"/>
    </row>
    <row r="2268" spans="14:25" x14ac:dyDescent="0.25">
      <c r="N2268" s="125"/>
      <c r="O2268" s="125"/>
      <c r="P2268" s="126"/>
      <c r="Q2268" s="62"/>
      <c r="R2268" s="62"/>
      <c r="S2268" s="127"/>
      <c r="T2268" s="11"/>
      <c r="U2268" s="124"/>
      <c r="V2268" s="11"/>
      <c r="W2268" s="124"/>
      <c r="X2268" s="128"/>
      <c r="Y2268" s="129"/>
    </row>
    <row r="2269" spans="14:25" x14ac:dyDescent="0.25">
      <c r="N2269" s="125"/>
      <c r="O2269" s="125"/>
      <c r="P2269" s="126"/>
      <c r="Q2269" s="62"/>
      <c r="R2269" s="62"/>
      <c r="S2269" s="127"/>
      <c r="T2269" s="11"/>
      <c r="U2269" s="124"/>
      <c r="V2269" s="11"/>
      <c r="W2269" s="124"/>
      <c r="X2269" s="128"/>
      <c r="Y2269" s="129"/>
    </row>
    <row r="2270" spans="14:25" x14ac:dyDescent="0.25">
      <c r="N2270" s="125"/>
      <c r="O2270" s="125"/>
      <c r="P2270" s="126"/>
      <c r="Q2270" s="62"/>
      <c r="R2270" s="62"/>
      <c r="S2270" s="127"/>
      <c r="T2270" s="11"/>
      <c r="U2270" s="124"/>
      <c r="V2270" s="11"/>
      <c r="W2270" s="124"/>
      <c r="X2270" s="128"/>
      <c r="Y2270" s="129"/>
    </row>
    <row r="2271" spans="14:25" x14ac:dyDescent="0.25">
      <c r="N2271" s="125"/>
      <c r="O2271" s="125"/>
      <c r="P2271" s="126"/>
      <c r="Q2271" s="62"/>
      <c r="R2271" s="62"/>
      <c r="S2271" s="127"/>
      <c r="T2271" s="11"/>
      <c r="U2271" s="124"/>
      <c r="V2271" s="11"/>
      <c r="W2271" s="124"/>
      <c r="X2271" s="128"/>
      <c r="Y2271" s="129"/>
    </row>
    <row r="2272" spans="14:25" x14ac:dyDescent="0.25">
      <c r="N2272" s="125"/>
      <c r="O2272" s="125"/>
      <c r="P2272" s="126"/>
      <c r="Q2272" s="62"/>
      <c r="R2272" s="62"/>
      <c r="S2272" s="127"/>
      <c r="T2272" s="11"/>
      <c r="U2272" s="124"/>
      <c r="V2272" s="11"/>
      <c r="W2272" s="124"/>
      <c r="X2272" s="128"/>
      <c r="Y2272" s="129"/>
    </row>
    <row r="2273" spans="14:25" x14ac:dyDescent="0.25">
      <c r="N2273" s="125"/>
      <c r="O2273" s="125"/>
      <c r="P2273" s="126"/>
      <c r="Q2273" s="62"/>
      <c r="R2273" s="62"/>
      <c r="S2273" s="127"/>
      <c r="T2273" s="11"/>
      <c r="U2273" s="124"/>
      <c r="V2273" s="11"/>
      <c r="W2273" s="124"/>
      <c r="X2273" s="128"/>
      <c r="Y2273" s="129"/>
    </row>
    <row r="2274" spans="14:25" x14ac:dyDescent="0.25">
      <c r="N2274" s="125"/>
      <c r="O2274" s="125"/>
      <c r="P2274" s="126"/>
      <c r="Q2274" s="62"/>
      <c r="R2274" s="62"/>
      <c r="S2274" s="127"/>
      <c r="T2274" s="11"/>
      <c r="U2274" s="124"/>
      <c r="V2274" s="11"/>
      <c r="W2274" s="124"/>
      <c r="X2274" s="128"/>
      <c r="Y2274" s="129"/>
    </row>
    <row r="2275" spans="14:25" x14ac:dyDescent="0.25">
      <c r="N2275" s="125"/>
      <c r="O2275" s="125"/>
      <c r="P2275" s="126"/>
      <c r="Q2275" s="62"/>
      <c r="R2275" s="62"/>
      <c r="S2275" s="127"/>
      <c r="T2275" s="11"/>
      <c r="U2275" s="124"/>
      <c r="V2275" s="11"/>
      <c r="W2275" s="124"/>
      <c r="X2275" s="128"/>
      <c r="Y2275" s="129"/>
    </row>
    <row r="2276" spans="14:25" x14ac:dyDescent="0.25">
      <c r="N2276" s="125"/>
      <c r="O2276" s="125"/>
      <c r="P2276" s="126"/>
      <c r="Q2276" s="62"/>
      <c r="R2276" s="62"/>
      <c r="S2276" s="127"/>
      <c r="T2276" s="11"/>
      <c r="U2276" s="124"/>
      <c r="V2276" s="11"/>
      <c r="W2276" s="124"/>
      <c r="X2276" s="128"/>
      <c r="Y2276" s="129"/>
    </row>
    <row r="2277" spans="14:25" x14ac:dyDescent="0.25">
      <c r="N2277" s="125"/>
      <c r="O2277" s="125"/>
      <c r="P2277" s="126"/>
      <c r="Q2277" s="62"/>
      <c r="R2277" s="62"/>
      <c r="S2277" s="127"/>
      <c r="T2277" s="11"/>
      <c r="U2277" s="124"/>
      <c r="V2277" s="11"/>
      <c r="W2277" s="124"/>
      <c r="X2277" s="128"/>
      <c r="Y2277" s="129"/>
    </row>
    <row r="2278" spans="14:25" x14ac:dyDescent="0.25">
      <c r="N2278" s="125"/>
      <c r="O2278" s="125"/>
      <c r="P2278" s="126"/>
      <c r="Q2278" s="62"/>
      <c r="R2278" s="62"/>
      <c r="S2278" s="127"/>
      <c r="T2278" s="11"/>
      <c r="U2278" s="124"/>
      <c r="V2278" s="11"/>
      <c r="W2278" s="124"/>
      <c r="X2278" s="128"/>
      <c r="Y2278" s="129"/>
    </row>
    <row r="2279" spans="14:25" x14ac:dyDescent="0.25">
      <c r="N2279" s="125"/>
      <c r="O2279" s="125"/>
      <c r="P2279" s="126"/>
      <c r="Q2279" s="62"/>
      <c r="R2279" s="62"/>
      <c r="S2279" s="127"/>
      <c r="T2279" s="11"/>
      <c r="U2279" s="124"/>
      <c r="V2279" s="11"/>
      <c r="W2279" s="124"/>
      <c r="X2279" s="128"/>
      <c r="Y2279" s="129"/>
    </row>
    <row r="2280" spans="14:25" x14ac:dyDescent="0.25">
      <c r="N2280" s="125"/>
      <c r="O2280" s="125"/>
      <c r="P2280" s="126"/>
      <c r="Q2280" s="62"/>
      <c r="R2280" s="62"/>
      <c r="S2280" s="127"/>
      <c r="T2280" s="11"/>
      <c r="U2280" s="124"/>
      <c r="V2280" s="11"/>
      <c r="W2280" s="124"/>
      <c r="X2280" s="128"/>
      <c r="Y2280" s="129"/>
    </row>
    <row r="2281" spans="14:25" x14ac:dyDescent="0.25">
      <c r="N2281" s="125"/>
      <c r="O2281" s="125"/>
      <c r="P2281" s="126"/>
      <c r="Q2281" s="62"/>
      <c r="R2281" s="62"/>
      <c r="S2281" s="127"/>
      <c r="T2281" s="11"/>
      <c r="U2281" s="124"/>
      <c r="V2281" s="11"/>
      <c r="W2281" s="124"/>
      <c r="X2281" s="128"/>
      <c r="Y2281" s="129"/>
    </row>
    <row r="2282" spans="14:25" x14ac:dyDescent="0.25">
      <c r="N2282" s="125"/>
      <c r="O2282" s="125"/>
      <c r="P2282" s="126"/>
      <c r="Q2282" s="62"/>
      <c r="R2282" s="62"/>
      <c r="S2282" s="127"/>
      <c r="T2282" s="11"/>
      <c r="U2282" s="124"/>
      <c r="V2282" s="11"/>
      <c r="W2282" s="124"/>
      <c r="X2282" s="128"/>
      <c r="Y2282" s="129"/>
    </row>
    <row r="2283" spans="14:25" x14ac:dyDescent="0.25">
      <c r="N2283" s="125"/>
      <c r="O2283" s="125"/>
      <c r="P2283" s="126"/>
      <c r="Q2283" s="62"/>
      <c r="R2283" s="62"/>
      <c r="S2283" s="127"/>
      <c r="T2283" s="11"/>
      <c r="U2283" s="124"/>
      <c r="V2283" s="11"/>
      <c r="W2283" s="124"/>
      <c r="X2283" s="128"/>
      <c r="Y2283" s="129"/>
    </row>
    <row r="2284" spans="14:25" x14ac:dyDescent="0.25">
      <c r="N2284" s="125"/>
      <c r="O2284" s="125"/>
      <c r="P2284" s="126"/>
      <c r="Q2284" s="62"/>
      <c r="R2284" s="62"/>
      <c r="S2284" s="127"/>
      <c r="T2284" s="11"/>
      <c r="U2284" s="124"/>
      <c r="V2284" s="11"/>
      <c r="W2284" s="124"/>
      <c r="X2284" s="128"/>
      <c r="Y2284" s="129"/>
    </row>
    <row r="2285" spans="14:25" x14ac:dyDescent="0.25">
      <c r="N2285" s="125"/>
      <c r="O2285" s="125"/>
      <c r="P2285" s="126"/>
      <c r="Q2285" s="62"/>
      <c r="R2285" s="62"/>
      <c r="S2285" s="127"/>
      <c r="T2285" s="11"/>
      <c r="U2285" s="124"/>
      <c r="V2285" s="11"/>
      <c r="W2285" s="124"/>
      <c r="X2285" s="128"/>
      <c r="Y2285" s="129"/>
    </row>
    <row r="2286" spans="14:25" x14ac:dyDescent="0.25">
      <c r="N2286" s="125"/>
      <c r="O2286" s="125"/>
      <c r="P2286" s="126"/>
      <c r="Q2286" s="62"/>
      <c r="R2286" s="62"/>
      <c r="S2286" s="127"/>
      <c r="T2286" s="11"/>
      <c r="U2286" s="124"/>
      <c r="V2286" s="11"/>
      <c r="W2286" s="124"/>
      <c r="X2286" s="128"/>
      <c r="Y2286" s="129"/>
    </row>
    <row r="2287" spans="14:25" x14ac:dyDescent="0.25">
      <c r="N2287" s="125"/>
      <c r="O2287" s="125"/>
      <c r="P2287" s="126"/>
      <c r="Q2287" s="62"/>
      <c r="R2287" s="62"/>
      <c r="S2287" s="127"/>
      <c r="T2287" s="11"/>
      <c r="U2287" s="124"/>
      <c r="V2287" s="11"/>
      <c r="W2287" s="124"/>
      <c r="X2287" s="128"/>
      <c r="Y2287" s="129"/>
    </row>
    <row r="2288" spans="14:25" x14ac:dyDescent="0.25">
      <c r="N2288" s="125"/>
      <c r="O2288" s="125"/>
      <c r="P2288" s="126"/>
      <c r="Q2288" s="62"/>
      <c r="R2288" s="62"/>
      <c r="S2288" s="127"/>
      <c r="T2288" s="11"/>
      <c r="U2288" s="124"/>
      <c r="V2288" s="11"/>
      <c r="W2288" s="124"/>
      <c r="X2288" s="128"/>
      <c r="Y2288" s="129"/>
    </row>
    <row r="2289" spans="14:25" x14ac:dyDescent="0.25">
      <c r="N2289" s="125"/>
      <c r="O2289" s="125"/>
      <c r="P2289" s="126"/>
      <c r="Q2289" s="62"/>
      <c r="R2289" s="62"/>
      <c r="S2289" s="127"/>
      <c r="T2289" s="11"/>
      <c r="U2289" s="124"/>
      <c r="V2289" s="11"/>
      <c r="W2289" s="124"/>
      <c r="X2289" s="128"/>
      <c r="Y2289" s="129"/>
    </row>
    <row r="2290" spans="14:25" x14ac:dyDescent="0.25">
      <c r="N2290" s="125"/>
      <c r="O2290" s="125"/>
      <c r="P2290" s="126"/>
      <c r="Q2290" s="62"/>
      <c r="R2290" s="62"/>
      <c r="S2290" s="127"/>
      <c r="T2290" s="11"/>
      <c r="U2290" s="124"/>
      <c r="V2290" s="11"/>
      <c r="W2290" s="124"/>
      <c r="X2290" s="128"/>
      <c r="Y2290" s="129"/>
    </row>
    <row r="2291" spans="14:25" x14ac:dyDescent="0.25">
      <c r="N2291" s="125"/>
      <c r="O2291" s="125"/>
      <c r="P2291" s="126"/>
      <c r="Q2291" s="62"/>
      <c r="R2291" s="62"/>
      <c r="S2291" s="127"/>
      <c r="T2291" s="11"/>
      <c r="U2291" s="124"/>
      <c r="V2291" s="11"/>
      <c r="W2291" s="124"/>
      <c r="X2291" s="128"/>
      <c r="Y2291" s="129"/>
    </row>
    <row r="2292" spans="14:25" x14ac:dyDescent="0.25">
      <c r="N2292" s="125"/>
      <c r="O2292" s="125"/>
      <c r="P2292" s="126"/>
      <c r="Q2292" s="62"/>
      <c r="R2292" s="62"/>
      <c r="S2292" s="127"/>
      <c r="T2292" s="11"/>
      <c r="U2292" s="124"/>
      <c r="V2292" s="11"/>
      <c r="W2292" s="124"/>
      <c r="X2292" s="128"/>
      <c r="Y2292" s="129"/>
    </row>
    <row r="2293" spans="14:25" x14ac:dyDescent="0.25">
      <c r="N2293" s="125"/>
      <c r="O2293" s="125"/>
      <c r="P2293" s="126"/>
      <c r="Q2293" s="62"/>
      <c r="R2293" s="62"/>
      <c r="S2293" s="127"/>
      <c r="T2293" s="11"/>
      <c r="U2293" s="124"/>
      <c r="V2293" s="11"/>
      <c r="W2293" s="124"/>
      <c r="X2293" s="128"/>
      <c r="Y2293" s="129"/>
    </row>
    <row r="2294" spans="14:25" x14ac:dyDescent="0.25">
      <c r="N2294" s="125"/>
      <c r="O2294" s="125"/>
      <c r="P2294" s="126"/>
      <c r="Q2294" s="62"/>
      <c r="R2294" s="62"/>
      <c r="S2294" s="127"/>
      <c r="T2294" s="11"/>
      <c r="U2294" s="124"/>
      <c r="V2294" s="11"/>
      <c r="W2294" s="124"/>
      <c r="X2294" s="128"/>
      <c r="Y2294" s="129"/>
    </row>
    <row r="2295" spans="14:25" x14ac:dyDescent="0.25">
      <c r="N2295" s="125"/>
      <c r="O2295" s="125"/>
      <c r="P2295" s="126"/>
      <c r="Q2295" s="62"/>
      <c r="R2295" s="62"/>
      <c r="S2295" s="127"/>
      <c r="T2295" s="11"/>
      <c r="U2295" s="124"/>
      <c r="V2295" s="11"/>
      <c r="W2295" s="124"/>
      <c r="X2295" s="128"/>
      <c r="Y2295" s="129"/>
    </row>
    <row r="2296" spans="14:25" x14ac:dyDescent="0.25">
      <c r="N2296" s="125"/>
      <c r="O2296" s="125"/>
      <c r="P2296" s="126"/>
      <c r="Q2296" s="62"/>
      <c r="R2296" s="62"/>
      <c r="S2296" s="127"/>
      <c r="T2296" s="11"/>
      <c r="U2296" s="124"/>
      <c r="V2296" s="11"/>
      <c r="W2296" s="124"/>
      <c r="X2296" s="128"/>
      <c r="Y2296" s="129"/>
    </row>
    <row r="2297" spans="14:25" x14ac:dyDescent="0.25">
      <c r="N2297" s="125"/>
      <c r="O2297" s="125"/>
      <c r="P2297" s="126"/>
      <c r="Q2297" s="62"/>
      <c r="R2297" s="62"/>
      <c r="S2297" s="127"/>
      <c r="T2297" s="11"/>
      <c r="U2297" s="124"/>
      <c r="V2297" s="11"/>
      <c r="W2297" s="124"/>
      <c r="X2297" s="128"/>
      <c r="Y2297" s="129"/>
    </row>
    <row r="2298" spans="14:25" x14ac:dyDescent="0.25">
      <c r="N2298" s="125"/>
      <c r="O2298" s="125"/>
      <c r="P2298" s="126"/>
      <c r="Q2298" s="62"/>
      <c r="R2298" s="62"/>
      <c r="S2298" s="127"/>
      <c r="T2298" s="11"/>
      <c r="U2298" s="124"/>
      <c r="V2298" s="11"/>
      <c r="W2298" s="124"/>
      <c r="X2298" s="128"/>
      <c r="Y2298" s="129"/>
    </row>
    <row r="2299" spans="14:25" x14ac:dyDescent="0.25">
      <c r="N2299" s="125"/>
      <c r="O2299" s="125"/>
      <c r="P2299" s="126"/>
      <c r="Q2299" s="62"/>
      <c r="R2299" s="62"/>
      <c r="S2299" s="127"/>
      <c r="T2299" s="11"/>
      <c r="U2299" s="124"/>
      <c r="V2299" s="11"/>
      <c r="W2299" s="124"/>
      <c r="X2299" s="128"/>
      <c r="Y2299" s="129"/>
    </row>
    <row r="2300" spans="14:25" x14ac:dyDescent="0.25">
      <c r="N2300" s="125"/>
      <c r="O2300" s="125"/>
      <c r="P2300" s="126"/>
      <c r="Q2300" s="62"/>
      <c r="R2300" s="62"/>
      <c r="S2300" s="127"/>
      <c r="T2300" s="11"/>
      <c r="U2300" s="124"/>
      <c r="V2300" s="11"/>
      <c r="W2300" s="124"/>
      <c r="X2300" s="128"/>
      <c r="Y2300" s="129"/>
    </row>
    <row r="2301" spans="14:25" x14ac:dyDescent="0.25">
      <c r="N2301" s="125"/>
      <c r="O2301" s="125"/>
      <c r="P2301" s="126"/>
      <c r="Q2301" s="62"/>
      <c r="R2301" s="62"/>
      <c r="S2301" s="127"/>
      <c r="T2301" s="11"/>
      <c r="U2301" s="124"/>
      <c r="V2301" s="11"/>
      <c r="W2301" s="124"/>
      <c r="X2301" s="128"/>
      <c r="Y2301" s="129"/>
    </row>
    <row r="2302" spans="14:25" x14ac:dyDescent="0.25">
      <c r="N2302" s="125"/>
      <c r="O2302" s="125"/>
      <c r="P2302" s="126"/>
      <c r="Q2302" s="62"/>
      <c r="R2302" s="62"/>
      <c r="S2302" s="127"/>
      <c r="T2302" s="11"/>
      <c r="U2302" s="124"/>
      <c r="V2302" s="11"/>
      <c r="W2302" s="124"/>
      <c r="X2302" s="128"/>
      <c r="Y2302" s="129"/>
    </row>
    <row r="2303" spans="14:25" x14ac:dyDescent="0.25">
      <c r="N2303" s="125"/>
      <c r="O2303" s="125"/>
      <c r="P2303" s="126"/>
      <c r="Q2303" s="62"/>
      <c r="R2303" s="62"/>
      <c r="S2303" s="127"/>
      <c r="T2303" s="11"/>
      <c r="U2303" s="124"/>
      <c r="V2303" s="11"/>
      <c r="W2303" s="124"/>
      <c r="X2303" s="128"/>
      <c r="Y2303" s="129"/>
    </row>
    <row r="2304" spans="14:25" x14ac:dyDescent="0.25">
      <c r="N2304" s="125"/>
      <c r="O2304" s="125"/>
      <c r="P2304" s="126"/>
      <c r="Q2304" s="62"/>
      <c r="R2304" s="62"/>
      <c r="S2304" s="127"/>
      <c r="T2304" s="11"/>
      <c r="U2304" s="124"/>
      <c r="V2304" s="11"/>
      <c r="W2304" s="124"/>
      <c r="X2304" s="128"/>
      <c r="Y2304" s="129"/>
    </row>
    <row r="2305" spans="14:25" x14ac:dyDescent="0.25">
      <c r="N2305" s="125"/>
      <c r="O2305" s="125"/>
      <c r="P2305" s="126"/>
      <c r="Q2305" s="62"/>
      <c r="R2305" s="62"/>
      <c r="S2305" s="127"/>
      <c r="T2305" s="11"/>
      <c r="U2305" s="124"/>
      <c r="V2305" s="11"/>
      <c r="W2305" s="124"/>
      <c r="X2305" s="128"/>
      <c r="Y2305" s="129"/>
    </row>
    <row r="2306" spans="14:25" x14ac:dyDescent="0.25">
      <c r="N2306" s="125"/>
      <c r="O2306" s="125"/>
      <c r="P2306" s="126"/>
      <c r="Q2306" s="62"/>
      <c r="R2306" s="62"/>
      <c r="S2306" s="127"/>
      <c r="T2306" s="11"/>
      <c r="U2306" s="124"/>
      <c r="V2306" s="11"/>
      <c r="W2306" s="124"/>
      <c r="X2306" s="128"/>
      <c r="Y2306" s="129"/>
    </row>
    <row r="2307" spans="14:25" x14ac:dyDescent="0.25">
      <c r="N2307" s="125"/>
      <c r="O2307" s="125"/>
      <c r="P2307" s="126"/>
      <c r="Q2307" s="62"/>
      <c r="R2307" s="62"/>
      <c r="S2307" s="127"/>
      <c r="T2307" s="11"/>
      <c r="U2307" s="124"/>
      <c r="V2307" s="11"/>
      <c r="W2307" s="124"/>
      <c r="X2307" s="128"/>
      <c r="Y2307" s="129"/>
    </row>
    <row r="2308" spans="14:25" x14ac:dyDescent="0.25">
      <c r="N2308" s="125"/>
      <c r="O2308" s="125"/>
      <c r="P2308" s="126"/>
      <c r="Q2308" s="62"/>
      <c r="R2308" s="62"/>
      <c r="S2308" s="127"/>
      <c r="T2308" s="11"/>
      <c r="U2308" s="124"/>
      <c r="V2308" s="11"/>
      <c r="W2308" s="124"/>
      <c r="X2308" s="128"/>
      <c r="Y2308" s="129"/>
    </row>
    <row r="2309" spans="14:25" x14ac:dyDescent="0.25">
      <c r="N2309" s="125"/>
      <c r="O2309" s="125"/>
      <c r="P2309" s="126"/>
      <c r="Q2309" s="62"/>
      <c r="R2309" s="62"/>
      <c r="S2309" s="127"/>
      <c r="T2309" s="11"/>
      <c r="U2309" s="124"/>
      <c r="V2309" s="11"/>
      <c r="W2309" s="124"/>
      <c r="X2309" s="128"/>
      <c r="Y2309" s="129"/>
    </row>
    <row r="2310" spans="14:25" x14ac:dyDescent="0.25">
      <c r="N2310" s="125"/>
      <c r="O2310" s="125"/>
      <c r="P2310" s="126"/>
      <c r="Q2310" s="62"/>
      <c r="R2310" s="62"/>
      <c r="S2310" s="127"/>
      <c r="T2310" s="11"/>
      <c r="U2310" s="124"/>
      <c r="V2310" s="11"/>
      <c r="W2310" s="124"/>
      <c r="X2310" s="128"/>
      <c r="Y2310" s="129"/>
    </row>
    <row r="2311" spans="14:25" x14ac:dyDescent="0.25">
      <c r="N2311" s="125"/>
      <c r="O2311" s="125"/>
      <c r="P2311" s="126"/>
      <c r="Q2311" s="62"/>
      <c r="R2311" s="62"/>
      <c r="S2311" s="127"/>
      <c r="T2311" s="11"/>
      <c r="U2311" s="124"/>
      <c r="V2311" s="11"/>
      <c r="W2311" s="124"/>
      <c r="X2311" s="128"/>
      <c r="Y2311" s="129"/>
    </row>
    <row r="2312" spans="14:25" x14ac:dyDescent="0.25">
      <c r="N2312" s="125"/>
      <c r="O2312" s="125"/>
      <c r="P2312" s="126"/>
      <c r="Q2312" s="62"/>
      <c r="R2312" s="62"/>
      <c r="S2312" s="127"/>
      <c r="T2312" s="11"/>
      <c r="U2312" s="124"/>
      <c r="V2312" s="11"/>
      <c r="W2312" s="124"/>
      <c r="X2312" s="128"/>
      <c r="Y2312" s="129"/>
    </row>
    <row r="2313" spans="14:25" x14ac:dyDescent="0.25">
      <c r="N2313" s="125"/>
      <c r="O2313" s="125"/>
      <c r="P2313" s="126"/>
      <c r="Q2313" s="62"/>
      <c r="R2313" s="62"/>
      <c r="S2313" s="127"/>
      <c r="T2313" s="11"/>
      <c r="U2313" s="124"/>
      <c r="V2313" s="11"/>
      <c r="W2313" s="124"/>
      <c r="X2313" s="128"/>
      <c r="Y2313" s="129"/>
    </row>
    <row r="2314" spans="14:25" x14ac:dyDescent="0.25">
      <c r="N2314" s="125"/>
      <c r="O2314" s="125"/>
      <c r="P2314" s="126"/>
      <c r="Q2314" s="62"/>
      <c r="R2314" s="62"/>
      <c r="S2314" s="127"/>
      <c r="T2314" s="11"/>
      <c r="U2314" s="124"/>
      <c r="V2314" s="11"/>
      <c r="W2314" s="124"/>
      <c r="X2314" s="128"/>
      <c r="Y2314" s="129"/>
    </row>
    <row r="2315" spans="14:25" x14ac:dyDescent="0.25">
      <c r="N2315" s="125"/>
      <c r="O2315" s="125"/>
      <c r="P2315" s="126"/>
      <c r="Q2315" s="62"/>
      <c r="R2315" s="62"/>
      <c r="S2315" s="127"/>
      <c r="T2315" s="11"/>
      <c r="U2315" s="124"/>
      <c r="V2315" s="11"/>
      <c r="W2315" s="124"/>
      <c r="X2315" s="128"/>
      <c r="Y2315" s="129"/>
    </row>
    <row r="2316" spans="14:25" x14ac:dyDescent="0.25">
      <c r="N2316" s="125"/>
      <c r="O2316" s="125"/>
      <c r="P2316" s="126"/>
      <c r="Q2316" s="62"/>
      <c r="R2316" s="62"/>
      <c r="S2316" s="127"/>
      <c r="T2316" s="11"/>
      <c r="U2316" s="124"/>
      <c r="V2316" s="11"/>
      <c r="W2316" s="124"/>
      <c r="X2316" s="128"/>
      <c r="Y2316" s="129"/>
    </row>
    <row r="2317" spans="14:25" x14ac:dyDescent="0.25">
      <c r="N2317" s="125"/>
      <c r="O2317" s="125"/>
      <c r="P2317" s="126"/>
      <c r="Q2317" s="62"/>
      <c r="R2317" s="62"/>
      <c r="S2317" s="127"/>
      <c r="T2317" s="11"/>
      <c r="U2317" s="124"/>
      <c r="V2317" s="11"/>
      <c r="W2317" s="124"/>
      <c r="X2317" s="128"/>
      <c r="Y2317" s="129"/>
    </row>
    <row r="2318" spans="14:25" x14ac:dyDescent="0.25">
      <c r="N2318" s="125"/>
      <c r="O2318" s="125"/>
      <c r="P2318" s="126"/>
      <c r="Q2318" s="62"/>
      <c r="R2318" s="62"/>
      <c r="S2318" s="127"/>
      <c r="T2318" s="11"/>
      <c r="U2318" s="124"/>
      <c r="V2318" s="11"/>
      <c r="W2318" s="124"/>
      <c r="X2318" s="128"/>
      <c r="Y2318" s="129"/>
    </row>
    <row r="2319" spans="14:25" x14ac:dyDescent="0.25">
      <c r="N2319" s="125"/>
      <c r="O2319" s="125"/>
      <c r="P2319" s="126"/>
      <c r="Q2319" s="62"/>
      <c r="R2319" s="62"/>
      <c r="S2319" s="127"/>
      <c r="T2319" s="11"/>
      <c r="U2319" s="124"/>
      <c r="V2319" s="11"/>
      <c r="W2319" s="124"/>
      <c r="X2319" s="128"/>
      <c r="Y2319" s="129"/>
    </row>
    <row r="2320" spans="14:25" x14ac:dyDescent="0.25">
      <c r="N2320" s="125"/>
      <c r="O2320" s="125"/>
      <c r="P2320" s="126"/>
      <c r="Q2320" s="62"/>
      <c r="R2320" s="62"/>
      <c r="S2320" s="127"/>
      <c r="T2320" s="11"/>
      <c r="U2320" s="124"/>
      <c r="V2320" s="11"/>
      <c r="W2320" s="124"/>
      <c r="X2320" s="128"/>
      <c r="Y2320" s="129"/>
    </row>
    <row r="2321" spans="14:25" x14ac:dyDescent="0.25">
      <c r="N2321" s="125"/>
      <c r="O2321" s="125"/>
      <c r="P2321" s="126"/>
      <c r="Q2321" s="62"/>
      <c r="R2321" s="62"/>
      <c r="S2321" s="127"/>
      <c r="T2321" s="11"/>
      <c r="U2321" s="124"/>
      <c r="V2321" s="11"/>
      <c r="W2321" s="124"/>
      <c r="X2321" s="128"/>
      <c r="Y2321" s="129"/>
    </row>
    <row r="2322" spans="14:25" x14ac:dyDescent="0.25">
      <c r="N2322" s="125"/>
      <c r="O2322" s="125"/>
      <c r="P2322" s="126"/>
      <c r="Q2322" s="62"/>
      <c r="R2322" s="62"/>
      <c r="S2322" s="127"/>
      <c r="T2322" s="11"/>
      <c r="U2322" s="124"/>
      <c r="V2322" s="11"/>
      <c r="W2322" s="124"/>
      <c r="X2322" s="128"/>
      <c r="Y2322" s="129"/>
    </row>
    <row r="2323" spans="14:25" x14ac:dyDescent="0.25">
      <c r="N2323" s="125"/>
      <c r="O2323" s="125"/>
      <c r="P2323" s="126"/>
      <c r="Q2323" s="62"/>
      <c r="R2323" s="62"/>
      <c r="S2323" s="127"/>
      <c r="T2323" s="11"/>
      <c r="U2323" s="124"/>
      <c r="V2323" s="11"/>
      <c r="W2323" s="124"/>
      <c r="X2323" s="128"/>
      <c r="Y2323" s="129"/>
    </row>
    <row r="2324" spans="14:25" x14ac:dyDescent="0.25">
      <c r="N2324" s="125"/>
      <c r="O2324" s="125"/>
      <c r="P2324" s="126"/>
      <c r="Q2324" s="62"/>
      <c r="R2324" s="62"/>
      <c r="S2324" s="127"/>
      <c r="T2324" s="11"/>
      <c r="U2324" s="124"/>
      <c r="V2324" s="11"/>
      <c r="W2324" s="124"/>
      <c r="X2324" s="128"/>
      <c r="Y2324" s="129"/>
    </row>
    <row r="2325" spans="14:25" x14ac:dyDescent="0.25">
      <c r="N2325" s="125"/>
      <c r="O2325" s="125"/>
      <c r="P2325" s="126"/>
      <c r="Q2325" s="62"/>
      <c r="R2325" s="62"/>
      <c r="S2325" s="127"/>
      <c r="T2325" s="11"/>
      <c r="U2325" s="124"/>
      <c r="V2325" s="11"/>
      <c r="W2325" s="124"/>
      <c r="X2325" s="128"/>
      <c r="Y2325" s="129"/>
    </row>
    <row r="2326" spans="14:25" x14ac:dyDescent="0.25">
      <c r="N2326" s="125"/>
      <c r="O2326" s="125"/>
      <c r="P2326" s="126"/>
      <c r="Q2326" s="62"/>
      <c r="R2326" s="62"/>
      <c r="S2326" s="127"/>
      <c r="T2326" s="11"/>
      <c r="U2326" s="124"/>
      <c r="V2326" s="11"/>
      <c r="W2326" s="124"/>
      <c r="X2326" s="128"/>
      <c r="Y2326" s="129"/>
    </row>
    <row r="2327" spans="14:25" x14ac:dyDescent="0.25">
      <c r="N2327" s="125"/>
      <c r="O2327" s="125"/>
      <c r="P2327" s="126"/>
      <c r="Q2327" s="62"/>
      <c r="R2327" s="62"/>
      <c r="S2327" s="127"/>
      <c r="T2327" s="11"/>
      <c r="U2327" s="124"/>
      <c r="V2327" s="11"/>
      <c r="W2327" s="124"/>
      <c r="X2327" s="128"/>
      <c r="Y2327" s="129"/>
    </row>
    <row r="2328" spans="14:25" x14ac:dyDescent="0.25">
      <c r="N2328" s="125"/>
      <c r="O2328" s="125"/>
      <c r="P2328" s="126"/>
      <c r="Q2328" s="62"/>
      <c r="R2328" s="62"/>
      <c r="S2328" s="127"/>
      <c r="T2328" s="11"/>
      <c r="U2328" s="124"/>
      <c r="V2328" s="11"/>
      <c r="W2328" s="124"/>
      <c r="X2328" s="128"/>
      <c r="Y2328" s="129"/>
    </row>
    <row r="2329" spans="14:25" x14ac:dyDescent="0.25">
      <c r="N2329" s="125"/>
      <c r="O2329" s="125"/>
      <c r="P2329" s="126"/>
      <c r="Q2329" s="62"/>
      <c r="R2329" s="62"/>
      <c r="S2329" s="127"/>
      <c r="T2329" s="11"/>
      <c r="U2329" s="124"/>
      <c r="V2329" s="11"/>
      <c r="W2329" s="124"/>
      <c r="X2329" s="128"/>
      <c r="Y2329" s="129"/>
    </row>
    <row r="2330" spans="14:25" x14ac:dyDescent="0.25">
      <c r="N2330" s="125"/>
      <c r="O2330" s="125"/>
      <c r="P2330" s="126"/>
      <c r="Q2330" s="62"/>
      <c r="R2330" s="62"/>
      <c r="S2330" s="127"/>
      <c r="T2330" s="11"/>
      <c r="U2330" s="124"/>
      <c r="V2330" s="11"/>
      <c r="W2330" s="124"/>
      <c r="X2330" s="128"/>
      <c r="Y2330" s="129"/>
    </row>
    <row r="2331" spans="14:25" x14ac:dyDescent="0.25">
      <c r="N2331" s="125"/>
      <c r="O2331" s="125"/>
      <c r="P2331" s="126"/>
      <c r="Q2331" s="62"/>
      <c r="R2331" s="62"/>
      <c r="S2331" s="127"/>
      <c r="T2331" s="11"/>
      <c r="U2331" s="124"/>
      <c r="V2331" s="11"/>
      <c r="W2331" s="124"/>
      <c r="X2331" s="128"/>
      <c r="Y2331" s="129"/>
    </row>
    <row r="2332" spans="14:25" x14ac:dyDescent="0.25">
      <c r="N2332" s="125"/>
      <c r="O2332" s="125"/>
      <c r="P2332" s="126"/>
      <c r="Q2332" s="62"/>
      <c r="R2332" s="62"/>
      <c r="S2332" s="127"/>
      <c r="T2332" s="11"/>
      <c r="U2332" s="124"/>
      <c r="V2332" s="11"/>
      <c r="W2332" s="124"/>
      <c r="X2332" s="128"/>
      <c r="Y2332" s="129"/>
    </row>
    <row r="2333" spans="14:25" x14ac:dyDescent="0.25">
      <c r="N2333" s="125"/>
      <c r="O2333" s="125"/>
      <c r="P2333" s="126"/>
      <c r="Q2333" s="62"/>
      <c r="R2333" s="62"/>
      <c r="S2333" s="127"/>
      <c r="T2333" s="11"/>
      <c r="U2333" s="124"/>
      <c r="V2333" s="11"/>
      <c r="W2333" s="124"/>
      <c r="X2333" s="128"/>
      <c r="Y2333" s="129"/>
    </row>
    <row r="2334" spans="14:25" x14ac:dyDescent="0.25">
      <c r="N2334" s="125"/>
      <c r="O2334" s="125"/>
      <c r="P2334" s="126"/>
      <c r="Q2334" s="62"/>
      <c r="R2334" s="62"/>
      <c r="S2334" s="127"/>
      <c r="T2334" s="11"/>
      <c r="U2334" s="124"/>
      <c r="V2334" s="11"/>
      <c r="W2334" s="124"/>
      <c r="X2334" s="128"/>
      <c r="Y2334" s="129"/>
    </row>
    <row r="2335" spans="14:25" x14ac:dyDescent="0.25">
      <c r="N2335" s="125"/>
      <c r="O2335" s="125"/>
      <c r="P2335" s="126"/>
      <c r="Q2335" s="62"/>
      <c r="R2335" s="62"/>
      <c r="S2335" s="127"/>
      <c r="T2335" s="11"/>
      <c r="U2335" s="124"/>
      <c r="V2335" s="11"/>
      <c r="W2335" s="124"/>
      <c r="X2335" s="128"/>
      <c r="Y2335" s="129"/>
    </row>
    <row r="2336" spans="14:25" x14ac:dyDescent="0.25">
      <c r="N2336" s="125"/>
      <c r="O2336" s="125"/>
      <c r="P2336" s="126"/>
      <c r="Q2336" s="62"/>
      <c r="R2336" s="62"/>
      <c r="S2336" s="127"/>
      <c r="T2336" s="11"/>
      <c r="U2336" s="124"/>
      <c r="V2336" s="11"/>
      <c r="W2336" s="124"/>
      <c r="X2336" s="128"/>
      <c r="Y2336" s="129"/>
    </row>
    <row r="2337" spans="14:25" x14ac:dyDescent="0.25">
      <c r="N2337" s="125"/>
      <c r="O2337" s="125"/>
      <c r="P2337" s="126"/>
      <c r="Q2337" s="62"/>
      <c r="R2337" s="62"/>
      <c r="S2337" s="127"/>
      <c r="T2337" s="11"/>
      <c r="U2337" s="124"/>
      <c r="V2337" s="11"/>
      <c r="W2337" s="124"/>
      <c r="X2337" s="128"/>
      <c r="Y2337" s="129"/>
    </row>
    <row r="2338" spans="14:25" x14ac:dyDescent="0.25">
      <c r="N2338" s="125"/>
      <c r="O2338" s="125"/>
      <c r="P2338" s="126"/>
      <c r="Q2338" s="62"/>
      <c r="R2338" s="62"/>
      <c r="S2338" s="127"/>
      <c r="T2338" s="11"/>
      <c r="U2338" s="124"/>
      <c r="V2338" s="11"/>
      <c r="W2338" s="124"/>
      <c r="X2338" s="128"/>
      <c r="Y2338" s="129"/>
    </row>
    <row r="2339" spans="14:25" x14ac:dyDescent="0.25">
      <c r="N2339" s="125"/>
      <c r="O2339" s="125"/>
      <c r="P2339" s="126"/>
      <c r="Q2339" s="62"/>
      <c r="R2339" s="62"/>
      <c r="S2339" s="127"/>
      <c r="T2339" s="11"/>
      <c r="U2339" s="124"/>
      <c r="V2339" s="11"/>
      <c r="W2339" s="124"/>
      <c r="X2339" s="128"/>
      <c r="Y2339" s="129"/>
    </row>
    <row r="2340" spans="14:25" x14ac:dyDescent="0.25">
      <c r="N2340" s="125"/>
      <c r="O2340" s="125"/>
      <c r="P2340" s="126"/>
      <c r="Q2340" s="62"/>
      <c r="R2340" s="62"/>
      <c r="S2340" s="127"/>
      <c r="T2340" s="11"/>
      <c r="U2340" s="124"/>
      <c r="V2340" s="11"/>
      <c r="W2340" s="124"/>
      <c r="X2340" s="128"/>
      <c r="Y2340" s="129"/>
    </row>
    <row r="2341" spans="14:25" x14ac:dyDescent="0.25">
      <c r="N2341" s="125"/>
      <c r="O2341" s="125"/>
      <c r="P2341" s="126"/>
      <c r="Q2341" s="62"/>
      <c r="R2341" s="62"/>
      <c r="S2341" s="127"/>
      <c r="T2341" s="11"/>
      <c r="U2341" s="124"/>
      <c r="V2341" s="11"/>
      <c r="W2341" s="124"/>
      <c r="X2341" s="128"/>
      <c r="Y2341" s="129"/>
    </row>
    <row r="2342" spans="14:25" x14ac:dyDescent="0.25">
      <c r="N2342" s="125"/>
      <c r="O2342" s="125"/>
      <c r="P2342" s="126"/>
      <c r="Q2342" s="62"/>
      <c r="R2342" s="62"/>
      <c r="S2342" s="127"/>
      <c r="T2342" s="11"/>
      <c r="U2342" s="124"/>
      <c r="V2342" s="11"/>
      <c r="W2342" s="124"/>
      <c r="X2342" s="128"/>
      <c r="Y2342" s="129"/>
    </row>
    <row r="2343" spans="14:25" x14ac:dyDescent="0.25">
      <c r="N2343" s="125"/>
      <c r="O2343" s="125"/>
      <c r="P2343" s="126"/>
      <c r="Q2343" s="62"/>
      <c r="R2343" s="62"/>
      <c r="S2343" s="127"/>
      <c r="T2343" s="11"/>
      <c r="U2343" s="124"/>
      <c r="V2343" s="11"/>
      <c r="W2343" s="124"/>
      <c r="X2343" s="128"/>
      <c r="Y2343" s="129"/>
    </row>
    <row r="2344" spans="14:25" x14ac:dyDescent="0.25">
      <c r="N2344" s="125"/>
      <c r="O2344" s="125"/>
      <c r="P2344" s="126"/>
      <c r="Q2344" s="62"/>
      <c r="R2344" s="62"/>
      <c r="S2344" s="127"/>
      <c r="T2344" s="11"/>
      <c r="U2344" s="124"/>
      <c r="V2344" s="11"/>
      <c r="W2344" s="124"/>
      <c r="X2344" s="128"/>
      <c r="Y2344" s="129"/>
    </row>
    <row r="2345" spans="14:25" x14ac:dyDescent="0.25">
      <c r="N2345" s="125"/>
      <c r="O2345" s="125"/>
      <c r="P2345" s="126"/>
      <c r="Q2345" s="62"/>
      <c r="R2345" s="62"/>
      <c r="S2345" s="127"/>
      <c r="T2345" s="11"/>
      <c r="U2345" s="124"/>
      <c r="V2345" s="11"/>
      <c r="W2345" s="124"/>
      <c r="X2345" s="128"/>
      <c r="Y2345" s="129"/>
    </row>
    <row r="2346" spans="14:25" x14ac:dyDescent="0.25">
      <c r="N2346" s="125"/>
      <c r="O2346" s="125"/>
      <c r="P2346" s="126"/>
      <c r="Q2346" s="62"/>
      <c r="R2346" s="62"/>
      <c r="S2346" s="127"/>
      <c r="T2346" s="11"/>
      <c r="U2346" s="124"/>
      <c r="V2346" s="11"/>
      <c r="W2346" s="124"/>
      <c r="X2346" s="128"/>
      <c r="Y2346" s="129"/>
    </row>
    <row r="2347" spans="14:25" x14ac:dyDescent="0.25">
      <c r="N2347" s="125"/>
      <c r="O2347" s="125"/>
      <c r="P2347" s="126"/>
      <c r="Q2347" s="62"/>
      <c r="R2347" s="62"/>
      <c r="S2347" s="127"/>
      <c r="T2347" s="11"/>
      <c r="U2347" s="124"/>
      <c r="V2347" s="11"/>
      <c r="W2347" s="124"/>
      <c r="X2347" s="128"/>
      <c r="Y2347" s="129"/>
    </row>
    <row r="2348" spans="14:25" x14ac:dyDescent="0.25">
      <c r="N2348" s="125"/>
      <c r="O2348" s="125"/>
      <c r="P2348" s="126"/>
      <c r="Q2348" s="62"/>
      <c r="R2348" s="62"/>
      <c r="S2348" s="127"/>
      <c r="T2348" s="11"/>
      <c r="U2348" s="124"/>
      <c r="V2348" s="11"/>
      <c r="W2348" s="124"/>
      <c r="X2348" s="128"/>
      <c r="Y2348" s="129"/>
    </row>
    <row r="2349" spans="14:25" x14ac:dyDescent="0.25">
      <c r="N2349" s="125"/>
      <c r="O2349" s="125"/>
      <c r="P2349" s="126"/>
      <c r="Q2349" s="62"/>
      <c r="R2349" s="62"/>
      <c r="S2349" s="127"/>
      <c r="T2349" s="11"/>
      <c r="U2349" s="124"/>
      <c r="V2349" s="11"/>
      <c r="W2349" s="124"/>
      <c r="X2349" s="128"/>
      <c r="Y2349" s="129"/>
    </row>
    <row r="2350" spans="14:25" x14ac:dyDescent="0.25">
      <c r="N2350" s="125"/>
      <c r="O2350" s="125"/>
      <c r="P2350" s="126"/>
      <c r="Q2350" s="62"/>
      <c r="R2350" s="62"/>
      <c r="S2350" s="127"/>
      <c r="T2350" s="11"/>
      <c r="U2350" s="124"/>
      <c r="V2350" s="11"/>
      <c r="W2350" s="124"/>
      <c r="X2350" s="128"/>
      <c r="Y2350" s="129"/>
    </row>
    <row r="2351" spans="14:25" x14ac:dyDescent="0.25">
      <c r="N2351" s="125"/>
      <c r="O2351" s="125"/>
      <c r="P2351" s="126"/>
      <c r="Q2351" s="62"/>
      <c r="R2351" s="62"/>
      <c r="S2351" s="127"/>
      <c r="T2351" s="11"/>
      <c r="U2351" s="124"/>
      <c r="V2351" s="11"/>
      <c r="W2351" s="124"/>
      <c r="X2351" s="128"/>
      <c r="Y2351" s="129"/>
    </row>
    <row r="2352" spans="14:25" x14ac:dyDescent="0.25">
      <c r="N2352" s="125"/>
      <c r="O2352" s="125"/>
      <c r="P2352" s="126"/>
      <c r="Q2352" s="62"/>
      <c r="R2352" s="62"/>
      <c r="S2352" s="127"/>
      <c r="T2352" s="11"/>
      <c r="U2352" s="124"/>
      <c r="V2352" s="11"/>
      <c r="W2352" s="124"/>
      <c r="X2352" s="128"/>
      <c r="Y2352" s="129"/>
    </row>
    <row r="2353" spans="14:25" x14ac:dyDescent="0.25">
      <c r="N2353" s="125"/>
      <c r="O2353" s="125"/>
      <c r="P2353" s="126"/>
      <c r="Q2353" s="62"/>
      <c r="R2353" s="62"/>
      <c r="S2353" s="127"/>
      <c r="T2353" s="11"/>
      <c r="U2353" s="124"/>
      <c r="V2353" s="11"/>
      <c r="W2353" s="124"/>
      <c r="X2353" s="128"/>
      <c r="Y2353" s="129"/>
    </row>
    <row r="2354" spans="14:25" x14ac:dyDescent="0.25">
      <c r="N2354" s="125"/>
      <c r="O2354" s="125"/>
      <c r="P2354" s="126"/>
      <c r="Q2354" s="62"/>
      <c r="R2354" s="62"/>
      <c r="S2354" s="127"/>
      <c r="T2354" s="11"/>
      <c r="U2354" s="124"/>
      <c r="V2354" s="11"/>
      <c r="W2354" s="124"/>
      <c r="X2354" s="128"/>
      <c r="Y2354" s="129"/>
    </row>
    <row r="2355" spans="14:25" x14ac:dyDescent="0.25">
      <c r="N2355" s="125"/>
      <c r="O2355" s="125"/>
      <c r="P2355" s="126"/>
      <c r="Q2355" s="62"/>
      <c r="R2355" s="62"/>
      <c r="S2355" s="127"/>
      <c r="T2355" s="11"/>
      <c r="U2355" s="124"/>
      <c r="V2355" s="11"/>
      <c r="W2355" s="124"/>
      <c r="X2355" s="128"/>
      <c r="Y2355" s="129"/>
    </row>
    <row r="2356" spans="14:25" x14ac:dyDescent="0.25">
      <c r="N2356" s="125"/>
      <c r="O2356" s="125"/>
      <c r="P2356" s="126"/>
      <c r="Q2356" s="62"/>
      <c r="R2356" s="62"/>
      <c r="S2356" s="127"/>
      <c r="T2356" s="11"/>
      <c r="U2356" s="124"/>
      <c r="V2356" s="11"/>
      <c r="W2356" s="124"/>
      <c r="X2356" s="128"/>
      <c r="Y2356" s="129"/>
    </row>
    <row r="2357" spans="14:25" x14ac:dyDescent="0.25">
      <c r="N2357" s="125"/>
      <c r="O2357" s="125"/>
      <c r="P2357" s="126"/>
      <c r="Q2357" s="62"/>
      <c r="R2357" s="62"/>
      <c r="S2357" s="127"/>
      <c r="T2357" s="11"/>
      <c r="U2357" s="124"/>
      <c r="V2357" s="11"/>
      <c r="W2357" s="124"/>
      <c r="X2357" s="128"/>
      <c r="Y2357" s="129"/>
    </row>
    <row r="2358" spans="14:25" x14ac:dyDescent="0.25">
      <c r="N2358" s="125"/>
      <c r="O2358" s="125"/>
      <c r="P2358" s="126"/>
      <c r="Q2358" s="62"/>
      <c r="R2358" s="62"/>
      <c r="S2358" s="127"/>
      <c r="T2358" s="11"/>
      <c r="U2358" s="124"/>
      <c r="V2358" s="11"/>
      <c r="W2358" s="124"/>
      <c r="X2358" s="128"/>
      <c r="Y2358" s="129"/>
    </row>
    <row r="2359" spans="14:25" x14ac:dyDescent="0.25">
      <c r="N2359" s="125"/>
      <c r="O2359" s="125"/>
      <c r="P2359" s="126"/>
      <c r="Q2359" s="62"/>
      <c r="R2359" s="62"/>
      <c r="S2359" s="127"/>
      <c r="T2359" s="11"/>
      <c r="U2359" s="124"/>
      <c r="V2359" s="11"/>
      <c r="W2359" s="124"/>
      <c r="X2359" s="128"/>
      <c r="Y2359" s="129"/>
    </row>
    <row r="2360" spans="14:25" x14ac:dyDescent="0.25">
      <c r="N2360" s="125"/>
      <c r="O2360" s="125"/>
      <c r="P2360" s="126"/>
      <c r="Q2360" s="62"/>
      <c r="R2360" s="62"/>
      <c r="S2360" s="127"/>
      <c r="T2360" s="11"/>
      <c r="U2360" s="124"/>
      <c r="V2360" s="11"/>
      <c r="W2360" s="124"/>
      <c r="X2360" s="128"/>
      <c r="Y2360" s="129"/>
    </row>
    <row r="2361" spans="14:25" x14ac:dyDescent="0.25">
      <c r="N2361" s="125"/>
      <c r="O2361" s="125"/>
      <c r="P2361" s="126"/>
      <c r="Q2361" s="62"/>
      <c r="R2361" s="62"/>
      <c r="S2361" s="127"/>
      <c r="T2361" s="11"/>
      <c r="U2361" s="124"/>
      <c r="V2361" s="11"/>
      <c r="W2361" s="124"/>
      <c r="X2361" s="128"/>
      <c r="Y2361" s="129"/>
    </row>
    <row r="2362" spans="14:25" x14ac:dyDescent="0.25">
      <c r="N2362" s="125"/>
      <c r="O2362" s="125"/>
      <c r="P2362" s="126"/>
      <c r="Q2362" s="62"/>
      <c r="R2362" s="62"/>
      <c r="S2362" s="127"/>
      <c r="T2362" s="11"/>
      <c r="U2362" s="124"/>
      <c r="V2362" s="11"/>
      <c r="W2362" s="124"/>
      <c r="X2362" s="128"/>
      <c r="Y2362" s="129"/>
    </row>
    <row r="2363" spans="14:25" x14ac:dyDescent="0.25">
      <c r="N2363" s="125"/>
      <c r="O2363" s="125"/>
      <c r="P2363" s="126"/>
      <c r="Q2363" s="62"/>
      <c r="R2363" s="62"/>
      <c r="S2363" s="127"/>
      <c r="T2363" s="11"/>
      <c r="U2363" s="124"/>
      <c r="V2363" s="11"/>
      <c r="W2363" s="124"/>
      <c r="X2363" s="128"/>
      <c r="Y2363" s="129"/>
    </row>
    <row r="2364" spans="14:25" x14ac:dyDescent="0.25">
      <c r="N2364" s="125"/>
      <c r="O2364" s="125"/>
      <c r="P2364" s="126"/>
      <c r="Q2364" s="62"/>
      <c r="R2364" s="62"/>
      <c r="S2364" s="127"/>
      <c r="T2364" s="11"/>
      <c r="U2364" s="124"/>
      <c r="V2364" s="11"/>
      <c r="W2364" s="124"/>
      <c r="X2364" s="128"/>
      <c r="Y2364" s="129"/>
    </row>
    <row r="2365" spans="14:25" x14ac:dyDescent="0.25">
      <c r="N2365" s="125"/>
      <c r="O2365" s="125"/>
      <c r="P2365" s="126"/>
      <c r="Q2365" s="62"/>
      <c r="R2365" s="62"/>
      <c r="S2365" s="127"/>
      <c r="T2365" s="11"/>
      <c r="U2365" s="124"/>
      <c r="V2365" s="11"/>
      <c r="W2365" s="124"/>
      <c r="X2365" s="128"/>
      <c r="Y2365" s="129"/>
    </row>
    <row r="2366" spans="14:25" x14ac:dyDescent="0.25">
      <c r="N2366" s="125"/>
      <c r="O2366" s="125"/>
      <c r="P2366" s="126"/>
      <c r="Q2366" s="62"/>
      <c r="R2366" s="62"/>
      <c r="S2366" s="127"/>
      <c r="T2366" s="11"/>
      <c r="U2366" s="124"/>
      <c r="V2366" s="11"/>
      <c r="W2366" s="124"/>
      <c r="X2366" s="128"/>
      <c r="Y2366" s="129"/>
    </row>
    <row r="2367" spans="14:25" x14ac:dyDescent="0.25">
      <c r="N2367" s="125"/>
      <c r="O2367" s="125"/>
      <c r="P2367" s="126"/>
      <c r="Q2367" s="62"/>
      <c r="R2367" s="62"/>
      <c r="S2367" s="127"/>
      <c r="T2367" s="11"/>
      <c r="U2367" s="124"/>
      <c r="V2367" s="11"/>
      <c r="W2367" s="124"/>
      <c r="X2367" s="128"/>
      <c r="Y2367" s="129"/>
    </row>
    <row r="2368" spans="14:25" x14ac:dyDescent="0.25">
      <c r="N2368" s="125"/>
      <c r="O2368" s="125"/>
      <c r="P2368" s="126"/>
      <c r="Q2368" s="62"/>
      <c r="R2368" s="62"/>
      <c r="S2368" s="127"/>
      <c r="T2368" s="11"/>
      <c r="U2368" s="124"/>
      <c r="V2368" s="11"/>
      <c r="W2368" s="124"/>
      <c r="X2368" s="128"/>
      <c r="Y2368" s="129"/>
    </row>
    <row r="2369" spans="14:25" x14ac:dyDescent="0.25">
      <c r="N2369" s="125"/>
      <c r="O2369" s="125"/>
      <c r="P2369" s="126"/>
      <c r="Q2369" s="62"/>
      <c r="R2369" s="62"/>
      <c r="S2369" s="127"/>
      <c r="T2369" s="11"/>
      <c r="U2369" s="124"/>
      <c r="V2369" s="11"/>
      <c r="W2369" s="124"/>
      <c r="X2369" s="128"/>
      <c r="Y2369" s="129"/>
    </row>
    <row r="2370" spans="14:25" x14ac:dyDescent="0.25">
      <c r="N2370" s="125"/>
      <c r="O2370" s="125"/>
      <c r="P2370" s="126"/>
      <c r="Q2370" s="62"/>
      <c r="R2370" s="62"/>
      <c r="S2370" s="127"/>
      <c r="T2370" s="11"/>
      <c r="U2370" s="124"/>
      <c r="V2370" s="11"/>
      <c r="W2370" s="124"/>
      <c r="X2370" s="128"/>
      <c r="Y2370" s="129"/>
    </row>
    <row r="2371" spans="14:25" x14ac:dyDescent="0.25">
      <c r="N2371" s="125"/>
      <c r="O2371" s="125"/>
      <c r="P2371" s="126"/>
      <c r="Q2371" s="62"/>
      <c r="R2371" s="62"/>
      <c r="S2371" s="127"/>
      <c r="T2371" s="11"/>
      <c r="U2371" s="124"/>
      <c r="V2371" s="11"/>
      <c r="W2371" s="124"/>
      <c r="X2371" s="128"/>
      <c r="Y2371" s="129"/>
    </row>
    <row r="2372" spans="14:25" x14ac:dyDescent="0.25">
      <c r="N2372" s="125"/>
      <c r="O2372" s="125"/>
      <c r="P2372" s="126"/>
      <c r="Q2372" s="62"/>
      <c r="R2372" s="62"/>
      <c r="S2372" s="127"/>
      <c r="T2372" s="11"/>
      <c r="U2372" s="124"/>
      <c r="V2372" s="11"/>
      <c r="W2372" s="124"/>
      <c r="X2372" s="128"/>
      <c r="Y2372" s="129"/>
    </row>
    <row r="2373" spans="14:25" x14ac:dyDescent="0.25">
      <c r="N2373" s="125"/>
      <c r="O2373" s="125"/>
      <c r="P2373" s="126"/>
      <c r="Q2373" s="62"/>
      <c r="R2373" s="62"/>
      <c r="S2373" s="127"/>
      <c r="T2373" s="11"/>
      <c r="U2373" s="124"/>
      <c r="V2373" s="11"/>
      <c r="W2373" s="124"/>
      <c r="X2373" s="128"/>
      <c r="Y2373" s="129"/>
    </row>
    <row r="2374" spans="14:25" x14ac:dyDescent="0.25">
      <c r="N2374" s="125"/>
      <c r="O2374" s="125"/>
      <c r="P2374" s="126"/>
      <c r="Q2374" s="62"/>
      <c r="R2374" s="62"/>
      <c r="S2374" s="127"/>
      <c r="T2374" s="11"/>
      <c r="U2374" s="124"/>
      <c r="V2374" s="11"/>
      <c r="W2374" s="124"/>
      <c r="X2374" s="128"/>
      <c r="Y2374" s="129"/>
    </row>
    <row r="2375" spans="14:25" x14ac:dyDescent="0.25">
      <c r="N2375" s="125"/>
      <c r="O2375" s="125"/>
      <c r="P2375" s="126"/>
      <c r="Q2375" s="62"/>
      <c r="R2375" s="62"/>
      <c r="S2375" s="127"/>
      <c r="T2375" s="11"/>
      <c r="U2375" s="124"/>
      <c r="V2375" s="11"/>
      <c r="W2375" s="124"/>
      <c r="X2375" s="128"/>
      <c r="Y2375" s="129"/>
    </row>
    <row r="2376" spans="14:25" x14ac:dyDescent="0.25">
      <c r="N2376" s="125"/>
      <c r="O2376" s="125"/>
      <c r="P2376" s="126"/>
      <c r="Q2376" s="62"/>
      <c r="R2376" s="62"/>
      <c r="S2376" s="127"/>
      <c r="T2376" s="11"/>
      <c r="U2376" s="124"/>
      <c r="V2376" s="11"/>
      <c r="W2376" s="124"/>
      <c r="X2376" s="128"/>
      <c r="Y2376" s="129"/>
    </row>
    <row r="2377" spans="14:25" x14ac:dyDescent="0.25">
      <c r="N2377" s="125"/>
      <c r="O2377" s="125"/>
      <c r="P2377" s="126"/>
      <c r="Q2377" s="62"/>
      <c r="R2377" s="62"/>
      <c r="S2377" s="127"/>
      <c r="T2377" s="11"/>
      <c r="U2377" s="124"/>
      <c r="V2377" s="11"/>
      <c r="W2377" s="124"/>
      <c r="X2377" s="128"/>
      <c r="Y2377" s="129"/>
    </row>
    <row r="2378" spans="14:25" x14ac:dyDescent="0.25">
      <c r="N2378" s="125"/>
      <c r="O2378" s="125"/>
      <c r="P2378" s="126"/>
      <c r="Q2378" s="62"/>
      <c r="R2378" s="62"/>
      <c r="S2378" s="127"/>
      <c r="T2378" s="11"/>
      <c r="U2378" s="124"/>
      <c r="V2378" s="11"/>
      <c r="W2378" s="124"/>
      <c r="X2378" s="128"/>
      <c r="Y2378" s="129"/>
    </row>
    <row r="2379" spans="14:25" x14ac:dyDescent="0.25">
      <c r="N2379" s="125"/>
      <c r="O2379" s="125"/>
      <c r="P2379" s="126"/>
      <c r="Q2379" s="62"/>
      <c r="R2379" s="62"/>
      <c r="S2379" s="127"/>
      <c r="T2379" s="11"/>
      <c r="U2379" s="124"/>
      <c r="V2379" s="11"/>
      <c r="W2379" s="124"/>
      <c r="X2379" s="128"/>
      <c r="Y2379" s="129"/>
    </row>
    <row r="2380" spans="14:25" x14ac:dyDescent="0.25">
      <c r="N2380" s="125"/>
      <c r="O2380" s="125"/>
      <c r="P2380" s="126"/>
      <c r="Q2380" s="62"/>
      <c r="R2380" s="62"/>
      <c r="S2380" s="127"/>
      <c r="T2380" s="11"/>
      <c r="U2380" s="124"/>
      <c r="V2380" s="11"/>
      <c r="W2380" s="124"/>
      <c r="X2380" s="128"/>
      <c r="Y2380" s="129"/>
    </row>
    <row r="2381" spans="14:25" x14ac:dyDescent="0.25">
      <c r="N2381" s="125"/>
      <c r="O2381" s="125"/>
      <c r="P2381" s="126"/>
      <c r="Q2381" s="62"/>
      <c r="R2381" s="62"/>
      <c r="S2381" s="127"/>
      <c r="T2381" s="11"/>
      <c r="U2381" s="124"/>
      <c r="V2381" s="11"/>
      <c r="W2381" s="124"/>
      <c r="X2381" s="128"/>
      <c r="Y2381" s="129"/>
    </row>
    <row r="2382" spans="14:25" x14ac:dyDescent="0.25">
      <c r="N2382" s="125"/>
      <c r="O2382" s="125"/>
      <c r="P2382" s="126"/>
      <c r="Q2382" s="62"/>
      <c r="R2382" s="62"/>
      <c r="S2382" s="127"/>
      <c r="T2382" s="11"/>
      <c r="U2382" s="124"/>
      <c r="V2382" s="11"/>
      <c r="W2382" s="124"/>
      <c r="X2382" s="128"/>
      <c r="Y2382" s="129"/>
    </row>
    <row r="2383" spans="14:25" x14ac:dyDescent="0.25">
      <c r="N2383" s="125"/>
      <c r="O2383" s="125"/>
      <c r="P2383" s="126"/>
      <c r="Q2383" s="62"/>
      <c r="R2383" s="62"/>
      <c r="S2383" s="127"/>
      <c r="T2383" s="11"/>
      <c r="U2383" s="124"/>
      <c r="V2383" s="11"/>
      <c r="W2383" s="124"/>
      <c r="X2383" s="128"/>
      <c r="Y2383" s="129"/>
    </row>
    <row r="2384" spans="14:25" x14ac:dyDescent="0.25">
      <c r="N2384" s="125"/>
      <c r="O2384" s="125"/>
      <c r="P2384" s="126"/>
      <c r="Q2384" s="62"/>
      <c r="R2384" s="62"/>
      <c r="S2384" s="127"/>
      <c r="T2384" s="11"/>
      <c r="U2384" s="124"/>
      <c r="V2384" s="11"/>
      <c r="W2384" s="124"/>
      <c r="X2384" s="128"/>
      <c r="Y2384" s="129"/>
    </row>
    <row r="2385" spans="14:25" x14ac:dyDescent="0.25">
      <c r="N2385" s="125"/>
      <c r="O2385" s="125"/>
      <c r="P2385" s="126"/>
      <c r="Q2385" s="62"/>
      <c r="R2385" s="62"/>
      <c r="S2385" s="127"/>
      <c r="T2385" s="11"/>
      <c r="U2385" s="124"/>
      <c r="V2385" s="11"/>
      <c r="W2385" s="124"/>
      <c r="X2385" s="128"/>
      <c r="Y2385" s="129"/>
    </row>
    <row r="2386" spans="14:25" x14ac:dyDescent="0.25">
      <c r="N2386" s="125"/>
      <c r="O2386" s="125"/>
      <c r="P2386" s="126"/>
      <c r="Q2386" s="62"/>
      <c r="R2386" s="62"/>
      <c r="S2386" s="127"/>
      <c r="T2386" s="11"/>
      <c r="U2386" s="124"/>
      <c r="V2386" s="11"/>
      <c r="W2386" s="124"/>
      <c r="X2386" s="128"/>
      <c r="Y2386" s="129"/>
    </row>
    <row r="2387" spans="14:25" x14ac:dyDescent="0.25">
      <c r="N2387" s="125"/>
      <c r="O2387" s="125"/>
      <c r="P2387" s="126"/>
      <c r="Q2387" s="62"/>
      <c r="R2387" s="62"/>
      <c r="S2387" s="127"/>
      <c r="T2387" s="11"/>
      <c r="U2387" s="124"/>
      <c r="V2387" s="11"/>
      <c r="W2387" s="124"/>
      <c r="X2387" s="128"/>
      <c r="Y2387" s="129"/>
    </row>
    <row r="2388" spans="14:25" x14ac:dyDescent="0.25">
      <c r="N2388" s="125"/>
      <c r="O2388" s="125"/>
      <c r="P2388" s="126"/>
      <c r="Q2388" s="62"/>
      <c r="R2388" s="62"/>
      <c r="S2388" s="127"/>
      <c r="T2388" s="11"/>
      <c r="U2388" s="124"/>
      <c r="V2388" s="11"/>
      <c r="W2388" s="124"/>
      <c r="X2388" s="128"/>
      <c r="Y2388" s="129"/>
    </row>
    <row r="2389" spans="14:25" x14ac:dyDescent="0.25">
      <c r="N2389" s="125"/>
      <c r="O2389" s="125"/>
      <c r="P2389" s="126"/>
      <c r="Q2389" s="62"/>
      <c r="R2389" s="62"/>
      <c r="S2389" s="127"/>
      <c r="T2389" s="11"/>
      <c r="U2389" s="124"/>
      <c r="V2389" s="11"/>
      <c r="W2389" s="124"/>
      <c r="X2389" s="128"/>
      <c r="Y2389" s="129"/>
    </row>
    <row r="2390" spans="14:25" x14ac:dyDescent="0.25">
      <c r="N2390" s="125"/>
      <c r="O2390" s="125"/>
      <c r="P2390" s="126"/>
      <c r="Q2390" s="62"/>
      <c r="R2390" s="62"/>
      <c r="S2390" s="127"/>
      <c r="T2390" s="11"/>
      <c r="U2390" s="124"/>
      <c r="V2390" s="11"/>
      <c r="W2390" s="124"/>
      <c r="X2390" s="128"/>
      <c r="Y2390" s="129"/>
    </row>
    <row r="2391" spans="14:25" x14ac:dyDescent="0.25">
      <c r="N2391" s="125"/>
      <c r="O2391" s="125"/>
      <c r="P2391" s="126"/>
      <c r="Q2391" s="62"/>
      <c r="R2391" s="62"/>
      <c r="S2391" s="127"/>
      <c r="T2391" s="11"/>
      <c r="U2391" s="124"/>
      <c r="V2391" s="11"/>
      <c r="W2391" s="124"/>
      <c r="X2391" s="128"/>
      <c r="Y2391" s="129"/>
    </row>
    <row r="2392" spans="14:25" x14ac:dyDescent="0.25">
      <c r="N2392" s="125"/>
      <c r="O2392" s="125"/>
      <c r="P2392" s="126"/>
      <c r="Q2392" s="62"/>
      <c r="R2392" s="62"/>
      <c r="S2392" s="127"/>
      <c r="T2392" s="11"/>
      <c r="U2392" s="124"/>
      <c r="V2392" s="11"/>
      <c r="W2392" s="124"/>
      <c r="X2392" s="128"/>
      <c r="Y2392" s="129"/>
    </row>
    <row r="2393" spans="14:25" x14ac:dyDescent="0.25">
      <c r="N2393" s="125"/>
      <c r="O2393" s="125"/>
      <c r="P2393" s="126"/>
      <c r="Q2393" s="62"/>
      <c r="R2393" s="62"/>
      <c r="S2393" s="127"/>
      <c r="T2393" s="11"/>
      <c r="U2393" s="124"/>
      <c r="V2393" s="11"/>
      <c r="W2393" s="124"/>
      <c r="X2393" s="128"/>
      <c r="Y2393" s="129"/>
    </row>
    <row r="2394" spans="14:25" x14ac:dyDescent="0.25">
      <c r="N2394" s="125"/>
      <c r="O2394" s="125"/>
      <c r="P2394" s="126"/>
      <c r="Q2394" s="62"/>
      <c r="R2394" s="62"/>
      <c r="S2394" s="127"/>
      <c r="T2394" s="11"/>
      <c r="U2394" s="124"/>
      <c r="V2394" s="11"/>
      <c r="W2394" s="124"/>
      <c r="X2394" s="128"/>
      <c r="Y2394" s="129"/>
    </row>
    <row r="2395" spans="14:25" x14ac:dyDescent="0.25">
      <c r="N2395" s="125"/>
      <c r="O2395" s="125"/>
      <c r="P2395" s="126"/>
      <c r="Q2395" s="62"/>
      <c r="R2395" s="62"/>
      <c r="S2395" s="127"/>
      <c r="T2395" s="11"/>
      <c r="U2395" s="124"/>
      <c r="V2395" s="11"/>
      <c r="W2395" s="124"/>
      <c r="X2395" s="128"/>
      <c r="Y2395" s="129"/>
    </row>
    <row r="2396" spans="14:25" x14ac:dyDescent="0.25">
      <c r="N2396" s="125"/>
      <c r="O2396" s="125"/>
      <c r="P2396" s="126"/>
      <c r="Q2396" s="62"/>
      <c r="R2396" s="62"/>
      <c r="S2396" s="127"/>
      <c r="T2396" s="11"/>
      <c r="U2396" s="124"/>
      <c r="V2396" s="11"/>
      <c r="W2396" s="124"/>
      <c r="X2396" s="128"/>
      <c r="Y2396" s="129"/>
    </row>
    <row r="2397" spans="14:25" x14ac:dyDescent="0.25">
      <c r="N2397" s="125"/>
      <c r="O2397" s="125"/>
      <c r="P2397" s="126"/>
      <c r="Q2397" s="62"/>
      <c r="R2397" s="62"/>
      <c r="S2397" s="127"/>
      <c r="T2397" s="11"/>
      <c r="U2397" s="124"/>
      <c r="V2397" s="11"/>
      <c r="W2397" s="124"/>
      <c r="X2397" s="128"/>
      <c r="Y2397" s="129"/>
    </row>
    <row r="2398" spans="14:25" x14ac:dyDescent="0.25">
      <c r="N2398" s="125"/>
      <c r="O2398" s="125"/>
      <c r="P2398" s="126"/>
      <c r="Q2398" s="62"/>
      <c r="R2398" s="62"/>
      <c r="S2398" s="127"/>
      <c r="T2398" s="11"/>
      <c r="U2398" s="124"/>
      <c r="V2398" s="11"/>
      <c r="W2398" s="124"/>
      <c r="X2398" s="128"/>
      <c r="Y2398" s="129"/>
    </row>
    <row r="2399" spans="14:25" x14ac:dyDescent="0.25">
      <c r="N2399" s="125"/>
      <c r="O2399" s="125"/>
      <c r="P2399" s="126"/>
      <c r="Q2399" s="62"/>
      <c r="R2399" s="62"/>
      <c r="S2399" s="127"/>
      <c r="T2399" s="11"/>
      <c r="U2399" s="124"/>
      <c r="V2399" s="11"/>
      <c r="W2399" s="124"/>
      <c r="X2399" s="128"/>
      <c r="Y2399" s="129"/>
    </row>
    <row r="2400" spans="14:25" x14ac:dyDescent="0.25">
      <c r="N2400" s="125"/>
      <c r="O2400" s="125"/>
      <c r="P2400" s="126"/>
      <c r="Q2400" s="62"/>
      <c r="R2400" s="62"/>
      <c r="S2400" s="127"/>
      <c r="T2400" s="11"/>
      <c r="U2400" s="124"/>
      <c r="V2400" s="11"/>
      <c r="W2400" s="124"/>
      <c r="X2400" s="128"/>
      <c r="Y2400" s="129"/>
    </row>
    <row r="2401" spans="14:25" x14ac:dyDescent="0.25">
      <c r="N2401" s="125"/>
      <c r="O2401" s="125"/>
      <c r="P2401" s="126"/>
      <c r="Q2401" s="62"/>
      <c r="R2401" s="62"/>
      <c r="S2401" s="127"/>
      <c r="T2401" s="11"/>
      <c r="U2401" s="124"/>
      <c r="V2401" s="11"/>
      <c r="W2401" s="124"/>
      <c r="X2401" s="128"/>
      <c r="Y2401" s="129"/>
    </row>
    <row r="2402" spans="14:25" x14ac:dyDescent="0.25">
      <c r="N2402" s="125"/>
      <c r="O2402" s="125"/>
      <c r="P2402" s="126"/>
      <c r="Q2402" s="62"/>
      <c r="R2402" s="62"/>
      <c r="S2402" s="127"/>
      <c r="T2402" s="11"/>
      <c r="U2402" s="124"/>
      <c r="V2402" s="11"/>
      <c r="W2402" s="124"/>
      <c r="X2402" s="128"/>
      <c r="Y2402" s="129"/>
    </row>
    <row r="2403" spans="14:25" x14ac:dyDescent="0.25">
      <c r="N2403" s="125"/>
      <c r="O2403" s="125"/>
      <c r="P2403" s="126"/>
      <c r="Q2403" s="62"/>
      <c r="R2403" s="62"/>
      <c r="S2403" s="127"/>
      <c r="T2403" s="11"/>
      <c r="U2403" s="124"/>
      <c r="V2403" s="11"/>
      <c r="W2403" s="124"/>
      <c r="X2403" s="128"/>
      <c r="Y2403" s="129"/>
    </row>
    <row r="2404" spans="14:25" x14ac:dyDescent="0.25">
      <c r="N2404" s="125"/>
      <c r="O2404" s="125"/>
      <c r="P2404" s="126"/>
      <c r="Q2404" s="62"/>
      <c r="R2404" s="62"/>
      <c r="S2404" s="127"/>
      <c r="T2404" s="11"/>
      <c r="U2404" s="124"/>
      <c r="V2404" s="11"/>
      <c r="W2404" s="124"/>
      <c r="X2404" s="128"/>
      <c r="Y2404" s="129"/>
    </row>
    <row r="2405" spans="14:25" x14ac:dyDescent="0.25">
      <c r="N2405" s="125"/>
      <c r="O2405" s="125"/>
      <c r="P2405" s="126"/>
      <c r="Q2405" s="62"/>
      <c r="R2405" s="62"/>
      <c r="S2405" s="127"/>
      <c r="T2405" s="11"/>
      <c r="U2405" s="124"/>
      <c r="V2405" s="11"/>
      <c r="W2405" s="124"/>
      <c r="X2405" s="128"/>
      <c r="Y2405" s="129"/>
    </row>
    <row r="2406" spans="14:25" x14ac:dyDescent="0.25">
      <c r="N2406" s="125"/>
      <c r="O2406" s="125"/>
      <c r="P2406" s="126"/>
      <c r="Q2406" s="62"/>
      <c r="R2406" s="62"/>
      <c r="S2406" s="127"/>
      <c r="T2406" s="11"/>
      <c r="U2406" s="124"/>
      <c r="V2406" s="11"/>
      <c r="W2406" s="124"/>
      <c r="X2406" s="128"/>
      <c r="Y2406" s="129"/>
    </row>
    <row r="2407" spans="14:25" x14ac:dyDescent="0.25">
      <c r="N2407" s="125"/>
      <c r="O2407" s="125"/>
      <c r="P2407" s="126"/>
      <c r="Q2407" s="62"/>
      <c r="R2407" s="62"/>
      <c r="S2407" s="127"/>
      <c r="T2407" s="11"/>
      <c r="U2407" s="124"/>
      <c r="V2407" s="11"/>
      <c r="W2407" s="124"/>
      <c r="X2407" s="128"/>
      <c r="Y2407" s="129"/>
    </row>
    <row r="2408" spans="14:25" x14ac:dyDescent="0.25">
      <c r="N2408" s="125"/>
      <c r="O2408" s="125"/>
      <c r="P2408" s="126"/>
      <c r="Q2408" s="62"/>
      <c r="R2408" s="62"/>
      <c r="S2408" s="127"/>
      <c r="T2408" s="11"/>
      <c r="U2408" s="124"/>
      <c r="V2408" s="11"/>
      <c r="W2408" s="124"/>
      <c r="X2408" s="128"/>
      <c r="Y2408" s="129"/>
    </row>
    <row r="2409" spans="14:25" x14ac:dyDescent="0.25">
      <c r="N2409" s="125"/>
      <c r="O2409" s="125"/>
      <c r="P2409" s="126"/>
      <c r="Q2409" s="62"/>
      <c r="R2409" s="62"/>
      <c r="S2409" s="127"/>
      <c r="T2409" s="11"/>
      <c r="U2409" s="124"/>
      <c r="V2409" s="11"/>
      <c r="W2409" s="124"/>
      <c r="X2409" s="128"/>
      <c r="Y2409" s="129"/>
    </row>
    <row r="2410" spans="14:25" x14ac:dyDescent="0.25">
      <c r="N2410" s="125"/>
      <c r="O2410" s="125"/>
      <c r="P2410" s="126"/>
      <c r="Q2410" s="62"/>
      <c r="R2410" s="62"/>
      <c r="S2410" s="127"/>
      <c r="T2410" s="11"/>
      <c r="U2410" s="124"/>
      <c r="V2410" s="11"/>
      <c r="W2410" s="124"/>
      <c r="X2410" s="128"/>
      <c r="Y2410" s="129"/>
    </row>
    <row r="2411" spans="14:25" x14ac:dyDescent="0.25">
      <c r="N2411" s="125"/>
      <c r="O2411" s="125"/>
      <c r="P2411" s="126"/>
      <c r="Q2411" s="62"/>
      <c r="R2411" s="62"/>
      <c r="S2411" s="127"/>
      <c r="T2411" s="11"/>
      <c r="U2411" s="124"/>
      <c r="V2411" s="11"/>
      <c r="W2411" s="124"/>
      <c r="X2411" s="128"/>
      <c r="Y2411" s="129"/>
    </row>
    <row r="2412" spans="14:25" x14ac:dyDescent="0.25">
      <c r="N2412" s="125"/>
      <c r="O2412" s="125"/>
      <c r="P2412" s="126"/>
      <c r="Q2412" s="62"/>
      <c r="R2412" s="62"/>
      <c r="S2412" s="127"/>
      <c r="T2412" s="11"/>
      <c r="U2412" s="124"/>
      <c r="V2412" s="11"/>
      <c r="W2412" s="124"/>
      <c r="X2412" s="128"/>
      <c r="Y2412" s="129"/>
    </row>
    <row r="2413" spans="14:25" x14ac:dyDescent="0.25">
      <c r="N2413" s="125"/>
      <c r="O2413" s="125"/>
      <c r="P2413" s="126"/>
      <c r="Q2413" s="62"/>
      <c r="R2413" s="62"/>
      <c r="S2413" s="127"/>
      <c r="T2413" s="11"/>
      <c r="U2413" s="124"/>
      <c r="V2413" s="11"/>
      <c r="W2413" s="124"/>
      <c r="X2413" s="128"/>
      <c r="Y2413" s="129"/>
    </row>
    <row r="2414" spans="14:25" x14ac:dyDescent="0.25">
      <c r="N2414" s="125"/>
      <c r="O2414" s="125"/>
      <c r="P2414" s="126"/>
      <c r="Q2414" s="62"/>
      <c r="R2414" s="62"/>
      <c r="S2414" s="127"/>
      <c r="T2414" s="11"/>
      <c r="U2414" s="124"/>
      <c r="V2414" s="11"/>
      <c r="W2414" s="124"/>
      <c r="X2414" s="128"/>
      <c r="Y2414" s="129"/>
    </row>
    <row r="2415" spans="14:25" x14ac:dyDescent="0.25">
      <c r="N2415" s="125"/>
      <c r="O2415" s="125"/>
      <c r="P2415" s="126"/>
      <c r="Q2415" s="62"/>
      <c r="R2415" s="62"/>
      <c r="S2415" s="127"/>
      <c r="T2415" s="11"/>
      <c r="U2415" s="124"/>
      <c r="V2415" s="11"/>
      <c r="W2415" s="124"/>
      <c r="X2415" s="128"/>
      <c r="Y2415" s="129"/>
    </row>
    <row r="2416" spans="14:25" x14ac:dyDescent="0.25">
      <c r="N2416" s="125"/>
      <c r="O2416" s="125"/>
      <c r="P2416" s="126"/>
      <c r="Q2416" s="62"/>
      <c r="R2416" s="62"/>
      <c r="S2416" s="127"/>
      <c r="T2416" s="11"/>
      <c r="U2416" s="124"/>
      <c r="V2416" s="11"/>
      <c r="W2416" s="124"/>
      <c r="X2416" s="128"/>
      <c r="Y2416" s="129"/>
    </row>
    <row r="2417" spans="14:25" x14ac:dyDescent="0.25">
      <c r="N2417" s="125"/>
      <c r="O2417" s="125"/>
      <c r="P2417" s="126"/>
      <c r="Q2417" s="62"/>
      <c r="R2417" s="62"/>
      <c r="S2417" s="127"/>
      <c r="T2417" s="11"/>
      <c r="U2417" s="124"/>
      <c r="V2417" s="11"/>
      <c r="W2417" s="124"/>
      <c r="X2417" s="128"/>
      <c r="Y2417" s="129"/>
    </row>
    <row r="2418" spans="14:25" x14ac:dyDescent="0.25">
      <c r="N2418" s="125"/>
      <c r="O2418" s="125"/>
      <c r="P2418" s="126"/>
      <c r="Q2418" s="62"/>
      <c r="R2418" s="62"/>
      <c r="S2418" s="127"/>
      <c r="T2418" s="11"/>
      <c r="U2418" s="124"/>
      <c r="V2418" s="11"/>
      <c r="W2418" s="124"/>
      <c r="X2418" s="128"/>
      <c r="Y2418" s="129"/>
    </row>
    <row r="2419" spans="14:25" x14ac:dyDescent="0.25">
      <c r="N2419" s="125"/>
      <c r="O2419" s="125"/>
      <c r="P2419" s="126"/>
      <c r="Q2419" s="62"/>
      <c r="R2419" s="62"/>
      <c r="S2419" s="127"/>
      <c r="T2419" s="11"/>
      <c r="U2419" s="124"/>
      <c r="V2419" s="11"/>
      <c r="W2419" s="124"/>
      <c r="X2419" s="128"/>
      <c r="Y2419" s="129"/>
    </row>
    <row r="2420" spans="14:25" x14ac:dyDescent="0.25">
      <c r="N2420" s="125"/>
      <c r="O2420" s="125"/>
      <c r="P2420" s="126"/>
      <c r="Q2420" s="62"/>
      <c r="R2420" s="62"/>
      <c r="S2420" s="127"/>
      <c r="T2420" s="11"/>
      <c r="U2420" s="124"/>
      <c r="V2420" s="11"/>
      <c r="W2420" s="124"/>
      <c r="X2420" s="128"/>
      <c r="Y2420" s="129"/>
    </row>
    <row r="2421" spans="14:25" x14ac:dyDescent="0.25">
      <c r="N2421" s="125"/>
      <c r="O2421" s="125"/>
      <c r="P2421" s="126"/>
      <c r="Q2421" s="62"/>
      <c r="R2421" s="62"/>
      <c r="S2421" s="127"/>
      <c r="T2421" s="11"/>
      <c r="U2421" s="124"/>
      <c r="V2421" s="11"/>
      <c r="W2421" s="124"/>
      <c r="X2421" s="128"/>
      <c r="Y2421" s="129"/>
    </row>
    <row r="2422" spans="14:25" x14ac:dyDescent="0.25">
      <c r="N2422" s="125"/>
      <c r="O2422" s="125"/>
      <c r="P2422" s="126"/>
      <c r="Q2422" s="62"/>
      <c r="R2422" s="62"/>
      <c r="S2422" s="127"/>
      <c r="T2422" s="11"/>
      <c r="U2422" s="124"/>
      <c r="V2422" s="11"/>
      <c r="W2422" s="124"/>
      <c r="X2422" s="128"/>
      <c r="Y2422" s="129"/>
    </row>
    <row r="2423" spans="14:25" x14ac:dyDescent="0.25">
      <c r="N2423" s="125"/>
      <c r="O2423" s="125"/>
      <c r="P2423" s="126"/>
      <c r="Q2423" s="62"/>
      <c r="R2423" s="62"/>
      <c r="S2423" s="127"/>
      <c r="T2423" s="11"/>
      <c r="U2423" s="124"/>
      <c r="V2423" s="11"/>
      <c r="W2423" s="124"/>
      <c r="X2423" s="128"/>
      <c r="Y2423" s="129"/>
    </row>
    <row r="2424" spans="14:25" x14ac:dyDescent="0.25">
      <c r="N2424" s="125"/>
      <c r="O2424" s="125"/>
      <c r="P2424" s="126"/>
      <c r="Q2424" s="62"/>
      <c r="R2424" s="62"/>
      <c r="S2424" s="127"/>
      <c r="T2424" s="11"/>
      <c r="U2424" s="124"/>
      <c r="V2424" s="11"/>
      <c r="W2424" s="124"/>
      <c r="X2424" s="128"/>
      <c r="Y2424" s="129"/>
    </row>
  </sheetData>
  <pageMargins left="0.7" right="0.7" top="0.75" bottom="0.75" header="0.3" footer="0.3"/>
  <pageSetup paperSize="9" orientation="portrait" horizontalDpi="180" verticalDpi="18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D0BA9-B45E-4B6E-87F8-A71A0A723617}">
  <sheetPr>
    <pageSetUpPr fitToPage="1"/>
  </sheetPr>
  <dimension ref="A1:P119"/>
  <sheetViews>
    <sheetView tabSelected="1" workbookViewId="0">
      <selection activeCell="I76" sqref="I76"/>
    </sheetView>
  </sheetViews>
  <sheetFormatPr defaultRowHeight="15" x14ac:dyDescent="0.25"/>
  <cols>
    <col min="1" max="1" width="9" customWidth="1"/>
    <col min="2" max="2" width="26" customWidth="1"/>
    <col min="3" max="3" width="12.28515625" customWidth="1"/>
    <col min="4" max="4" width="23.140625" customWidth="1"/>
    <col min="5" max="5" width="11.7109375" customWidth="1"/>
    <col min="7" max="7" width="12" bestFit="1" customWidth="1"/>
    <col min="8" max="8" width="13.5703125" style="149" customWidth="1"/>
    <col min="9" max="9" width="12.85546875" customWidth="1"/>
    <col min="10" max="10" width="13.7109375" customWidth="1"/>
    <col min="11" max="11" width="16.7109375" customWidth="1"/>
  </cols>
  <sheetData>
    <row r="1" spans="1:16" x14ac:dyDescent="0.25">
      <c r="A1" s="130" t="s">
        <v>50</v>
      </c>
      <c r="B1" s="131" t="s">
        <v>51</v>
      </c>
      <c r="C1" s="130" t="s">
        <v>52</v>
      </c>
      <c r="D1" s="130" t="s">
        <v>4</v>
      </c>
      <c r="E1" s="130" t="s">
        <v>53</v>
      </c>
      <c r="F1" s="130" t="s">
        <v>54</v>
      </c>
      <c r="G1" s="130" t="s">
        <v>55</v>
      </c>
      <c r="H1" s="132" t="s">
        <v>56</v>
      </c>
      <c r="I1" s="131" t="s">
        <v>57</v>
      </c>
      <c r="J1" s="130" t="s">
        <v>58</v>
      </c>
    </row>
    <row r="2" spans="1:16" x14ac:dyDescent="0.25">
      <c r="A2" s="133">
        <v>1</v>
      </c>
      <c r="B2" s="134" t="s">
        <v>59</v>
      </c>
      <c r="C2" s="134" t="s">
        <v>60</v>
      </c>
      <c r="D2" s="134" t="s">
        <v>61</v>
      </c>
      <c r="E2" s="134" t="s">
        <v>62</v>
      </c>
      <c r="F2" s="134">
        <v>2023</v>
      </c>
      <c r="G2" s="134">
        <v>4116</v>
      </c>
      <c r="H2" s="135">
        <v>46174</v>
      </c>
      <c r="I2" s="134"/>
      <c r="J2" s="134"/>
      <c r="K2" s="136"/>
    </row>
    <row r="3" spans="1:16" x14ac:dyDescent="0.25">
      <c r="A3" s="133">
        <v>2</v>
      </c>
      <c r="B3" s="134" t="s">
        <v>63</v>
      </c>
      <c r="C3" s="134" t="s">
        <v>64</v>
      </c>
      <c r="D3" s="134" t="s">
        <v>65</v>
      </c>
      <c r="E3" s="134" t="s">
        <v>66</v>
      </c>
      <c r="F3" s="134">
        <v>2019</v>
      </c>
      <c r="G3" s="134">
        <v>237856</v>
      </c>
      <c r="H3" s="135">
        <v>46175</v>
      </c>
      <c r="I3" s="134"/>
      <c r="J3" s="134"/>
      <c r="K3" s="137"/>
      <c r="N3" s="137"/>
    </row>
    <row r="4" spans="1:16" x14ac:dyDescent="0.25">
      <c r="A4" s="133">
        <v>3</v>
      </c>
      <c r="B4" s="134" t="s">
        <v>67</v>
      </c>
      <c r="C4" s="134" t="s">
        <v>68</v>
      </c>
      <c r="D4" s="134" t="s">
        <v>69</v>
      </c>
      <c r="E4" s="134" t="s">
        <v>70</v>
      </c>
      <c r="F4" s="134">
        <v>2016</v>
      </c>
      <c r="G4" s="134">
        <v>142626</v>
      </c>
      <c r="H4" s="135">
        <v>46175</v>
      </c>
      <c r="I4" s="134"/>
      <c r="J4" s="134"/>
      <c r="K4" s="137"/>
      <c r="N4" s="137"/>
    </row>
    <row r="5" spans="1:16" x14ac:dyDescent="0.25">
      <c r="A5" s="138">
        <v>4</v>
      </c>
      <c r="B5" s="134" t="s">
        <v>63</v>
      </c>
      <c r="C5" s="134" t="s">
        <v>71</v>
      </c>
      <c r="D5" s="134" t="s">
        <v>72</v>
      </c>
      <c r="E5" s="134" t="s">
        <v>73</v>
      </c>
      <c r="F5" s="134">
        <v>2020</v>
      </c>
      <c r="G5" s="134">
        <v>209733</v>
      </c>
      <c r="H5" s="135">
        <v>46176</v>
      </c>
      <c r="I5" s="134"/>
      <c r="J5" s="134"/>
      <c r="K5" s="137"/>
      <c r="N5" s="137"/>
    </row>
    <row r="6" spans="1:16" x14ac:dyDescent="0.25">
      <c r="A6" s="133">
        <v>5</v>
      </c>
      <c r="B6" s="133" t="s">
        <v>67</v>
      </c>
      <c r="C6" s="138" t="s">
        <v>74</v>
      </c>
      <c r="D6" s="134" t="s">
        <v>75</v>
      </c>
      <c r="E6" s="139" t="s">
        <v>76</v>
      </c>
      <c r="F6" s="139">
        <v>2019</v>
      </c>
      <c r="G6" s="134">
        <v>138364</v>
      </c>
      <c r="H6" s="135">
        <v>46176</v>
      </c>
      <c r="I6" s="134"/>
      <c r="J6" s="134"/>
      <c r="K6" s="136" t="s">
        <v>67</v>
      </c>
      <c r="L6" t="s">
        <v>74</v>
      </c>
      <c r="N6" s="137"/>
      <c r="O6" s="140" t="s">
        <v>77</v>
      </c>
      <c r="P6" s="141" t="s">
        <v>78</v>
      </c>
    </row>
    <row r="7" spans="1:16" x14ac:dyDescent="0.25">
      <c r="A7" s="133">
        <v>6</v>
      </c>
      <c r="B7" s="134" t="s">
        <v>63</v>
      </c>
      <c r="C7" s="134" t="s">
        <v>79</v>
      </c>
      <c r="D7" s="134" t="s">
        <v>80</v>
      </c>
      <c r="E7" s="134" t="s">
        <v>81</v>
      </c>
      <c r="F7" s="134">
        <v>2018</v>
      </c>
      <c r="G7" s="134">
        <v>320689</v>
      </c>
      <c r="H7" s="135">
        <v>46176</v>
      </c>
      <c r="I7" s="134"/>
      <c r="J7" s="134"/>
      <c r="K7" s="137"/>
      <c r="N7" s="137"/>
      <c r="O7" s="140" t="s">
        <v>82</v>
      </c>
      <c r="P7" s="141" t="s">
        <v>83</v>
      </c>
    </row>
    <row r="8" spans="1:16" x14ac:dyDescent="0.25">
      <c r="A8" s="133">
        <v>7</v>
      </c>
      <c r="B8" s="133" t="s">
        <v>84</v>
      </c>
      <c r="C8" s="133" t="s">
        <v>85</v>
      </c>
      <c r="D8" s="134" t="s">
        <v>86</v>
      </c>
      <c r="E8" s="134" t="s">
        <v>87</v>
      </c>
      <c r="F8" s="134">
        <v>2020</v>
      </c>
      <c r="G8" s="134">
        <v>40010</v>
      </c>
      <c r="H8" s="135">
        <v>46176</v>
      </c>
      <c r="I8" s="134"/>
      <c r="J8" s="134"/>
      <c r="L8" s="137" t="s">
        <v>84</v>
      </c>
      <c r="M8" t="s">
        <v>85</v>
      </c>
      <c r="O8" s="141" t="s">
        <v>88</v>
      </c>
      <c r="P8" s="141" t="s">
        <v>89</v>
      </c>
    </row>
    <row r="9" spans="1:16" x14ac:dyDescent="0.25">
      <c r="A9" s="138">
        <v>8</v>
      </c>
      <c r="B9" s="134" t="s">
        <v>90</v>
      </c>
      <c r="C9" s="134" t="s">
        <v>91</v>
      </c>
      <c r="D9" s="134" t="s">
        <v>92</v>
      </c>
      <c r="E9" s="134" t="s">
        <v>93</v>
      </c>
      <c r="F9" s="134">
        <v>2014</v>
      </c>
      <c r="G9" s="134">
        <v>356419</v>
      </c>
      <c r="H9" s="135">
        <v>46177</v>
      </c>
      <c r="I9" s="134"/>
      <c r="J9" s="134"/>
      <c r="K9" s="136"/>
      <c r="O9" s="141" t="s">
        <v>94</v>
      </c>
      <c r="P9" s="141" t="s">
        <v>95</v>
      </c>
    </row>
    <row r="10" spans="1:16" x14ac:dyDescent="0.25">
      <c r="A10" s="133">
        <v>9</v>
      </c>
      <c r="B10" s="134" t="s">
        <v>96</v>
      </c>
      <c r="C10" s="134" t="s">
        <v>97</v>
      </c>
      <c r="D10" s="134" t="s">
        <v>98</v>
      </c>
      <c r="E10" s="134" t="s">
        <v>99</v>
      </c>
      <c r="F10" s="134">
        <v>2019</v>
      </c>
      <c r="G10" s="134">
        <v>126256</v>
      </c>
      <c r="H10" s="135">
        <v>46177</v>
      </c>
      <c r="I10" s="134"/>
      <c r="J10" s="134"/>
      <c r="K10" s="136"/>
      <c r="N10" s="136"/>
    </row>
    <row r="11" spans="1:16" x14ac:dyDescent="0.25">
      <c r="A11" s="133">
        <v>10</v>
      </c>
      <c r="B11" s="133" t="s">
        <v>100</v>
      </c>
      <c r="C11" s="138" t="s">
        <v>101</v>
      </c>
      <c r="D11" s="134" t="s">
        <v>102</v>
      </c>
      <c r="E11" s="139" t="s">
        <v>103</v>
      </c>
      <c r="F11" s="139">
        <v>2015</v>
      </c>
      <c r="G11" s="142">
        <v>275410</v>
      </c>
      <c r="H11" s="135">
        <v>46177</v>
      </c>
      <c r="I11" s="134"/>
      <c r="J11" s="134"/>
      <c r="K11" s="137" t="s">
        <v>100</v>
      </c>
      <c r="L11" t="s">
        <v>101</v>
      </c>
      <c r="N11" s="136"/>
    </row>
    <row r="12" spans="1:16" x14ac:dyDescent="0.25">
      <c r="A12" s="133">
        <v>11</v>
      </c>
      <c r="B12" s="133" t="s">
        <v>104</v>
      </c>
      <c r="C12" s="133" t="s">
        <v>105</v>
      </c>
      <c r="D12" s="134" t="s">
        <v>106</v>
      </c>
      <c r="E12" s="134" t="s">
        <v>107</v>
      </c>
      <c r="F12" s="134">
        <v>2017</v>
      </c>
      <c r="G12" s="134">
        <v>176666</v>
      </c>
      <c r="H12" s="135">
        <v>46177</v>
      </c>
      <c r="I12" s="134"/>
      <c r="J12" s="143"/>
      <c r="L12" s="144" t="s">
        <v>104</v>
      </c>
      <c r="M12" t="s">
        <v>105</v>
      </c>
      <c r="N12" s="136"/>
    </row>
    <row r="13" spans="1:16" x14ac:dyDescent="0.25">
      <c r="A13" s="138">
        <v>12</v>
      </c>
      <c r="B13" s="133" t="s">
        <v>108</v>
      </c>
      <c r="C13" s="133" t="s">
        <v>109</v>
      </c>
      <c r="D13" s="134" t="s">
        <v>110</v>
      </c>
      <c r="E13" s="134" t="s">
        <v>111</v>
      </c>
      <c r="F13" s="134">
        <v>2020</v>
      </c>
      <c r="G13" s="134">
        <v>108974</v>
      </c>
      <c r="H13" s="135">
        <v>46178</v>
      </c>
      <c r="I13" s="134"/>
      <c r="J13" s="134"/>
      <c r="K13" s="144"/>
      <c r="N13" s="144"/>
    </row>
    <row r="14" spans="1:16" x14ac:dyDescent="0.25">
      <c r="A14" s="133">
        <v>13</v>
      </c>
      <c r="B14" s="134" t="s">
        <v>67</v>
      </c>
      <c r="C14" s="134" t="s">
        <v>112</v>
      </c>
      <c r="D14" s="134" t="s">
        <v>113</v>
      </c>
      <c r="E14" s="134" t="s">
        <v>114</v>
      </c>
      <c r="F14" s="134">
        <v>2019</v>
      </c>
      <c r="G14" s="134">
        <v>138585</v>
      </c>
      <c r="H14" s="135">
        <v>46178</v>
      </c>
      <c r="I14" s="134"/>
      <c r="J14" s="134"/>
    </row>
    <row r="15" spans="1:16" x14ac:dyDescent="0.25">
      <c r="A15" s="133">
        <v>14</v>
      </c>
      <c r="B15" s="134" t="s">
        <v>67</v>
      </c>
      <c r="C15" s="134" t="s">
        <v>115</v>
      </c>
      <c r="D15" s="134" t="s">
        <v>116</v>
      </c>
      <c r="E15" s="134" t="s">
        <v>117</v>
      </c>
      <c r="F15" s="134">
        <v>2019</v>
      </c>
      <c r="G15" s="134">
        <v>132853</v>
      </c>
      <c r="H15" s="135">
        <v>46178</v>
      </c>
      <c r="I15" s="134"/>
      <c r="J15" s="134"/>
    </row>
    <row r="16" spans="1:16" x14ac:dyDescent="0.25">
      <c r="A16" s="133">
        <v>15</v>
      </c>
      <c r="B16" s="133" t="s">
        <v>118</v>
      </c>
      <c r="C16" s="138" t="s">
        <v>119</v>
      </c>
      <c r="D16" s="134" t="s">
        <v>120</v>
      </c>
      <c r="E16" s="139" t="s">
        <v>121</v>
      </c>
      <c r="F16" s="139">
        <v>2020</v>
      </c>
      <c r="G16" s="142">
        <v>159663</v>
      </c>
      <c r="H16" s="135">
        <v>46178</v>
      </c>
      <c r="I16" s="134"/>
      <c r="J16" s="134"/>
      <c r="K16" s="136" t="s">
        <v>118</v>
      </c>
      <c r="L16" t="s">
        <v>119</v>
      </c>
    </row>
    <row r="17" spans="1:13" x14ac:dyDescent="0.25">
      <c r="A17" s="138">
        <v>16</v>
      </c>
      <c r="B17" s="134" t="s">
        <v>122</v>
      </c>
      <c r="C17" s="134" t="s">
        <v>123</v>
      </c>
      <c r="D17" s="134" t="s">
        <v>124</v>
      </c>
      <c r="E17" s="134" t="s">
        <v>125</v>
      </c>
      <c r="F17" s="134">
        <v>2013</v>
      </c>
      <c r="G17" s="134">
        <v>201139</v>
      </c>
      <c r="H17" s="135">
        <v>46179</v>
      </c>
      <c r="I17" s="134"/>
      <c r="J17" s="134"/>
      <c r="K17" s="145"/>
    </row>
    <row r="18" spans="1:13" x14ac:dyDescent="0.25">
      <c r="A18" s="133">
        <v>17</v>
      </c>
      <c r="B18" s="133" t="s">
        <v>82</v>
      </c>
      <c r="C18" s="133" t="s">
        <v>126</v>
      </c>
      <c r="D18" s="134" t="s">
        <v>127</v>
      </c>
      <c r="E18" s="134" t="s">
        <v>128</v>
      </c>
      <c r="F18" s="134">
        <v>2021</v>
      </c>
      <c r="G18" s="134">
        <v>192073</v>
      </c>
      <c r="H18" s="135">
        <v>46179</v>
      </c>
      <c r="I18" s="134"/>
      <c r="J18" s="134"/>
    </row>
    <row r="19" spans="1:13" x14ac:dyDescent="0.25">
      <c r="A19" s="133">
        <v>18</v>
      </c>
      <c r="B19" s="133" t="s">
        <v>129</v>
      </c>
      <c r="C19" s="133" t="s">
        <v>130</v>
      </c>
      <c r="D19" s="134" t="s">
        <v>131</v>
      </c>
      <c r="E19" s="134" t="s">
        <v>132</v>
      </c>
      <c r="F19" s="134">
        <v>2023</v>
      </c>
      <c r="G19" s="134">
        <v>22625</v>
      </c>
      <c r="H19" s="135">
        <v>46179</v>
      </c>
      <c r="I19" s="134"/>
      <c r="J19" s="134"/>
      <c r="K19" t="s">
        <v>129</v>
      </c>
      <c r="L19" t="s">
        <v>130</v>
      </c>
    </row>
    <row r="20" spans="1:13" x14ac:dyDescent="0.25">
      <c r="A20" s="133">
        <v>19</v>
      </c>
      <c r="B20" s="134" t="s">
        <v>63</v>
      </c>
      <c r="C20" s="134" t="s">
        <v>133</v>
      </c>
      <c r="D20" s="134" t="s">
        <v>134</v>
      </c>
      <c r="E20" s="134" t="s">
        <v>135</v>
      </c>
      <c r="F20" s="134">
        <v>2020</v>
      </c>
      <c r="G20" s="134">
        <v>162007</v>
      </c>
      <c r="H20" s="135">
        <v>46179</v>
      </c>
      <c r="I20" s="134"/>
      <c r="J20" s="134"/>
      <c r="K20" s="137"/>
    </row>
    <row r="21" spans="1:13" x14ac:dyDescent="0.25">
      <c r="A21" s="138">
        <v>20</v>
      </c>
      <c r="B21" s="134" t="s">
        <v>136</v>
      </c>
      <c r="C21" s="134" t="s">
        <v>137</v>
      </c>
      <c r="D21" s="134" t="s">
        <v>138</v>
      </c>
      <c r="E21" s="134" t="s">
        <v>139</v>
      </c>
      <c r="F21" s="134">
        <v>2016</v>
      </c>
      <c r="G21" s="134">
        <v>137401</v>
      </c>
      <c r="H21" s="135">
        <v>46181</v>
      </c>
      <c r="I21" s="134"/>
      <c r="J21" s="134"/>
      <c r="K21" s="137"/>
    </row>
    <row r="22" spans="1:13" x14ac:dyDescent="0.25">
      <c r="A22" s="133">
        <v>21</v>
      </c>
      <c r="B22" s="134" t="s">
        <v>140</v>
      </c>
      <c r="C22" s="134" t="s">
        <v>141</v>
      </c>
      <c r="D22" s="134" t="s">
        <v>142</v>
      </c>
      <c r="E22" s="134" t="s">
        <v>143</v>
      </c>
      <c r="F22" s="134">
        <v>2020</v>
      </c>
      <c r="G22" s="134">
        <v>35665</v>
      </c>
      <c r="H22" s="135">
        <v>46181</v>
      </c>
      <c r="I22" s="134"/>
      <c r="J22" s="134"/>
      <c r="L22" s="137" t="s">
        <v>140</v>
      </c>
      <c r="M22" t="s">
        <v>141</v>
      </c>
    </row>
    <row r="23" spans="1:13" x14ac:dyDescent="0.25">
      <c r="A23" s="133">
        <v>22</v>
      </c>
      <c r="B23" s="133" t="s">
        <v>144</v>
      </c>
      <c r="C23" s="138" t="s">
        <v>145</v>
      </c>
      <c r="D23" s="134" t="s">
        <v>146</v>
      </c>
      <c r="E23" s="139" t="s">
        <v>147</v>
      </c>
      <c r="F23" s="139">
        <v>2018</v>
      </c>
      <c r="G23" s="142">
        <v>142653</v>
      </c>
      <c r="H23" s="135">
        <v>46182</v>
      </c>
      <c r="I23" s="134"/>
      <c r="J23" s="134"/>
      <c r="K23" s="137" t="s">
        <v>144</v>
      </c>
      <c r="L23" t="s">
        <v>145</v>
      </c>
    </row>
    <row r="24" spans="1:13" x14ac:dyDescent="0.25">
      <c r="A24" s="133">
        <v>23</v>
      </c>
      <c r="B24" s="133" t="s">
        <v>148</v>
      </c>
      <c r="C24" s="133" t="s">
        <v>149</v>
      </c>
      <c r="D24" s="134" t="s">
        <v>150</v>
      </c>
      <c r="E24" s="134" t="s">
        <v>151</v>
      </c>
      <c r="F24" s="134">
        <v>2014</v>
      </c>
      <c r="G24" s="134">
        <v>344213</v>
      </c>
      <c r="H24" s="135">
        <v>46182</v>
      </c>
      <c r="I24" s="134"/>
      <c r="J24" s="134"/>
      <c r="K24" s="136" t="s">
        <v>148</v>
      </c>
      <c r="L24" t="s">
        <v>149</v>
      </c>
    </row>
    <row r="25" spans="1:13" x14ac:dyDescent="0.25">
      <c r="A25" s="138">
        <v>24</v>
      </c>
      <c r="B25" s="134" t="s">
        <v>152</v>
      </c>
      <c r="C25" s="134" t="s">
        <v>153</v>
      </c>
      <c r="D25" s="134" t="s">
        <v>154</v>
      </c>
      <c r="E25" s="134" t="s">
        <v>155</v>
      </c>
      <c r="F25" s="134">
        <v>2015</v>
      </c>
      <c r="G25" s="134">
        <v>242508</v>
      </c>
      <c r="H25" s="135">
        <v>46182</v>
      </c>
      <c r="I25" s="134"/>
      <c r="J25" s="134"/>
      <c r="K25" s="145"/>
    </row>
    <row r="26" spans="1:13" x14ac:dyDescent="0.25">
      <c r="A26" s="133">
        <v>25</v>
      </c>
      <c r="B26" s="134" t="s">
        <v>156</v>
      </c>
      <c r="C26" s="134" t="s">
        <v>157</v>
      </c>
      <c r="D26" s="134" t="s">
        <v>158</v>
      </c>
      <c r="E26" s="134" t="s">
        <v>159</v>
      </c>
      <c r="F26" s="134">
        <v>2020</v>
      </c>
      <c r="G26" s="134">
        <v>21782</v>
      </c>
      <c r="H26" s="135">
        <v>46182</v>
      </c>
      <c r="I26" s="134"/>
      <c r="J26" s="134"/>
    </row>
    <row r="27" spans="1:13" x14ac:dyDescent="0.25">
      <c r="A27" s="133">
        <v>26</v>
      </c>
      <c r="B27" s="133" t="s">
        <v>104</v>
      </c>
      <c r="C27" s="133" t="s">
        <v>160</v>
      </c>
      <c r="D27" s="134" t="s">
        <v>161</v>
      </c>
      <c r="E27" s="134" t="s">
        <v>162</v>
      </c>
      <c r="F27" s="134">
        <v>2019</v>
      </c>
      <c r="G27" s="134">
        <v>232858</v>
      </c>
      <c r="H27" s="135">
        <v>46183</v>
      </c>
      <c r="I27" s="134"/>
      <c r="J27" s="134"/>
    </row>
    <row r="28" spans="1:13" x14ac:dyDescent="0.25">
      <c r="A28" s="133">
        <v>27</v>
      </c>
      <c r="B28" s="134" t="s">
        <v>163</v>
      </c>
      <c r="C28" s="134" t="s">
        <v>164</v>
      </c>
      <c r="D28" s="134" t="s">
        <v>165</v>
      </c>
      <c r="E28" s="134" t="s">
        <v>166</v>
      </c>
      <c r="F28" s="134">
        <v>2015</v>
      </c>
      <c r="G28" s="134">
        <v>365954</v>
      </c>
      <c r="H28" s="135">
        <v>46183</v>
      </c>
      <c r="I28" s="134"/>
      <c r="J28" s="134"/>
    </row>
    <row r="29" spans="1:13" x14ac:dyDescent="0.25">
      <c r="A29" s="133">
        <v>28</v>
      </c>
      <c r="B29" s="134" t="s">
        <v>82</v>
      </c>
      <c r="C29" s="134" t="s">
        <v>83</v>
      </c>
      <c r="D29" s="134" t="s">
        <v>167</v>
      </c>
      <c r="E29" s="134" t="s">
        <v>168</v>
      </c>
      <c r="F29" s="134">
        <v>2019</v>
      </c>
      <c r="G29" s="134">
        <v>230918</v>
      </c>
      <c r="H29" s="135">
        <v>46183</v>
      </c>
      <c r="I29" s="134"/>
      <c r="J29" s="134"/>
    </row>
    <row r="30" spans="1:13" x14ac:dyDescent="0.25">
      <c r="A30" s="138">
        <v>29</v>
      </c>
      <c r="B30" s="134" t="s">
        <v>63</v>
      </c>
      <c r="C30" s="134" t="s">
        <v>169</v>
      </c>
      <c r="D30" s="134" t="s">
        <v>170</v>
      </c>
      <c r="E30" s="134" t="s">
        <v>171</v>
      </c>
      <c r="F30" s="134">
        <v>2021</v>
      </c>
      <c r="G30" s="134">
        <v>217051</v>
      </c>
      <c r="H30" s="135">
        <v>46184</v>
      </c>
      <c r="I30" s="134"/>
      <c r="J30" s="134"/>
    </row>
    <row r="31" spans="1:13" x14ac:dyDescent="0.25">
      <c r="A31" s="133">
        <v>30</v>
      </c>
      <c r="B31" s="134" t="s">
        <v>88</v>
      </c>
      <c r="C31" s="134" t="s">
        <v>172</v>
      </c>
      <c r="D31" s="134" t="s">
        <v>173</v>
      </c>
      <c r="E31" s="134" t="s">
        <v>174</v>
      </c>
      <c r="F31" s="134">
        <v>2018</v>
      </c>
      <c r="G31" s="134">
        <v>232487</v>
      </c>
      <c r="H31" s="135">
        <v>46184</v>
      </c>
      <c r="I31" s="134"/>
      <c r="J31" s="134"/>
    </row>
    <row r="32" spans="1:13" x14ac:dyDescent="0.25">
      <c r="A32" s="133">
        <v>31</v>
      </c>
      <c r="B32" s="134" t="s">
        <v>94</v>
      </c>
      <c r="C32" s="134" t="s">
        <v>95</v>
      </c>
      <c r="D32" s="134" t="s">
        <v>175</v>
      </c>
      <c r="E32" s="134" t="s">
        <v>176</v>
      </c>
      <c r="F32" s="134">
        <v>2015</v>
      </c>
      <c r="G32" s="134">
        <v>283293</v>
      </c>
      <c r="H32" s="135">
        <v>46184</v>
      </c>
      <c r="I32" s="134"/>
      <c r="J32" s="134"/>
    </row>
    <row r="33" spans="1:10" x14ac:dyDescent="0.25">
      <c r="A33" s="133">
        <v>32</v>
      </c>
      <c r="B33" s="134" t="s">
        <v>177</v>
      </c>
      <c r="C33" s="134" t="s">
        <v>178</v>
      </c>
      <c r="D33" s="134" t="s">
        <v>179</v>
      </c>
      <c r="E33" s="134" t="s">
        <v>180</v>
      </c>
      <c r="F33" s="134">
        <v>2013</v>
      </c>
      <c r="G33" s="134">
        <v>302107</v>
      </c>
      <c r="H33" s="135">
        <v>46184</v>
      </c>
      <c r="I33" s="134"/>
      <c r="J33" s="134"/>
    </row>
    <row r="34" spans="1:10" x14ac:dyDescent="0.25">
      <c r="A34" s="133">
        <v>33</v>
      </c>
      <c r="B34" s="134" t="s">
        <v>67</v>
      </c>
      <c r="C34" s="134" t="s">
        <v>112</v>
      </c>
      <c r="D34" s="134" t="s">
        <v>113</v>
      </c>
      <c r="E34" s="134" t="s">
        <v>114</v>
      </c>
      <c r="F34" s="134">
        <v>2019</v>
      </c>
      <c r="G34" s="134">
        <v>139503</v>
      </c>
      <c r="H34" s="135">
        <v>46185</v>
      </c>
      <c r="I34" s="134"/>
      <c r="J34" s="134"/>
    </row>
    <row r="35" spans="1:10" x14ac:dyDescent="0.25">
      <c r="A35" s="138">
        <v>34</v>
      </c>
      <c r="B35" s="134" t="s">
        <v>67</v>
      </c>
      <c r="C35" s="138" t="s">
        <v>181</v>
      </c>
      <c r="D35" s="134" t="s">
        <v>182</v>
      </c>
      <c r="E35" s="139" t="s">
        <v>183</v>
      </c>
      <c r="F35" s="139">
        <v>2019</v>
      </c>
      <c r="G35" s="142">
        <v>103143</v>
      </c>
      <c r="H35" s="135">
        <v>46186</v>
      </c>
      <c r="I35" s="134"/>
      <c r="J35" s="134"/>
    </row>
    <row r="36" spans="1:10" x14ac:dyDescent="0.25">
      <c r="A36" s="133">
        <v>35</v>
      </c>
      <c r="B36" s="133" t="s">
        <v>63</v>
      </c>
      <c r="C36" s="133" t="s">
        <v>184</v>
      </c>
      <c r="D36" s="134" t="s">
        <v>185</v>
      </c>
      <c r="E36" s="134" t="s">
        <v>186</v>
      </c>
      <c r="F36" s="134">
        <v>2020</v>
      </c>
      <c r="G36" s="134">
        <v>231159</v>
      </c>
      <c r="H36" s="135">
        <v>46188</v>
      </c>
      <c r="I36" s="134"/>
      <c r="J36" s="134"/>
    </row>
    <row r="37" spans="1:10" x14ac:dyDescent="0.25">
      <c r="A37" s="133">
        <v>36</v>
      </c>
      <c r="B37" s="133" t="s">
        <v>63</v>
      </c>
      <c r="C37" s="134" t="s">
        <v>64</v>
      </c>
      <c r="D37" s="134" t="s">
        <v>65</v>
      </c>
      <c r="E37" s="134" t="s">
        <v>66</v>
      </c>
      <c r="F37" s="134">
        <v>2019</v>
      </c>
      <c r="G37" s="134">
        <v>239224</v>
      </c>
      <c r="H37" s="135">
        <v>46188</v>
      </c>
      <c r="I37" s="134"/>
      <c r="J37" s="134"/>
    </row>
    <row r="38" spans="1:10" x14ac:dyDescent="0.25">
      <c r="A38" s="133">
        <v>37</v>
      </c>
      <c r="B38" s="133" t="s">
        <v>187</v>
      </c>
      <c r="C38" s="133" t="s">
        <v>188</v>
      </c>
      <c r="D38" s="134" t="s">
        <v>189</v>
      </c>
      <c r="E38" s="134" t="s">
        <v>190</v>
      </c>
      <c r="F38" s="134">
        <v>2016</v>
      </c>
      <c r="G38" s="134">
        <v>343377</v>
      </c>
      <c r="H38" s="135">
        <v>46188</v>
      </c>
      <c r="I38" s="134"/>
      <c r="J38" s="134"/>
    </row>
    <row r="39" spans="1:10" x14ac:dyDescent="0.25">
      <c r="A39" s="133">
        <v>38</v>
      </c>
      <c r="B39" s="134" t="s">
        <v>129</v>
      </c>
      <c r="C39" s="134" t="s">
        <v>130</v>
      </c>
      <c r="D39" s="134" t="s">
        <v>131</v>
      </c>
      <c r="E39" s="134" t="s">
        <v>132</v>
      </c>
      <c r="F39" s="134">
        <v>2023</v>
      </c>
      <c r="G39" s="134">
        <v>23611</v>
      </c>
      <c r="H39" s="135">
        <v>46188</v>
      </c>
      <c r="I39" s="134"/>
      <c r="J39" s="134"/>
    </row>
    <row r="40" spans="1:10" x14ac:dyDescent="0.25">
      <c r="A40" s="138">
        <v>39</v>
      </c>
      <c r="B40" s="134" t="s">
        <v>191</v>
      </c>
      <c r="C40" s="134" t="s">
        <v>192</v>
      </c>
      <c r="D40" s="134" t="s">
        <v>193</v>
      </c>
      <c r="E40" s="134" t="s">
        <v>194</v>
      </c>
      <c r="F40" s="134">
        <v>2014</v>
      </c>
      <c r="G40" s="134">
        <v>394337</v>
      </c>
      <c r="H40" s="135">
        <v>46189</v>
      </c>
      <c r="I40" s="134"/>
      <c r="J40" s="134"/>
    </row>
    <row r="41" spans="1:10" x14ac:dyDescent="0.25">
      <c r="A41" s="133">
        <v>40</v>
      </c>
      <c r="B41" s="133" t="s">
        <v>100</v>
      </c>
      <c r="C41" s="138" t="s">
        <v>101</v>
      </c>
      <c r="D41" s="134" t="s">
        <v>102</v>
      </c>
      <c r="E41" s="139" t="s">
        <v>103</v>
      </c>
      <c r="F41" s="139">
        <v>2015</v>
      </c>
      <c r="G41" s="134">
        <v>276694</v>
      </c>
      <c r="H41" s="135">
        <v>46189</v>
      </c>
      <c r="I41" s="134"/>
      <c r="J41" s="134"/>
    </row>
    <row r="42" spans="1:10" x14ac:dyDescent="0.25">
      <c r="A42" s="133">
        <v>41</v>
      </c>
      <c r="B42" s="134" t="s">
        <v>195</v>
      </c>
      <c r="C42" s="134" t="s">
        <v>196</v>
      </c>
      <c r="D42" s="134" t="s">
        <v>197</v>
      </c>
      <c r="E42" s="134" t="s">
        <v>198</v>
      </c>
      <c r="F42" s="134">
        <v>2024</v>
      </c>
      <c r="G42" s="134">
        <v>24855</v>
      </c>
      <c r="H42" s="135">
        <v>46189</v>
      </c>
      <c r="I42" s="134"/>
      <c r="J42" s="134"/>
    </row>
    <row r="43" spans="1:10" x14ac:dyDescent="0.25">
      <c r="A43" s="133">
        <v>42</v>
      </c>
      <c r="B43" s="134" t="s">
        <v>67</v>
      </c>
      <c r="C43" s="134" t="s">
        <v>199</v>
      </c>
      <c r="D43" s="134" t="s">
        <v>200</v>
      </c>
      <c r="E43" s="134" t="s">
        <v>201</v>
      </c>
      <c r="F43" s="134">
        <v>2014</v>
      </c>
      <c r="G43" s="134">
        <v>77747</v>
      </c>
      <c r="H43" s="135">
        <v>46190</v>
      </c>
      <c r="I43" s="134"/>
      <c r="J43" s="134"/>
    </row>
    <row r="44" spans="1:10" x14ac:dyDescent="0.25">
      <c r="A44" s="133">
        <v>43</v>
      </c>
      <c r="B44" s="134" t="s">
        <v>63</v>
      </c>
      <c r="C44" s="134" t="s">
        <v>202</v>
      </c>
      <c r="D44" s="134" t="s">
        <v>203</v>
      </c>
      <c r="E44" s="134" t="s">
        <v>204</v>
      </c>
      <c r="F44" s="134">
        <v>2020</v>
      </c>
      <c r="G44" s="134">
        <v>205530</v>
      </c>
      <c r="H44" s="135">
        <v>46190</v>
      </c>
      <c r="I44" s="134"/>
      <c r="J44" s="134"/>
    </row>
    <row r="45" spans="1:10" x14ac:dyDescent="0.25">
      <c r="A45" s="133">
        <v>44</v>
      </c>
      <c r="B45" s="134" t="s">
        <v>104</v>
      </c>
      <c r="C45" s="134" t="s">
        <v>205</v>
      </c>
      <c r="D45" s="134" t="s">
        <v>206</v>
      </c>
      <c r="E45" s="134" t="s">
        <v>207</v>
      </c>
      <c r="F45" s="134">
        <v>2012</v>
      </c>
      <c r="G45" s="134">
        <v>449508</v>
      </c>
      <c r="H45" s="135">
        <v>46190</v>
      </c>
      <c r="I45" s="134"/>
      <c r="J45" s="134"/>
    </row>
    <row r="46" spans="1:10" x14ac:dyDescent="0.25">
      <c r="A46" s="133">
        <v>45</v>
      </c>
      <c r="B46" s="134" t="s">
        <v>208</v>
      </c>
      <c r="C46" s="134" t="s">
        <v>209</v>
      </c>
      <c r="D46" s="134" t="s">
        <v>210</v>
      </c>
      <c r="E46" s="134" t="s">
        <v>211</v>
      </c>
      <c r="F46" s="134">
        <v>2024</v>
      </c>
      <c r="G46" s="134">
        <v>19001</v>
      </c>
      <c r="H46" s="135">
        <v>46191</v>
      </c>
      <c r="I46" s="134"/>
      <c r="J46" s="134"/>
    </row>
    <row r="47" spans="1:10" x14ac:dyDescent="0.25">
      <c r="A47" s="133">
        <v>46</v>
      </c>
      <c r="B47" s="134" t="s">
        <v>90</v>
      </c>
      <c r="C47" s="134" t="s">
        <v>212</v>
      </c>
      <c r="D47" s="134" t="s">
        <v>213</v>
      </c>
      <c r="E47" s="134" t="s">
        <v>214</v>
      </c>
      <c r="F47" s="134">
        <v>2019</v>
      </c>
      <c r="G47" s="134">
        <v>218380</v>
      </c>
      <c r="H47" s="135">
        <v>46192</v>
      </c>
      <c r="I47" s="134"/>
      <c r="J47" s="134"/>
    </row>
    <row r="48" spans="1:10" x14ac:dyDescent="0.25">
      <c r="A48" s="133">
        <v>47</v>
      </c>
      <c r="B48" s="134" t="s">
        <v>144</v>
      </c>
      <c r="C48" s="134" t="s">
        <v>145</v>
      </c>
      <c r="D48" s="134" t="s">
        <v>146</v>
      </c>
      <c r="E48" s="134" t="s">
        <v>147</v>
      </c>
      <c r="F48" s="134">
        <v>2018</v>
      </c>
      <c r="G48" s="134">
        <v>142881</v>
      </c>
      <c r="H48" s="135">
        <v>46192</v>
      </c>
      <c r="I48" s="134"/>
      <c r="J48" s="134"/>
    </row>
    <row r="49" spans="1:10" x14ac:dyDescent="0.25">
      <c r="A49" s="133">
        <v>48</v>
      </c>
      <c r="B49" s="134" t="s">
        <v>215</v>
      </c>
      <c r="C49" s="134" t="s">
        <v>216</v>
      </c>
      <c r="D49" s="134" t="s">
        <v>217</v>
      </c>
      <c r="E49" s="134" t="s">
        <v>218</v>
      </c>
      <c r="F49" s="134">
        <v>2020</v>
      </c>
      <c r="G49" s="134">
        <v>53365</v>
      </c>
      <c r="H49" s="135">
        <v>46192</v>
      </c>
      <c r="I49" s="134"/>
      <c r="J49" s="134"/>
    </row>
    <row r="50" spans="1:10" x14ac:dyDescent="0.25">
      <c r="A50" s="133">
        <v>49</v>
      </c>
      <c r="B50" s="134" t="s">
        <v>219</v>
      </c>
      <c r="C50" s="134" t="s">
        <v>220</v>
      </c>
      <c r="D50" s="134" t="s">
        <v>221</v>
      </c>
      <c r="E50" s="134" t="s">
        <v>222</v>
      </c>
      <c r="F50" s="134">
        <v>2023</v>
      </c>
      <c r="G50" s="134">
        <v>76937</v>
      </c>
      <c r="H50" s="135">
        <v>46193</v>
      </c>
      <c r="I50" s="134"/>
      <c r="J50" s="134"/>
    </row>
    <row r="51" spans="1:10" x14ac:dyDescent="0.25">
      <c r="A51" s="133">
        <v>50</v>
      </c>
      <c r="B51" s="134" t="s">
        <v>219</v>
      </c>
      <c r="C51" s="134" t="s">
        <v>223</v>
      </c>
      <c r="D51" s="134" t="s">
        <v>224</v>
      </c>
      <c r="E51" s="134" t="s">
        <v>225</v>
      </c>
      <c r="F51" s="134">
        <v>2023</v>
      </c>
      <c r="G51" s="134">
        <v>51229</v>
      </c>
      <c r="H51" s="135">
        <v>46193</v>
      </c>
      <c r="I51" s="134"/>
      <c r="J51" s="134"/>
    </row>
    <row r="52" spans="1:10" x14ac:dyDescent="0.25">
      <c r="A52" s="133">
        <v>51</v>
      </c>
      <c r="B52" s="134" t="s">
        <v>63</v>
      </c>
      <c r="C52" s="134" t="s">
        <v>226</v>
      </c>
      <c r="D52" s="134" t="s">
        <v>227</v>
      </c>
      <c r="E52" s="134" t="s">
        <v>228</v>
      </c>
      <c r="F52" s="134">
        <v>2020</v>
      </c>
      <c r="G52" s="134">
        <v>160424</v>
      </c>
      <c r="H52" s="135">
        <v>46193</v>
      </c>
      <c r="I52" s="134"/>
      <c r="J52" s="134"/>
    </row>
    <row r="53" spans="1:10" x14ac:dyDescent="0.25">
      <c r="A53" s="133">
        <v>52</v>
      </c>
      <c r="B53" s="134" t="s">
        <v>104</v>
      </c>
      <c r="C53" s="134" t="s">
        <v>229</v>
      </c>
      <c r="D53" s="134" t="s">
        <v>230</v>
      </c>
      <c r="E53" s="134" t="s">
        <v>231</v>
      </c>
      <c r="F53" s="134">
        <v>2016</v>
      </c>
      <c r="G53" s="134">
        <v>298481</v>
      </c>
      <c r="H53" s="135">
        <v>46196</v>
      </c>
      <c r="I53" s="134"/>
      <c r="J53" s="134"/>
    </row>
    <row r="54" spans="1:10" x14ac:dyDescent="0.25">
      <c r="A54" s="133">
        <v>53</v>
      </c>
      <c r="B54" s="134" t="s">
        <v>67</v>
      </c>
      <c r="C54" s="134" t="s">
        <v>232</v>
      </c>
      <c r="D54" s="134" t="s">
        <v>233</v>
      </c>
      <c r="E54" s="134" t="s">
        <v>234</v>
      </c>
      <c r="F54" s="134">
        <v>2016</v>
      </c>
      <c r="G54" s="134">
        <v>224482</v>
      </c>
      <c r="H54" s="135">
        <v>46197</v>
      </c>
      <c r="I54" s="134"/>
      <c r="J54" s="134"/>
    </row>
    <row r="55" spans="1:10" x14ac:dyDescent="0.25">
      <c r="A55" s="133">
        <v>54</v>
      </c>
      <c r="B55" s="134" t="s">
        <v>235</v>
      </c>
      <c r="C55" s="134" t="s">
        <v>236</v>
      </c>
      <c r="D55" s="134" t="s">
        <v>237</v>
      </c>
      <c r="E55" s="134" t="s">
        <v>238</v>
      </c>
      <c r="F55" s="134">
        <v>2013</v>
      </c>
      <c r="G55" s="134">
        <v>278326</v>
      </c>
      <c r="H55" s="135">
        <v>46197</v>
      </c>
      <c r="I55" s="134"/>
      <c r="J55" s="134"/>
    </row>
    <row r="56" spans="1:10" x14ac:dyDescent="0.25">
      <c r="A56" s="133">
        <v>55</v>
      </c>
      <c r="B56" s="134" t="s">
        <v>77</v>
      </c>
      <c r="C56" s="134" t="s">
        <v>78</v>
      </c>
      <c r="D56" s="134" t="s">
        <v>239</v>
      </c>
      <c r="E56" s="134" t="s">
        <v>240</v>
      </c>
      <c r="F56" s="134">
        <v>2020</v>
      </c>
      <c r="G56" s="134">
        <v>133134</v>
      </c>
      <c r="H56" s="135">
        <v>46197</v>
      </c>
      <c r="I56" s="134"/>
      <c r="J56" s="134"/>
    </row>
    <row r="57" spans="1:10" x14ac:dyDescent="0.25">
      <c r="A57" s="133">
        <v>56</v>
      </c>
      <c r="B57" s="134" t="s">
        <v>90</v>
      </c>
      <c r="C57" s="134" t="s">
        <v>241</v>
      </c>
      <c r="D57" s="134" t="s">
        <v>242</v>
      </c>
      <c r="E57" s="134" t="s">
        <v>243</v>
      </c>
      <c r="F57" s="134">
        <v>2015</v>
      </c>
      <c r="G57" s="134">
        <v>274194</v>
      </c>
      <c r="H57" s="135">
        <v>46197</v>
      </c>
      <c r="I57" s="134"/>
      <c r="J57" s="134"/>
    </row>
    <row r="58" spans="1:10" x14ac:dyDescent="0.25">
      <c r="A58" s="133">
        <v>57</v>
      </c>
      <c r="B58" s="134" t="s">
        <v>88</v>
      </c>
      <c r="C58" s="134" t="s">
        <v>89</v>
      </c>
      <c r="D58" s="134" t="s">
        <v>244</v>
      </c>
      <c r="E58" s="134" t="s">
        <v>245</v>
      </c>
      <c r="F58" s="134">
        <v>2018</v>
      </c>
      <c r="G58" s="134">
        <v>165719</v>
      </c>
      <c r="H58" s="135">
        <v>46197</v>
      </c>
      <c r="I58" s="134"/>
      <c r="J58" s="134"/>
    </row>
    <row r="59" spans="1:10" x14ac:dyDescent="0.25">
      <c r="A59" s="133">
        <v>58</v>
      </c>
      <c r="B59" s="134" t="s">
        <v>63</v>
      </c>
      <c r="C59" s="134" t="s">
        <v>246</v>
      </c>
      <c r="D59" s="134" t="s">
        <v>247</v>
      </c>
      <c r="E59" s="134" t="s">
        <v>248</v>
      </c>
      <c r="F59" s="134">
        <v>2020</v>
      </c>
      <c r="G59" s="134">
        <v>225730</v>
      </c>
      <c r="H59" s="135">
        <v>46198</v>
      </c>
      <c r="I59" s="134"/>
      <c r="J59" s="134"/>
    </row>
    <row r="60" spans="1:10" x14ac:dyDescent="0.25">
      <c r="A60" s="133">
        <v>59</v>
      </c>
      <c r="B60" s="134" t="s">
        <v>104</v>
      </c>
      <c r="C60" s="134" t="s">
        <v>249</v>
      </c>
      <c r="D60" s="134" t="s">
        <v>250</v>
      </c>
      <c r="E60" s="134" t="s">
        <v>251</v>
      </c>
      <c r="F60" s="134">
        <v>2011</v>
      </c>
      <c r="G60" s="134">
        <v>373940</v>
      </c>
      <c r="H60" s="135">
        <v>46198</v>
      </c>
      <c r="I60" s="134"/>
      <c r="J60" s="134"/>
    </row>
    <row r="61" spans="1:10" x14ac:dyDescent="0.25">
      <c r="A61" s="133">
        <v>60</v>
      </c>
      <c r="B61" s="134" t="s">
        <v>67</v>
      </c>
      <c r="C61" s="134" t="s">
        <v>252</v>
      </c>
      <c r="D61" s="134" t="s">
        <v>253</v>
      </c>
      <c r="E61" s="134" t="s">
        <v>254</v>
      </c>
      <c r="F61" s="134">
        <v>2014</v>
      </c>
      <c r="G61" s="134">
        <v>298102</v>
      </c>
      <c r="H61" s="135">
        <v>46199</v>
      </c>
      <c r="I61" s="134"/>
      <c r="J61" s="134"/>
    </row>
    <row r="62" spans="1:10" x14ac:dyDescent="0.25">
      <c r="A62" s="133">
        <v>61</v>
      </c>
      <c r="B62" s="134" t="s">
        <v>90</v>
      </c>
      <c r="C62" s="134" t="s">
        <v>255</v>
      </c>
      <c r="D62" s="134" t="s">
        <v>256</v>
      </c>
      <c r="E62" s="134" t="s">
        <v>257</v>
      </c>
      <c r="F62" s="134">
        <v>2015</v>
      </c>
      <c r="G62" s="134">
        <v>281724</v>
      </c>
      <c r="H62" s="135">
        <v>46200</v>
      </c>
      <c r="I62" s="134"/>
      <c r="J62" s="134"/>
    </row>
    <row r="63" spans="1:10" x14ac:dyDescent="0.25">
      <c r="A63" s="133">
        <v>62</v>
      </c>
      <c r="B63" s="134" t="s">
        <v>67</v>
      </c>
      <c r="C63" s="134" t="s">
        <v>258</v>
      </c>
      <c r="D63" s="134" t="s">
        <v>259</v>
      </c>
      <c r="E63" s="134" t="s">
        <v>260</v>
      </c>
      <c r="F63" s="134">
        <v>2018</v>
      </c>
      <c r="G63" s="134">
        <v>182403</v>
      </c>
      <c r="H63" s="135">
        <v>46200</v>
      </c>
      <c r="I63" s="134"/>
      <c r="J63" s="134"/>
    </row>
    <row r="64" spans="1:10" x14ac:dyDescent="0.25">
      <c r="A64" s="133">
        <v>63</v>
      </c>
      <c r="B64" s="134" t="s">
        <v>63</v>
      </c>
      <c r="C64" s="134" t="s">
        <v>64</v>
      </c>
      <c r="D64" s="134" t="s">
        <v>65</v>
      </c>
      <c r="E64" s="134" t="s">
        <v>66</v>
      </c>
      <c r="F64" s="134">
        <v>2019</v>
      </c>
      <c r="G64" s="134">
        <v>240579</v>
      </c>
      <c r="H64" s="135">
        <v>46200</v>
      </c>
      <c r="I64" s="134"/>
      <c r="J64" s="134"/>
    </row>
    <row r="65" spans="1:10" x14ac:dyDescent="0.25">
      <c r="A65" s="133">
        <v>64</v>
      </c>
      <c r="B65" s="134" t="s">
        <v>67</v>
      </c>
      <c r="C65" s="134" t="s">
        <v>74</v>
      </c>
      <c r="D65" s="134" t="s">
        <v>75</v>
      </c>
      <c r="E65" s="134" t="s">
        <v>76</v>
      </c>
      <c r="F65" s="134">
        <v>2019</v>
      </c>
      <c r="G65" s="134">
        <v>141389</v>
      </c>
      <c r="H65" s="135">
        <v>46200</v>
      </c>
      <c r="I65" s="134"/>
      <c r="J65" s="134"/>
    </row>
    <row r="66" spans="1:10" x14ac:dyDescent="0.25">
      <c r="A66" s="133">
        <v>65</v>
      </c>
      <c r="B66" s="134" t="s">
        <v>63</v>
      </c>
      <c r="C66" s="134" t="s">
        <v>261</v>
      </c>
      <c r="D66" s="134" t="s">
        <v>262</v>
      </c>
      <c r="E66" s="134" t="s">
        <v>263</v>
      </c>
      <c r="F66" s="134">
        <v>2019</v>
      </c>
      <c r="G66" s="134">
        <v>170041</v>
      </c>
      <c r="H66" s="135">
        <v>46200</v>
      </c>
      <c r="I66" s="134"/>
      <c r="J66" s="134"/>
    </row>
    <row r="67" spans="1:10" x14ac:dyDescent="0.25">
      <c r="A67" s="133">
        <v>66</v>
      </c>
      <c r="B67" s="134" t="s">
        <v>67</v>
      </c>
      <c r="C67" s="134" t="s">
        <v>115</v>
      </c>
      <c r="D67" s="134" t="s">
        <v>116</v>
      </c>
      <c r="E67" s="134" t="s">
        <v>117</v>
      </c>
      <c r="F67" s="134">
        <v>2019</v>
      </c>
      <c r="G67" s="134">
        <v>134783</v>
      </c>
      <c r="H67" s="135">
        <v>46200</v>
      </c>
      <c r="I67" s="134"/>
      <c r="J67" s="134"/>
    </row>
    <row r="68" spans="1:10" x14ac:dyDescent="0.25">
      <c r="A68" s="133">
        <v>67</v>
      </c>
      <c r="B68" s="134" t="s">
        <v>118</v>
      </c>
      <c r="C68" s="134" t="s">
        <v>119</v>
      </c>
      <c r="D68" s="134" t="s">
        <v>120</v>
      </c>
      <c r="E68" s="134" t="s">
        <v>121</v>
      </c>
      <c r="F68" s="134">
        <v>2020</v>
      </c>
      <c r="G68" s="134">
        <v>162470</v>
      </c>
      <c r="H68" s="135">
        <v>46203</v>
      </c>
      <c r="I68" s="134"/>
      <c r="J68" s="134"/>
    </row>
    <row r="69" spans="1:10" x14ac:dyDescent="0.25">
      <c r="A69" s="133">
        <v>68</v>
      </c>
      <c r="B69" s="134" t="s">
        <v>67</v>
      </c>
      <c r="C69" s="134" t="s">
        <v>264</v>
      </c>
      <c r="D69" s="134" t="s">
        <v>265</v>
      </c>
      <c r="E69" s="134" t="s">
        <v>266</v>
      </c>
      <c r="F69" s="134">
        <v>2018</v>
      </c>
      <c r="G69" s="134">
        <v>134902</v>
      </c>
      <c r="H69" s="135">
        <v>46203</v>
      </c>
      <c r="I69" s="134"/>
      <c r="J69" s="134"/>
    </row>
    <row r="70" spans="1:10" x14ac:dyDescent="0.25">
      <c r="A70" s="133">
        <v>69</v>
      </c>
      <c r="B70" s="134" t="s">
        <v>82</v>
      </c>
      <c r="C70" s="134" t="s">
        <v>267</v>
      </c>
      <c r="D70" s="134" t="s">
        <v>268</v>
      </c>
      <c r="E70" s="134" t="s">
        <v>269</v>
      </c>
      <c r="F70" s="134">
        <v>2015</v>
      </c>
      <c r="G70" s="134">
        <v>272826</v>
      </c>
      <c r="H70" s="135">
        <v>46203</v>
      </c>
      <c r="I70" s="134"/>
      <c r="J70" s="134"/>
    </row>
    <row r="71" spans="1:10" x14ac:dyDescent="0.25">
      <c r="A71" s="133">
        <v>70</v>
      </c>
      <c r="B71" s="134" t="s">
        <v>67</v>
      </c>
      <c r="C71" s="134" t="s">
        <v>270</v>
      </c>
      <c r="D71" s="134" t="s">
        <v>271</v>
      </c>
      <c r="E71" s="134" t="s">
        <v>272</v>
      </c>
      <c r="F71" s="134">
        <v>2019</v>
      </c>
      <c r="G71" s="134">
        <v>39309</v>
      </c>
      <c r="H71" s="135">
        <v>46203</v>
      </c>
      <c r="I71" s="134"/>
      <c r="J71" s="134"/>
    </row>
    <row r="72" spans="1:10" x14ac:dyDescent="0.25">
      <c r="A72" s="133">
        <v>71</v>
      </c>
      <c r="B72" s="133"/>
      <c r="C72" s="138"/>
      <c r="D72" s="134"/>
      <c r="E72" s="139"/>
      <c r="F72" s="139"/>
      <c r="G72" s="146"/>
      <c r="H72" s="147"/>
      <c r="I72" s="134"/>
      <c r="J72" s="134"/>
    </row>
    <row r="73" spans="1:10" x14ac:dyDescent="0.25">
      <c r="A73" s="133">
        <v>72</v>
      </c>
      <c r="B73" s="133"/>
      <c r="C73" s="138"/>
      <c r="D73" s="134"/>
      <c r="E73" s="139"/>
      <c r="F73" s="139"/>
      <c r="G73" s="146"/>
      <c r="H73" s="147"/>
      <c r="I73" s="134"/>
      <c r="J73" s="134"/>
    </row>
    <row r="74" spans="1:10" x14ac:dyDescent="0.25">
      <c r="A74" s="133">
        <v>73</v>
      </c>
      <c r="B74" s="133"/>
      <c r="C74" s="138"/>
      <c r="D74" s="134"/>
      <c r="E74" s="139"/>
      <c r="F74" s="139"/>
      <c r="G74" s="146"/>
      <c r="H74" s="147"/>
      <c r="I74" s="134"/>
      <c r="J74" s="134"/>
    </row>
    <row r="75" spans="1:10" x14ac:dyDescent="0.25">
      <c r="A75" s="133">
        <v>74</v>
      </c>
      <c r="B75" s="133"/>
      <c r="C75" s="138"/>
      <c r="D75" s="134"/>
      <c r="E75" s="139"/>
      <c r="F75" s="139"/>
      <c r="G75" s="146"/>
      <c r="H75" s="147"/>
      <c r="I75" s="134"/>
      <c r="J75" s="134"/>
    </row>
    <row r="76" spans="1:10" x14ac:dyDescent="0.25">
      <c r="A76" s="133">
        <v>75</v>
      </c>
      <c r="B76" s="133"/>
      <c r="C76" s="133"/>
      <c r="D76" s="134"/>
      <c r="E76" s="134"/>
      <c r="F76" s="134"/>
      <c r="G76" s="134"/>
      <c r="H76" s="135"/>
    </row>
    <row r="77" spans="1:10" x14ac:dyDescent="0.25">
      <c r="A77" s="133">
        <v>76</v>
      </c>
      <c r="B77" s="133"/>
      <c r="C77" s="133"/>
      <c r="D77" s="134"/>
      <c r="E77" s="134"/>
      <c r="F77" s="134"/>
      <c r="G77" s="134"/>
      <c r="H77" s="135"/>
    </row>
    <row r="78" spans="1:10" x14ac:dyDescent="0.25">
      <c r="A78" s="133">
        <v>77</v>
      </c>
      <c r="B78" s="133"/>
      <c r="C78" s="133"/>
      <c r="D78" s="134"/>
      <c r="E78" s="134"/>
      <c r="F78" s="134"/>
      <c r="G78" s="134"/>
      <c r="H78" s="135"/>
    </row>
    <row r="79" spans="1:10" x14ac:dyDescent="0.25">
      <c r="A79" s="133">
        <v>78</v>
      </c>
      <c r="B79" s="133"/>
      <c r="C79" s="138"/>
      <c r="D79" s="134"/>
      <c r="E79" s="139"/>
      <c r="F79" s="139"/>
      <c r="G79" s="139"/>
      <c r="H79" s="135"/>
    </row>
    <row r="80" spans="1:10" x14ac:dyDescent="0.25">
      <c r="A80" s="133">
        <v>79</v>
      </c>
      <c r="B80" s="133"/>
      <c r="C80" s="133"/>
      <c r="D80" s="134"/>
      <c r="E80" s="134"/>
      <c r="F80" s="134"/>
      <c r="G80" s="139"/>
      <c r="H80" s="135"/>
    </row>
    <row r="81" spans="1:8" x14ac:dyDescent="0.25">
      <c r="A81" s="133">
        <v>80</v>
      </c>
      <c r="B81" s="133"/>
      <c r="C81" s="138"/>
      <c r="D81" s="134"/>
      <c r="E81" s="139"/>
      <c r="F81" s="139"/>
      <c r="G81" s="139"/>
      <c r="H81" s="135"/>
    </row>
    <row r="82" spans="1:8" x14ac:dyDescent="0.25">
      <c r="A82" s="133">
        <v>81</v>
      </c>
      <c r="B82" s="133"/>
      <c r="C82" s="138"/>
      <c r="D82" s="134"/>
      <c r="E82" s="139"/>
      <c r="F82" s="139"/>
      <c r="G82" s="139"/>
      <c r="H82" s="135"/>
    </row>
    <row r="83" spans="1:8" x14ac:dyDescent="0.25">
      <c r="A83" s="133">
        <v>82</v>
      </c>
      <c r="B83" s="133"/>
      <c r="C83" s="133"/>
      <c r="D83" s="134"/>
      <c r="E83" s="134"/>
      <c r="F83" s="134"/>
      <c r="G83" s="139"/>
      <c r="H83" s="135"/>
    </row>
    <row r="84" spans="1:8" x14ac:dyDescent="0.25">
      <c r="A84" s="133">
        <v>83</v>
      </c>
      <c r="B84" s="133"/>
      <c r="C84" s="133"/>
      <c r="D84" s="134"/>
      <c r="E84" s="134"/>
      <c r="F84" s="134"/>
      <c r="G84" s="134"/>
      <c r="H84" s="135"/>
    </row>
    <row r="85" spans="1:8" x14ac:dyDescent="0.25">
      <c r="A85" s="133">
        <v>84</v>
      </c>
      <c r="B85" s="133"/>
      <c r="C85" s="133"/>
      <c r="D85" s="134"/>
      <c r="E85" s="134"/>
      <c r="F85" s="134"/>
      <c r="G85" s="134"/>
      <c r="H85" s="135"/>
    </row>
    <row r="86" spans="1:8" x14ac:dyDescent="0.25">
      <c r="A86" s="133">
        <v>85</v>
      </c>
      <c r="B86" s="134"/>
      <c r="C86" s="133"/>
      <c r="D86" s="134"/>
      <c r="E86" s="134"/>
      <c r="F86" s="134"/>
      <c r="G86" s="134"/>
      <c r="H86" s="135"/>
    </row>
    <row r="87" spans="1:8" x14ac:dyDescent="0.25">
      <c r="A87" s="133">
        <v>86</v>
      </c>
      <c r="B87" s="133"/>
      <c r="C87" s="133"/>
      <c r="D87" s="134"/>
      <c r="E87" s="134"/>
      <c r="F87" s="134"/>
      <c r="G87" s="134"/>
      <c r="H87" s="135"/>
    </row>
    <row r="88" spans="1:8" x14ac:dyDescent="0.25">
      <c r="A88" s="133">
        <v>87</v>
      </c>
      <c r="B88" s="133"/>
      <c r="C88" s="133"/>
      <c r="D88" s="134"/>
      <c r="E88" s="134"/>
      <c r="F88" s="134"/>
      <c r="G88" s="134"/>
      <c r="H88" s="135"/>
    </row>
    <row r="89" spans="1:8" x14ac:dyDescent="0.25">
      <c r="A89" s="133">
        <v>88</v>
      </c>
      <c r="B89" s="133"/>
      <c r="C89" s="133"/>
      <c r="D89" s="134"/>
      <c r="E89" s="134"/>
      <c r="F89" s="134"/>
      <c r="G89" s="134"/>
      <c r="H89" s="135"/>
    </row>
    <row r="90" spans="1:8" x14ac:dyDescent="0.25">
      <c r="A90" s="133">
        <v>89</v>
      </c>
      <c r="B90" s="133"/>
      <c r="C90" s="138"/>
      <c r="D90" s="134"/>
      <c r="E90" s="139"/>
      <c r="F90" s="139"/>
      <c r="G90" s="139"/>
      <c r="H90" s="135"/>
    </row>
    <row r="91" spans="1:8" x14ac:dyDescent="0.25">
      <c r="A91" s="133">
        <v>90</v>
      </c>
      <c r="B91" s="133"/>
      <c r="C91" s="133"/>
      <c r="D91" s="134"/>
      <c r="E91" s="134"/>
      <c r="F91" s="134"/>
      <c r="G91" s="134"/>
      <c r="H91" s="135"/>
    </row>
    <row r="92" spans="1:8" x14ac:dyDescent="0.25">
      <c r="A92" s="133">
        <v>91</v>
      </c>
      <c r="B92" s="133"/>
      <c r="C92" s="133"/>
      <c r="D92" s="134"/>
      <c r="E92" s="134"/>
      <c r="F92" s="134"/>
      <c r="G92" s="134"/>
      <c r="H92" s="135"/>
    </row>
    <row r="93" spans="1:8" x14ac:dyDescent="0.25">
      <c r="A93" s="133">
        <v>92</v>
      </c>
      <c r="B93" s="133"/>
      <c r="C93" s="133"/>
      <c r="D93" s="134"/>
      <c r="E93" s="134"/>
      <c r="F93" s="134"/>
      <c r="G93" s="134"/>
      <c r="H93" s="135"/>
    </row>
    <row r="94" spans="1:8" x14ac:dyDescent="0.25">
      <c r="A94" s="133">
        <v>93</v>
      </c>
      <c r="B94" s="133"/>
      <c r="C94" s="138"/>
      <c r="D94" s="134"/>
      <c r="E94" s="139"/>
      <c r="F94" s="139"/>
      <c r="G94" s="139"/>
      <c r="H94" s="135"/>
    </row>
    <row r="95" spans="1:8" x14ac:dyDescent="0.25">
      <c r="A95" s="133">
        <v>94</v>
      </c>
      <c r="B95" s="133"/>
      <c r="C95" s="133"/>
      <c r="D95" s="134"/>
      <c r="E95" s="134"/>
      <c r="F95" s="134"/>
      <c r="G95" s="134"/>
      <c r="H95" s="135"/>
    </row>
    <row r="96" spans="1:8" x14ac:dyDescent="0.25">
      <c r="A96" s="133">
        <v>95</v>
      </c>
      <c r="B96" s="133"/>
      <c r="C96" s="138"/>
      <c r="D96" s="134"/>
      <c r="E96" s="139"/>
      <c r="F96" s="139"/>
      <c r="G96" s="139"/>
      <c r="H96" s="135"/>
    </row>
    <row r="97" spans="1:8" x14ac:dyDescent="0.25">
      <c r="A97" s="133">
        <v>96</v>
      </c>
      <c r="B97" s="133"/>
      <c r="C97" s="138"/>
      <c r="D97" s="134"/>
      <c r="E97" s="139"/>
      <c r="F97" s="139"/>
      <c r="G97" s="146"/>
      <c r="H97" s="135"/>
    </row>
    <row r="98" spans="1:8" x14ac:dyDescent="0.25">
      <c r="A98" s="133">
        <v>97</v>
      </c>
      <c r="B98" s="133"/>
      <c r="C98" s="138"/>
      <c r="D98" s="134"/>
      <c r="E98" s="139"/>
      <c r="F98" s="139"/>
      <c r="G98" s="139"/>
      <c r="H98" s="135"/>
    </row>
    <row r="99" spans="1:8" x14ac:dyDescent="0.25">
      <c r="A99" s="133">
        <v>98</v>
      </c>
      <c r="B99" s="133"/>
      <c r="C99" s="138"/>
      <c r="D99" s="134"/>
      <c r="E99" s="139"/>
      <c r="F99" s="139"/>
      <c r="G99" s="139"/>
      <c r="H99" s="135"/>
    </row>
    <row r="100" spans="1:8" x14ac:dyDescent="0.25">
      <c r="A100" s="133">
        <v>99</v>
      </c>
      <c r="B100" s="133"/>
      <c r="C100" s="133"/>
      <c r="D100" s="134"/>
      <c r="E100" s="134"/>
      <c r="F100" s="134"/>
      <c r="G100" s="134"/>
      <c r="H100" s="135"/>
    </row>
    <row r="101" spans="1:8" x14ac:dyDescent="0.25">
      <c r="A101" s="133">
        <v>100</v>
      </c>
      <c r="B101" s="133"/>
      <c r="C101" s="133"/>
      <c r="D101" s="134"/>
      <c r="E101" s="134"/>
      <c r="F101" s="134"/>
      <c r="G101" s="134"/>
      <c r="H101" s="135"/>
    </row>
    <row r="102" spans="1:8" x14ac:dyDescent="0.25">
      <c r="A102" s="133">
        <v>101</v>
      </c>
      <c r="B102" s="133"/>
      <c r="C102" s="133"/>
      <c r="D102" s="134"/>
      <c r="E102" s="134"/>
      <c r="F102" s="134"/>
      <c r="G102" s="134"/>
      <c r="H102" s="135"/>
    </row>
    <row r="103" spans="1:8" x14ac:dyDescent="0.25">
      <c r="A103" s="133">
        <v>102</v>
      </c>
      <c r="B103" s="133"/>
      <c r="C103" s="133"/>
      <c r="D103" s="134"/>
      <c r="E103" s="134"/>
      <c r="F103" s="134"/>
      <c r="G103" s="134"/>
      <c r="H103" s="135"/>
    </row>
    <row r="104" spans="1:8" x14ac:dyDescent="0.25">
      <c r="A104" s="133">
        <v>103</v>
      </c>
      <c r="B104" s="133"/>
      <c r="C104" s="133"/>
      <c r="D104" s="134"/>
      <c r="E104" s="134"/>
      <c r="F104" s="134"/>
      <c r="G104" s="134"/>
      <c r="H104" s="135"/>
    </row>
    <row r="105" spans="1:8" x14ac:dyDescent="0.25">
      <c r="A105" s="133">
        <v>104</v>
      </c>
      <c r="B105" s="133"/>
      <c r="C105" s="138"/>
      <c r="D105" s="134"/>
      <c r="E105" s="139"/>
      <c r="F105" s="139"/>
      <c r="G105" s="139"/>
      <c r="H105" s="135"/>
    </row>
    <row r="106" spans="1:8" x14ac:dyDescent="0.25">
      <c r="A106" s="133">
        <v>105</v>
      </c>
      <c r="B106" s="133"/>
      <c r="C106" s="138"/>
      <c r="D106" s="134"/>
      <c r="E106" s="139"/>
      <c r="F106" s="139"/>
      <c r="G106" s="139"/>
      <c r="H106" s="135"/>
    </row>
    <row r="107" spans="1:8" x14ac:dyDescent="0.25">
      <c r="A107" s="133">
        <v>106</v>
      </c>
      <c r="B107" s="133"/>
      <c r="C107" s="138"/>
      <c r="D107" s="134"/>
      <c r="E107" s="139"/>
      <c r="F107" s="139"/>
      <c r="G107" s="146"/>
      <c r="H107" s="135"/>
    </row>
    <row r="108" spans="1:8" x14ac:dyDescent="0.25">
      <c r="A108" s="133">
        <v>107</v>
      </c>
      <c r="B108" s="133"/>
      <c r="C108" s="138"/>
      <c r="D108" s="134"/>
      <c r="E108" s="139"/>
      <c r="F108" s="139"/>
      <c r="G108" s="139"/>
      <c r="H108" s="135"/>
    </row>
    <row r="109" spans="1:8" x14ac:dyDescent="0.25">
      <c r="A109" s="133">
        <v>108</v>
      </c>
      <c r="B109" s="133"/>
      <c r="C109" s="133"/>
      <c r="D109" s="134"/>
      <c r="E109" s="134"/>
      <c r="F109" s="134"/>
      <c r="G109" s="134"/>
      <c r="H109" s="135"/>
    </row>
    <row r="110" spans="1:8" x14ac:dyDescent="0.25">
      <c r="A110" s="133">
        <v>109</v>
      </c>
      <c r="B110" s="133"/>
      <c r="C110" s="133"/>
      <c r="D110" s="134"/>
      <c r="E110" s="134"/>
      <c r="F110" s="134"/>
      <c r="G110" s="134"/>
      <c r="H110" s="135"/>
    </row>
    <row r="111" spans="1:8" x14ac:dyDescent="0.25">
      <c r="A111" s="133">
        <v>110</v>
      </c>
      <c r="B111" s="133"/>
      <c r="C111" s="133"/>
      <c r="D111" s="134"/>
      <c r="E111" s="134"/>
      <c r="F111" s="134"/>
      <c r="G111" s="134"/>
      <c r="H111" s="135"/>
    </row>
    <row r="112" spans="1:8" x14ac:dyDescent="0.25">
      <c r="A112" s="133">
        <v>111</v>
      </c>
      <c r="B112" s="133"/>
      <c r="C112" s="138"/>
      <c r="D112" s="134"/>
      <c r="E112" s="139"/>
      <c r="F112" s="139"/>
      <c r="G112" s="139"/>
      <c r="H112" s="148"/>
    </row>
    <row r="113" spans="1:8" x14ac:dyDescent="0.25">
      <c r="A113" s="133">
        <v>112</v>
      </c>
      <c r="B113" s="133"/>
      <c r="C113" s="138"/>
      <c r="D113" s="134"/>
      <c r="E113" s="139"/>
      <c r="F113" s="139"/>
      <c r="G113" s="146"/>
      <c r="H113" s="148"/>
    </row>
    <row r="114" spans="1:8" x14ac:dyDescent="0.25">
      <c r="A114" s="133">
        <v>113</v>
      </c>
      <c r="B114" s="133"/>
      <c r="C114" s="138"/>
      <c r="D114" s="134"/>
      <c r="E114" s="139"/>
      <c r="F114" s="139"/>
      <c r="G114" s="139"/>
      <c r="H114" s="135"/>
    </row>
    <row r="115" spans="1:8" x14ac:dyDescent="0.25">
      <c r="A115" s="133">
        <v>114</v>
      </c>
      <c r="B115" s="133"/>
      <c r="C115" s="138"/>
      <c r="D115" s="134"/>
      <c r="E115" s="139"/>
      <c r="F115" s="139"/>
      <c r="G115" s="146"/>
      <c r="H115" s="135"/>
    </row>
    <row r="116" spans="1:8" x14ac:dyDescent="0.25">
      <c r="A116" s="133">
        <v>115</v>
      </c>
      <c r="B116" s="133"/>
      <c r="C116" s="138"/>
      <c r="D116" s="134"/>
      <c r="E116" s="139"/>
      <c r="F116" s="139"/>
      <c r="G116" s="139"/>
      <c r="H116" s="135"/>
    </row>
    <row r="117" spans="1:8" x14ac:dyDescent="0.25">
      <c r="A117" s="133">
        <v>116</v>
      </c>
      <c r="B117" s="133"/>
      <c r="C117" s="133"/>
      <c r="D117" s="134"/>
      <c r="E117" s="134"/>
      <c r="F117" s="134"/>
      <c r="G117" s="134"/>
      <c r="H117" s="135"/>
    </row>
    <row r="118" spans="1:8" x14ac:dyDescent="0.25">
      <c r="A118" s="133">
        <v>117</v>
      </c>
      <c r="B118" s="133"/>
      <c r="C118" s="133"/>
      <c r="D118" s="134"/>
      <c r="E118" s="134"/>
      <c r="F118" s="134"/>
      <c r="G118" s="134"/>
      <c r="H118" s="135"/>
    </row>
    <row r="119" spans="1:8" x14ac:dyDescent="0.25">
      <c r="A119" s="133">
        <v>118</v>
      </c>
      <c r="B119" s="134"/>
      <c r="C119" s="134"/>
      <c r="D119" s="134"/>
      <c r="E119" s="134"/>
      <c r="F119" s="134"/>
      <c r="G119" s="134"/>
      <c r="H119" s="135"/>
    </row>
  </sheetData>
  <pageMargins left="0.7" right="0.7" top="0.75" bottom="0.75" header="0.3" footer="0.3"/>
  <pageSetup paperSize="9" scale="8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report</vt:lpstr>
      <vt:lpstr>spisok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Максимов</dc:creator>
  <cp:lastModifiedBy>Дмитрий Максимов</cp:lastModifiedBy>
  <dcterms:created xsi:type="dcterms:W3CDTF">2026-08-13T18:02:53Z</dcterms:created>
  <dcterms:modified xsi:type="dcterms:W3CDTF">2026-08-13T18:02:54Z</dcterms:modified>
</cp:coreProperties>
</file>